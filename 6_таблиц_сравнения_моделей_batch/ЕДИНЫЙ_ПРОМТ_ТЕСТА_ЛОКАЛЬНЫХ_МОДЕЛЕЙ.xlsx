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45a7ffac4a40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Матрица баллов" sheetId="1" r:id="R9ced053827014990"/>
    <x:sheet xmlns:r="http://schemas.openxmlformats.org/officeDocument/2006/relationships" name="Детальная оценка" sheetId="2" r:id="Rca3d7bacfc6349bf"/>
    <x:sheet xmlns:r="http://schemas.openxmlformats.org/officeDocument/2006/relationships" name="Замечания" sheetId="3" r:id="R865206f98e254d6d"/>
    <x:sheet xmlns:r="http://schemas.openxmlformats.org/officeDocument/2006/relationships" name="Сводка моделей" sheetId="4" r:id="R92191ec1083244f9"/>
    <x:sheet xmlns:r="http://schemas.openxmlformats.org/officeDocument/2006/relationships" name="Методика" sheetId="5" r:id="R4519d4d566a94c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  <x:font>
      <x:sz val="11"/>
      <x:color rgb="FF11182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111827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</x:fills>
  <x:borders count="31">
    <x:border/>
    <x:border/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40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2" fillId="3" borderId="13" xfId="0" applyNumberFormat="1" applyFont="1" applyFill="1" applyBorder="1"/>
    <x:xf numFmtId="0" fontId="2" fillId="3" borderId="14" xfId="0" applyNumberFormat="1" applyFont="1" applyFill="1" applyBorder="1"/>
    <x:xf numFmtId="0" fontId="2" fillId="3" borderId="15" xfId="0" applyNumberFormat="1" applyFont="1" applyFill="1" applyBorder="1"/>
    <x:xf numFmtId="0" fontId="2" fillId="3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2" fillId="3" borderId="13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vertical="center" wrapText="1"/>
    </x:xf>
    <x:xf numFmtId="0" fontId="2" fillId="3" borderId="9" xfId="0" applyNumberFormat="1" applyFont="1" applyFill="1" applyBorder="1" applyAlignment="1">
      <x:alignment vertical="center" wrapText="1"/>
    </x:xf>
    <x:xf numFmtId="0" fontId="2" fillId="3" borderId="10" xfId="0" applyNumberFormat="1" applyFont="1" applyFill="1" applyBorder="1" applyAlignment="1">
      <x:alignment vertical="center" wrapText="1"/>
    </x:xf>
    <x:xf numFmtId="0" fontId="2" fillId="3" borderId="1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2" xfId="0" applyNumberFormat="1" applyFont="1" applyFill="1" applyBorder="1" applyAlignment="1">
      <x:alignment vertical="center" wrapText="1"/>
    </x:xf>
    <x:xf numFmtId="0" fontId="2" fillId="3" borderId="13" xfId="0" applyNumberFormat="1" applyFont="1" applyFill="1" applyBorder="1" applyAlignment="1">
      <x:alignment vertical="center" wrapText="1"/>
    </x:xf>
    <x:xf numFmtId="0" fontId="2" fillId="3" borderId="14" xfId="0" applyNumberFormat="1" applyFont="1" applyFill="1" applyBorder="1" applyAlignment="1">
      <x:alignment vertical="center" wrapText="1"/>
    </x:xf>
    <x:xf numFmtId="0" fontId="2" fillId="3" borderId="15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6" xfId="0" applyNumberFormat="1" applyFont="1" applyFill="1" applyBorder="1"/>
    <x:xf numFmtId="0" fontId="2" fillId="3" borderId="17" xfId="0" applyNumberFormat="1" applyFont="1" applyFill="1" applyBorder="1"/>
    <x:xf numFmtId="0" fontId="2" fillId="3" borderId="18" xfId="0" applyNumberFormat="1" applyFont="1" applyFill="1" applyBorder="1"/>
    <x:xf numFmtId="0" fontId="2" fillId="3" borderId="19" xfId="0" applyNumberFormat="1" applyFont="1" applyFill="1" applyBorder="1"/>
    <x:xf numFmtId="0" fontId="2" fillId="3" borderId="20" xfId="0" applyNumberFormat="1" applyFont="1" applyFill="1" applyBorder="1"/>
    <x:xf numFmtId="0" fontId="2" fillId="3" borderId="21" xfId="0" applyNumberFormat="1" applyFont="1" applyFill="1" applyBorder="1"/>
    <x:xf numFmtId="0" fontId="2" fillId="3" borderId="22" xfId="0" applyNumberFormat="1" applyFont="1" applyFill="1" applyBorder="1"/>
    <x:xf numFmtId="0" fontId="2" fillId="3" borderId="23" xfId="0" applyNumberFormat="1" applyFont="1" applyFill="1" applyBorder="1"/>
    <x:xf numFmtId="0" fontId="2" fillId="3" borderId="16" xfId="0" applyNumberFormat="1" applyFont="1" applyFill="1" applyBorder="1" applyAlignment="1">
      <x:alignment wrapText="1"/>
    </x:xf>
    <x:xf numFmtId="0" fontId="2" fillId="3" borderId="17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20" xfId="0" applyNumberFormat="1" applyFont="1" applyFill="1" applyBorder="1" applyAlignment="1">
      <x:alignment wrapText="1"/>
    </x:xf>
    <x:xf numFmtId="0" fontId="2" fillId="3" borderId="21" xfId="0" applyNumberFormat="1" applyFont="1" applyFill="1" applyBorder="1" applyAlignment="1">
      <x:alignment wrapText="1"/>
    </x:xf>
    <x:xf numFmtId="0" fontId="2" fillId="3" borderId="22" xfId="0" applyNumberFormat="1" applyFont="1" applyFill="1" applyBorder="1" applyAlignment="1">
      <x:alignment wrapText="1"/>
    </x:xf>
    <x:xf numFmtId="0" fontId="2" fillId="3" borderId="23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vertical="center" wrapText="1"/>
    </x:xf>
    <x:xf numFmtId="0" fontId="2" fillId="3" borderId="17" xfId="0" applyNumberFormat="1" applyFont="1" applyFill="1" applyBorder="1" applyAlignment="1">
      <x:alignment vertical="center" wrapText="1"/>
    </x:xf>
    <x:xf numFmtId="0" fontId="2" fillId="3" borderId="18" xfId="0" applyNumberFormat="1" applyFont="1" applyFill="1" applyBorder="1" applyAlignment="1">
      <x:alignment vertical="center" wrapText="1"/>
    </x:xf>
    <x:xf numFmtId="0" fontId="2" fillId="3" borderId="19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0" xfId="0" applyNumberFormat="1" applyFont="1" applyFill="1" applyBorder="1" applyAlignment="1">
      <x:alignment vertical="center" wrapText="1"/>
    </x:xf>
    <x:xf numFmtId="0" fontId="2" fillId="3" borderId="21" xfId="0" applyNumberFormat="1" applyFont="1" applyFill="1" applyBorder="1" applyAlignment="1">
      <x:alignment vertical="center" wrapText="1"/>
    </x:xf>
    <x:xf numFmtId="0" fontId="2" fillId="3" borderId="22" xfId="0" applyNumberFormat="1" applyFont="1" applyFill="1" applyBorder="1" applyAlignment="1">
      <x:alignment vertical="center" wrapText="1"/>
    </x:xf>
    <x:xf numFmtId="0" fontId="2" fillId="3" borderId="23" xfId="0" applyNumberFormat="1" applyFont="1" applyFill="1" applyBorder="1" applyAlignment="1">
      <x:alignment vertical="center" wrapText="1"/>
    </x:xf>
    <x:xf numFmtId="200" fontId="2" fillId="3" borderId="9" xfId="0" applyNumberFormat="1" applyFont="1" applyFill="1" applyBorder="1" applyAlignment="1">
      <x:alignment vertical="center" wrapText="1"/>
    </x:xf>
    <x:xf numFmtId="200" fontId="2" fillId="3" borderId="10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 wrapText="1"/>
    </x:xf>
    <x:xf numFmtId="200" fontId="2" fillId="3" borderId="12" xfId="0" applyNumberFormat="1" applyFont="1" applyFill="1" applyBorder="1" applyAlignment="1">
      <x:alignment vertical="center" wrapText="1"/>
    </x:xf>
    <x:xf numFmtId="200" fontId="2" fillId="3" borderId="14" xfId="0" applyNumberFormat="1" applyFont="1" applyFill="1" applyBorder="1" applyAlignment="1">
      <x:alignment vertical="center" wrapText="1"/>
    </x:xf>
    <x:xf numFmtId="200" fontId="2" fillId="3" borderId="15" xfId="0" applyNumberFormat="1" applyFont="1" applyFill="1" applyBorder="1" applyAlignment="1">
      <x:alignment vertical="center" wrapText="1"/>
    </x:xf>
    <x:xf numFmtId="200" fontId="2" fillId="3" borderId="17" xfId="0" applyNumberFormat="1" applyFont="1" applyFill="1" applyBorder="1" applyAlignment="1">
      <x:alignment vertical="center" wrapText="1"/>
    </x:xf>
    <x:xf numFmtId="200" fontId="2" fillId="3" borderId="18" xfId="0" applyNumberFormat="1" applyFont="1" applyFill="1" applyBorder="1" applyAlignment="1">
      <x:alignment vertical="center" wrapText="1"/>
    </x:xf>
    <x:xf numFmtId="200" fontId="2" fillId="3" borderId="1" xfId="0" applyNumberFormat="1" applyFont="1" applyFill="1" applyBorder="1" applyAlignment="1">
      <x:alignment vertical="center" wrapText="1"/>
    </x:xf>
    <x:xf numFmtId="200" fontId="2" fillId="3" borderId="20" xfId="0" applyNumberFormat="1" applyFont="1" applyFill="1" applyBorder="1" applyAlignment="1">
      <x:alignment vertical="center" wrapText="1"/>
    </x:xf>
    <x:xf numFmtId="200" fontId="2" fillId="3" borderId="22" xfId="0" applyNumberFormat="1" applyFont="1" applyFill="1" applyBorder="1" applyAlignment="1">
      <x:alignment vertical="center" wrapText="1"/>
    </x:xf>
    <x:xf numFmtId="200" fontId="2" fillId="3" borderId="23" xfId="0" applyNumberFormat="1" applyFont="1" applyFill="1" applyBorder="1" applyAlignment="1">
      <x:alignment vertical="center" wrapText="1"/>
    </x:xf>
    <x:xf numFmtId="200" fontId="2" fillId="3" borderId="24" xfId="0" applyNumberFormat="1" applyFont="1" applyFill="1" applyBorder="1" applyAlignment="1">
      <x:alignment vertical="center" wrapText="1"/>
    </x:xf>
    <x:xf numFmtId="200" fontId="2" fillId="3" borderId="25" xfId="0" applyNumberFormat="1" applyFont="1" applyFill="1" applyBorder="1" applyAlignment="1">
      <x:alignment vertical="center" wrapText="1"/>
    </x:xf>
    <x:xf numFmtId="200" fontId="2" fillId="3" borderId="26" xfId="0" applyNumberFormat="1" applyFont="1" applyFill="1" applyBorder="1" applyAlignment="1">
      <x:alignment vertical="center" wrapText="1"/>
    </x:xf>
    <x:xf numFmtId="200" fontId="2" fillId="3" borderId="24" xfId="0" applyNumberFormat="1" applyFont="1" applyFill="1" applyBorder="1" applyAlignment="1">
      <x:alignment horizontal="center" vertical="center" wrapText="1"/>
    </x:xf>
    <x:xf numFmtId="200" fontId="2" fillId="3" borderId="25" xfId="0" applyNumberFormat="1" applyFont="1" applyFill="1" applyBorder="1" applyAlignment="1">
      <x:alignment horizontal="center" vertical="center" wrapText="1"/>
    </x:xf>
    <x:xf numFmtId="200" fontId="2" fillId="3" borderId="26" xfId="0" applyNumberFormat="1" applyFont="1" applyFill="1" applyBorder="1" applyAlignment="1">
      <x:alignment horizontal="center" vertical="center" wrapText="1"/>
    </x:xf>
    <x:xf numFmtId="200" fontId="2" fillId="3" borderId="27" xfId="0" applyNumberFormat="1" applyFont="1" applyFill="1" applyBorder="1" applyAlignment="1">
      <x:alignment vertical="center" wrapText="1"/>
    </x:xf>
    <x:xf numFmtId="200" fontId="2" fillId="3" borderId="28" xfId="0" applyNumberFormat="1" applyFont="1" applyFill="1" applyBorder="1" applyAlignment="1">
      <x:alignment vertical="center" wrapText="1"/>
    </x:xf>
    <x:xf numFmtId="200" fontId="2" fillId="3" borderId="29" xfId="0" applyNumberFormat="1" applyFont="1" applyFill="1" applyBorder="1" applyAlignment="1">
      <x:alignment vertical="center" wrapText="1"/>
    </x:xf>
    <x:xf numFmtId="200" fontId="2" fillId="3" borderId="27" xfId="0" applyNumberFormat="1" applyFont="1" applyFill="1" applyBorder="1" applyAlignment="1">
      <x:alignment horizontal="center" vertical="center" wrapText="1"/>
    </x:xf>
    <x:xf numFmtId="200" fontId="2" fillId="3" borderId="28" xfId="0" applyNumberFormat="1" applyFont="1" applyFill="1" applyBorder="1" applyAlignment="1">
      <x:alignment horizontal="center" vertical="center" wrapText="1"/>
    </x:xf>
    <x:xf numFmtId="200" fontId="2" fillId="3" borderId="29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3" xfId="0" applyNumberFormat="1" applyFont="1" applyFill="1" applyBorder="1" applyAlignment="1">
      <x:alignment vertical="center" wrapText="1"/>
    </x:xf>
    <x:xf numFmtId="0" fontId="2" fillId="2" borderId="14" xfId="0" applyNumberFormat="1" applyFont="1" applyFill="1" applyBorder="1" applyAlignment="1">
      <x:alignment vertical="center" wrapText="1"/>
    </x:xf>
    <x:xf numFmtId="0" fontId="1" fillId="2" borderId="1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3" xfId="0" applyNumberFormat="1" applyFont="1" applyFill="1" applyBorder="1" applyAlignment="1">
      <x:alignment vertical="center" wrapText="1"/>
    </x:xf>
    <x:xf numFmtId="0" fontId="1" fillId="2" borderId="14" xfId="0" applyNumberFormat="1" applyFont="1" applyFill="1" applyBorder="1" applyAlignment="1">
      <x:alignment vertical="center" wrapText="1"/>
    </x:xf>
    <x:xf numFmtId="0" fontId="1" fillId="2" borderId="8" xfId="0" applyNumberFormat="1" applyFont="1" applyFill="1" applyBorder="1" applyAlignment="1">
      <x:alignment vertical="center" wrapText="1"/>
    </x:xf>
    <x:xf numFmtId="0" fontId="1" fillId="2" borderId="10" xfId="0" applyNumberFormat="1" applyFont="1" applyFill="1" applyBorder="1" applyAlignment="1">
      <x:alignment vertical="center" wrapText="1"/>
    </x:xf>
    <x:xf numFmtId="0" fontId="1" fillId="2" borderId="12" xfId="0" applyNumberFormat="1" applyFont="1" applyFill="1" applyBorder="1" applyAlignment="1">
      <x:alignment vertical="center" wrapText="1"/>
    </x:xf>
    <x:xf numFmtId="0" fontId="1" fillId="2" borderId="15" xfId="0" applyNumberFormat="1" applyFont="1" applyFill="1" applyBorder="1" applyAlignment="1">
      <x:alignment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1" fillId="2" borderId="15" xfId="0" applyNumberFormat="1" applyFont="1" applyFill="1" applyBorder="1" applyAlignment="1">
      <x:alignment horizontal="center" vertical="center" wrapText="1"/>
    </x:xf>
    <x:xf numFmtId="0" fontId="2" fillId="2" borderId="19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1" xfId="0" applyNumberFormat="1" applyFont="1" applyFill="1" applyBorder="1" applyAlignment="1">
      <x:alignment vertical="center" wrapText="1"/>
    </x:xf>
    <x:xf numFmtId="0" fontId="2" fillId="2" borderId="22" xfId="0" applyNumberFormat="1" applyFont="1" applyFill="1" applyBorder="1" applyAlignment="1">
      <x:alignment vertical="center" wrapText="1"/>
    </x:xf>
    <x:xf numFmtId="0" fontId="1" fillId="2" borderId="19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1" xfId="0" applyNumberFormat="1" applyFont="1" applyFill="1" applyBorder="1" applyAlignment="1">
      <x:alignment vertical="center" wrapText="1"/>
    </x:xf>
    <x:xf numFmtId="0" fontId="1" fillId="2" borderId="22" xfId="0" applyNumberFormat="1" applyFont="1" applyFill="1" applyBorder="1" applyAlignment="1">
      <x:alignment vertical="center" wrapText="1"/>
    </x:xf>
    <x:xf numFmtId="0" fontId="1" fillId="2" borderId="16" xfId="0" applyNumberFormat="1" applyFont="1" applyFill="1" applyBorder="1" applyAlignment="1">
      <x:alignment vertical="center" wrapText="1"/>
    </x:xf>
    <x:xf numFmtId="0" fontId="1" fillId="2" borderId="18" xfId="0" applyNumberFormat="1" applyFont="1" applyFill="1" applyBorder="1" applyAlignment="1">
      <x:alignment vertical="center" wrapText="1"/>
    </x:xf>
    <x:xf numFmtId="0" fontId="1" fillId="2" borderId="20" xfId="0" applyNumberFormat="1" applyFont="1" applyFill="1" applyBorder="1" applyAlignment="1">
      <x:alignment vertical="center" wrapText="1"/>
    </x:xf>
    <x:xf numFmtId="0" fontId="1" fillId="2" borderId="23" xfId="0" applyNumberFormat="1" applyFont="1" applyFill="1" applyBorder="1" applyAlignment="1">
      <x:alignment vertical="center" wrapText="1"/>
    </x:xf>
    <x:xf numFmtId="0" fontId="1" fillId="2" borderId="16" xfId="0" applyNumberFormat="1" applyFont="1" applyFill="1" applyBorder="1" applyAlignment="1">
      <x:alignment horizontal="center" vertical="center" wrapText="1"/>
    </x:xf>
    <x:xf numFmtId="0" fontId="1" fillId="2" borderId="18" xfId="0" applyNumberFormat="1" applyFont="1" applyFill="1" applyBorder="1" applyAlignment="1">
      <x:alignment horizontal="center" vertical="center" wrapText="1"/>
    </x:xf>
    <x:xf numFmtId="0" fontId="1" fillId="2" borderId="19" xfId="0" applyNumberFormat="1" applyFont="1" applyFill="1" applyBorder="1" applyAlignment="1">
      <x:alignment horizontal="center" vertical="center" wrapText="1"/>
    </x:xf>
    <x:xf numFmtId="0" fontId="1" fillId="2" borderId="20" xfId="0" applyNumberFormat="1" applyFont="1" applyFill="1" applyBorder="1" applyAlignment="1">
      <x:alignment horizontal="center" vertical="center" wrapText="1"/>
    </x:xf>
    <x:xf numFmtId="0" fontId="1" fillId="2" borderId="21" xfId="0" applyNumberFormat="1" applyFont="1" applyFill="1" applyBorder="1" applyAlignment="1">
      <x:alignment horizontal="center" vertical="center" wrapText="1"/>
    </x:xf>
    <x:xf numFmtId="0" fontId="1" fillId="2" borderId="23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2" fillId="3" borderId="7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200" fontId="2" fillId="3" borderId="2" xfId="0" applyNumberFormat="1" applyFont="1" applyFill="1" applyBorder="1" applyAlignment="1">
      <x:alignment horizontal="center" vertical="center" wrapText="1"/>
    </x:xf>
    <x:xf numFmtId="200" fontId="2" fillId="3" borderId="3" xfId="0" applyNumberFormat="1" applyFont="1" applyFill="1" applyBorder="1" applyAlignment="1">
      <x:alignment horizontal="center" vertical="center" wrapText="1"/>
    </x:xf>
    <x:xf numFmtId="200" fontId="2" fillId="3" borderId="4" xfId="0" applyNumberFormat="1" applyFont="1" applyFill="1" applyBorder="1" applyAlignment="1">
      <x:alignment horizontal="center" vertical="center" wrapText="1"/>
    </x:xf>
    <x:xf numFmtId="200" fontId="2" fillId="3" borderId="5" xfId="0" applyNumberFormat="1" applyFont="1" applyFill="1" applyBorder="1" applyAlignment="1">
      <x:alignment horizontal="center" vertical="center" wrapText="1"/>
    </x:xf>
    <x:xf numFmtId="200" fontId="2" fillId="3" borderId="6" xfId="0" applyNumberFormat="1" applyFont="1" applyFill="1" applyBorder="1" applyAlignment="1">
      <x:alignment horizontal="center" vertical="center" wrapText="1"/>
    </x:xf>
    <x:xf numFmtId="200" fontId="2" fillId="3" borderId="7" xfId="0" applyNumberFormat="1" applyFont="1" applyFill="1" applyBorder="1" applyAlignment="1">
      <x:alignment horizontal="center" vertical="center" wrapText="1"/>
    </x:xf>
    <x:xf numFmtId="0" fontId="2" fillId="3" borderId="24" xfId="0" applyNumberFormat="1" applyFont="1" applyFill="1" applyBorder="1" applyAlignment="1">
      <x:alignment vertical="center" wrapText="1"/>
    </x:xf>
    <x:xf numFmtId="0" fontId="2" fillId="3" borderId="25" xfId="0" applyNumberFormat="1" applyFont="1" applyFill="1" applyBorder="1" applyAlignment="1">
      <x:alignment vertical="center" wrapText="1"/>
    </x:xf>
    <x:xf numFmtId="0" fontId="2" fillId="3" borderId="26" xfId="0" applyNumberFormat="1" applyFont="1" applyFill="1" applyBorder="1" applyAlignment="1">
      <x:alignment vertical="center" wrapText="1"/>
    </x:xf>
    <x:xf numFmtId="0" fontId="2" fillId="3" borderId="24" xfId="0" applyNumberFormat="1" applyFont="1" applyFill="1" applyBorder="1" applyAlignment="1">
      <x:alignment horizontal="center" vertical="center" wrapText="1"/>
    </x:xf>
    <x:xf numFmtId="0" fontId="2" fillId="3" borderId="25" xfId="0" applyNumberFormat="1" applyFont="1" applyFill="1" applyBorder="1" applyAlignment="1">
      <x:alignment horizontal="center" vertical="center" wrapText="1"/>
    </x:xf>
    <x:xf numFmtId="0" fontId="2" fillId="3" borderId="26" xfId="0" applyNumberFormat="1" applyFont="1" applyFill="1" applyBorder="1" applyAlignment="1">
      <x:alignment horizontal="center" vertical="center" wrapText="1"/>
    </x:xf>
    <x:xf numFmtId="0" fontId="2" fillId="3" borderId="27" xfId="0" applyNumberFormat="1" applyFont="1" applyFill="1" applyBorder="1" applyAlignment="1">
      <x:alignment vertical="center" wrapText="1"/>
    </x:xf>
    <x:xf numFmtId="0" fontId="2" fillId="3" borderId="28" xfId="0" applyNumberFormat="1" applyFont="1" applyFill="1" applyBorder="1" applyAlignment="1">
      <x:alignment vertical="center" wrapText="1"/>
    </x:xf>
    <x:xf numFmtId="0" fontId="2" fillId="3" borderId="29" xfId="0" applyNumberFormat="1" applyFont="1" applyFill="1" applyBorder="1" applyAlignment="1">
      <x:alignment vertical="center" wrapText="1"/>
    </x:xf>
    <x:xf numFmtId="0" fontId="2" fillId="3" borderId="27" xfId="0" applyNumberFormat="1" applyFont="1" applyFill="1" applyBorder="1" applyAlignment="1">
      <x:alignment horizontal="center" vertical="center" wrapText="1"/>
    </x:xf>
    <x:xf numFmtId="0" fontId="2" fillId="3" borderId="28" xfId="0" applyNumberFormat="1" applyFont="1" applyFill="1" applyBorder="1" applyAlignment="1">
      <x:alignment horizontal="center" vertical="center" wrapText="1"/>
    </x:xf>
    <x:xf numFmtId="0" fontId="2" fillId="3" borderId="29" xfId="0" applyNumberFormat="1" applyFont="1" applyFill="1" applyBorder="1" applyAlignment="1">
      <x:alignment horizontal="center" vertical="center" wrapText="1"/>
    </x:xf>
    <x:xf numFmtId="201" fontId="2" fillId="3" borderId="24" xfId="0" applyNumberFormat="1" applyFont="1" applyFill="1" applyBorder="1" applyAlignment="1">
      <x:alignment horizontal="center" vertical="center" wrapText="1"/>
    </x:xf>
    <x:xf numFmtId="201" fontId="2" fillId="3" borderId="25" xfId="0" applyNumberFormat="1" applyFont="1" applyFill="1" applyBorder="1" applyAlignment="1">
      <x:alignment horizontal="center" vertical="center" wrapText="1"/>
    </x:xf>
    <x:xf numFmtId="201" fontId="2" fillId="3" borderId="26" xfId="0" applyNumberFormat="1" applyFont="1" applyFill="1" applyBorder="1" applyAlignment="1">
      <x:alignment horizontal="center" vertical="center" wrapText="1"/>
    </x:xf>
    <x:xf numFmtId="201" fontId="2" fillId="3" borderId="27" xfId="0" applyNumberFormat="1" applyFont="1" applyFill="1" applyBorder="1" applyAlignment="1">
      <x:alignment horizontal="center" vertical="center" wrapText="1"/>
    </x:xf>
    <x:xf numFmtId="201" fontId="2" fillId="3" borderId="28" xfId="0" applyNumberFormat="1" applyFont="1" applyFill="1" applyBorder="1" applyAlignment="1">
      <x:alignment horizontal="center" vertical="center" wrapText="1"/>
    </x:xf>
    <x:xf numFmtId="201" fontId="2" fillId="3" borderId="29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200" fontId="2" fillId="4" borderId="9" xfId="0" applyNumberFormat="1" applyFont="1" applyFill="1" applyBorder="1" applyAlignment="1">
      <x:alignment vertical="center" wrapText="1"/>
    </x:xf>
    <x:xf numFmtId="200" fontId="2" fillId="4" borderId="0" xfId="0" applyNumberFormat="1" applyFont="1" applyFill="1" applyBorder="1" applyAlignment="1">
      <x:alignment vertical="center" wrapText="1"/>
    </x:xf>
    <x:xf numFmtId="200" fontId="2" fillId="4" borderId="14" xfId="0" applyNumberFormat="1" applyFont="1" applyFill="1" applyBorder="1" applyAlignment="1">
      <x:alignment vertical="center" wrapText="1"/>
    </x:xf>
    <x:xf numFmtId="200" fontId="3" fillId="4" borderId="9" xfId="0" applyNumberFormat="1" applyFont="1" applyFill="1" applyBorder="1" applyAlignment="1">
      <x:alignment vertical="center" wrapText="1"/>
    </x:xf>
    <x:xf numFmtId="200" fontId="3" fillId="4" borderId="0" xfId="0" applyNumberFormat="1" applyFont="1" applyFill="1" applyBorder="1" applyAlignment="1">
      <x:alignment vertical="center" wrapText="1"/>
    </x:xf>
    <x:xf numFmtId="200" fontId="3" fillId="4" borderId="14" xfId="0" applyNumberFormat="1" applyFont="1" applyFill="1" applyBorder="1" applyAlignment="1">
      <x:alignment vertical="center" wrapText="1"/>
    </x:xf>
    <x:xf numFmtId="200" fontId="3" fillId="4" borderId="24" xfId="0" applyNumberFormat="1" applyFont="1" applyFill="1" applyBorder="1" applyAlignment="1">
      <x:alignment vertical="center" wrapText="1"/>
    </x:xf>
    <x:xf numFmtId="200" fontId="3" fillId="4" borderId="25" xfId="0" applyNumberFormat="1" applyFont="1" applyFill="1" applyBorder="1" applyAlignment="1">
      <x:alignment vertical="center" wrapText="1"/>
    </x:xf>
    <x:xf numFmtId="200" fontId="3" fillId="4" borderId="26" xfId="0" applyNumberFormat="1" applyFont="1" applyFill="1" applyBorder="1" applyAlignment="1">
      <x:alignment vertical="center" wrapText="1"/>
    </x:xf>
    <x:xf numFmtId="200" fontId="3" fillId="4" borderId="24" xfId="0" applyNumberFormat="1" applyFont="1" applyFill="1" applyBorder="1" applyAlignment="1">
      <x:alignment horizontal="center" vertical="center" wrapText="1"/>
    </x:xf>
    <x:xf numFmtId="200" fontId="3" fillId="4" borderId="25" xfId="0" applyNumberFormat="1" applyFont="1" applyFill="1" applyBorder="1" applyAlignment="1">
      <x:alignment horizontal="center" vertical="center" wrapText="1"/>
    </x:xf>
    <x:xf numFmtId="200" fontId="3" fillId="4" borderId="26" xfId="0" applyNumberFormat="1" applyFont="1" applyFill="1" applyBorder="1" applyAlignment="1">
      <x:alignment horizontal="center" vertical="center" wrapText="1"/>
    </x:xf>
    <x:xf numFmtId="200" fontId="3" fillId="4" borderId="2" xfId="0" applyNumberFormat="1" applyFont="1" applyFill="1" applyBorder="1" applyAlignment="1">
      <x:alignment vertical="center" wrapText="1"/>
    </x:xf>
    <x:xf numFmtId="200" fontId="3" fillId="4" borderId="3" xfId="0" applyNumberFormat="1" applyFont="1" applyFill="1" applyBorder="1" applyAlignment="1">
      <x:alignment vertical="center" wrapText="1"/>
    </x:xf>
    <x:xf numFmtId="200" fontId="3" fillId="4" borderId="4" xfId="0" applyNumberFormat="1" applyFont="1" applyFill="1" applyBorder="1" applyAlignment="1">
      <x:alignment vertical="center" wrapText="1"/>
    </x:xf>
    <x:xf numFmtId="200" fontId="3" fillId="4" borderId="2" xfId="0" applyNumberFormat="1" applyFont="1" applyFill="1" applyBorder="1" applyAlignment="1">
      <x:alignment horizontal="center" vertical="center" wrapText="1"/>
    </x:xf>
    <x:xf numFmtId="200" fontId="3" fillId="4" borderId="3" xfId="0" applyNumberFormat="1" applyFont="1" applyFill="1" applyBorder="1" applyAlignment="1">
      <x:alignment horizontal="center" vertical="center" wrapText="1"/>
    </x:xf>
    <x:xf numFmtId="200" fontId="3" fillId="4" borderId="4" xfId="0" applyNumberFormat="1" applyFont="1" applyFill="1" applyBorder="1" applyAlignment="1">
      <x:alignment horizontal="center" vertical="center" wrapText="1"/>
    </x:xf>
    <x:xf numFmtId="0" fontId="2" fillId="4" borderId="8" xfId="0" applyNumberFormat="1" applyFont="1" applyFill="1" applyBorder="1" applyAlignment="1">
      <x:alignment vertical="center" wrapText="1"/>
    </x:xf>
    <x:xf numFmtId="0" fontId="2" fillId="4" borderId="9" xfId="0" applyNumberFormat="1" applyFont="1" applyFill="1" applyBorder="1" applyAlignment="1">
      <x:alignment vertical="center" wrapText="1"/>
    </x:xf>
    <x:xf numFmtId="201" fontId="2" fillId="4" borderId="24" xfId="0" applyNumberFormat="1" applyFont="1" applyFill="1" applyBorder="1" applyAlignment="1">
      <x:alignment horizontal="center" vertical="center" wrapText="1"/>
    </x:xf>
    <x:xf numFmtId="0" fontId="2" fillId="4" borderId="10" xfId="0" applyNumberFormat="1" applyFont="1" applyFill="1" applyBorder="1" applyAlignment="1">
      <x:alignment vertical="center" wrapText="1"/>
    </x:xf>
    <x:xf numFmtId="0" fontId="2" fillId="4" borderId="1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201" fontId="2" fillId="4" borderId="25" xfId="0" applyNumberFormat="1" applyFont="1" applyFill="1" applyBorder="1" applyAlignment="1">
      <x:alignment horizontal="center" vertical="center" wrapText="1"/>
    </x:xf>
    <x:xf numFmtId="0" fontId="2" fillId="4" borderId="12" xfId="0" applyNumberFormat="1" applyFont="1" applyFill="1" applyBorder="1" applyAlignment="1">
      <x:alignment vertical="center" wrapText="1"/>
    </x:xf>
    <x:xf numFmtId="0" fontId="2" fillId="4" borderId="13" xfId="0" applyNumberFormat="1" applyFont="1" applyFill="1" applyBorder="1" applyAlignment="1">
      <x:alignment vertical="center" wrapText="1"/>
    </x:xf>
    <x:xf numFmtId="0" fontId="2" fillId="4" borderId="14" xfId="0" applyNumberFormat="1" applyFont="1" applyFill="1" applyBorder="1" applyAlignment="1">
      <x:alignment vertical="center" wrapText="1"/>
    </x:xf>
    <x:xf numFmtId="201" fontId="2" fillId="4" borderId="26" xfId="0" applyNumberFormat="1" applyFont="1" applyFill="1" applyBorder="1" applyAlignment="1">
      <x:alignment horizontal="center" vertical="center" wrapText="1"/>
    </x:xf>
    <x:xf numFmtId="0" fontId="2" fillId="4" borderId="15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xfId="0" applyNumberFormat="1" applyFont="1" applyFill="1" applyBorder="0" applyAlignment="1">
      <x:alignment vertical="center" wrapText="1"/>
    </x:xf>
    <x:xf numFmtId="0" fontId="2" fillId="4" borderId="11" xfId="0" applyNumberFormat="1" applyFont="1" applyFill="1" applyBorder="1"/>
    <x:xf numFmtId="0" fontId="2" fillId="4" xfId="0" applyNumberFormat="1" applyFont="1" applyFill="1" applyBorder="0"/>
    <x:xf numFmtId="0" fontId="2" fillId="4" borderId="12" xfId="0" applyNumberFormat="1" applyFont="1" applyFill="1" applyBorder="1"/>
    <x:xf numFmtId="0" fontId="2" fillId="4" borderId="13" xfId="0" applyNumberFormat="1" applyFont="1" applyFill="1" applyBorder="1"/>
    <x:xf numFmtId="0" fontId="2" fillId="4" borderId="14" xfId="0" applyNumberFormat="1" applyFont="1" applyFill="1" applyBorder="1"/>
    <x:xf numFmtId="0" fontId="2" fillId="4" borderId="15" xfId="0" applyNumberFormat="1" applyFont="1" applyFill="1" applyBorder="1"/>
    <x:xf numFmtId="0" fontId="2" fillId="4" borderId="11" xfId="0" applyNumberFormat="1" applyFont="1" applyFill="1" applyBorder="1" applyAlignment="1">
      <x:alignment wrapText="1"/>
    </x:xf>
    <x:xf numFmtId="0" fontId="2" fillId="4" xfId="0" applyNumberFormat="1" applyFont="1" applyFill="1" applyBorder="0" applyAlignment="1">
      <x:alignment wrapText="1"/>
    </x:xf>
    <x:xf numFmtId="0" fontId="2" fillId="4" borderId="12" xfId="0" applyNumberFormat="1" applyFont="1" applyFill="1" applyBorder="1" applyAlignment="1">
      <x:alignment wrapText="1"/>
    </x:xf>
    <x:xf numFmtId="0" fontId="2" fillId="4" borderId="13" xfId="0" applyNumberFormat="1" applyFont="1" applyFill="1" applyBorder="1" applyAlignment="1">
      <x:alignment wrapText="1"/>
    </x:xf>
    <x:xf numFmtId="0" fontId="2" fillId="4" borderId="14" xfId="0" applyNumberFormat="1" applyFont="1" applyFill="1" applyBorder="1" applyAlignment="1">
      <x:alignment wrapText="1"/>
    </x:xf>
    <x:xf numFmtId="0" fontId="2" fillId="4" borderId="15" xfId="0" applyNumberFormat="1" applyFont="1" applyFill="1" applyBorder="1" applyAlignment="1">
      <x:alignment wrapText="1"/>
    </x:xf>
    <x:xf numFmtId="201" fontId="3" fillId="4" borderId="24" xfId="0" applyNumberFormat="1" applyFont="1" applyFill="1" applyBorder="1" applyAlignment="1">
      <x:alignment horizontal="center" vertical="center" wrapText="1"/>
    </x:xf>
    <x:xf numFmtId="201" fontId="3" fillId="4" borderId="25" xfId="0" applyNumberFormat="1" applyFont="1" applyFill="1" applyBorder="1" applyAlignment="1">
      <x:alignment horizontal="center" vertical="center" wrapText="1"/>
    </x:xf>
    <x:xf numFmtId="201" fontId="3" fillId="4" borderId="26" xfId="0" applyNumberFormat="1" applyFont="1" applyFill="1" applyBorder="1" applyAlignment="1">
      <x:alignment horizontal="center" vertical="center" wrapText="1"/>
    </x:xf>
    <x:xf numFmtId="0" fontId="3" fillId="4" xfId="0" applyNumberFormat="1" applyFont="1" applyFill="1" applyBorder="0" applyAlignment="1">
      <x:alignment vertical="center" wrapText="1"/>
    </x:xf>
    <x:xf numFmtId="0" fontId="3" fillId="4" borderId="14" xfId="0" applyNumberFormat="1" applyFont="1" applyFill="1" applyBorder="1" applyAlignment="1">
      <x:alignment vertical="center" wrapText="1"/>
    </x:xf>
    <x:xf numFmtId="0" fontId="3" fillId="4" borderId="25" xfId="0" applyNumberFormat="1" applyFont="1" applyFill="1" applyBorder="1" applyAlignment="1">
      <x:alignment vertical="center" wrapText="1"/>
    </x:xf>
    <x:xf numFmtId="0" fontId="3" fillId="4" borderId="26" xfId="0" applyNumberFormat="1" applyFont="1" applyFill="1" applyBorder="1" applyAlignment="1">
      <x:alignment vertical="center" wrapText="1"/>
    </x:xf>
    <x:xf numFmtId="0" fontId="3" fillId="4" borderId="25" xfId="0" applyNumberFormat="1" applyFont="1" applyFill="1" applyBorder="1" applyAlignment="1">
      <x:alignment horizontal="center" vertical="center" wrapText="1"/>
    </x:xf>
    <x:xf numFmtId="0" fontId="3" fillId="4" borderId="26" xfId="0" applyNumberFormat="1" applyFont="1" applyFill="1" applyBorder="1" applyAlignment="1">
      <x:alignment horizontal="center" vertical="center" wrapText="1"/>
    </x:xf>
    <x:xf numFmtId="0" fontId="2" fillId="4" borderId="2" xfId="0" applyNumberFormat="1" applyFont="1" applyFill="1" applyBorder="1"/>
    <x:xf numFmtId="0" fontId="2" fillId="4" borderId="3" xfId="0" applyNumberFormat="1" applyFont="1" applyFill="1" applyBorder="1"/>
    <x:xf numFmtId="0" fontId="2" fillId="4" borderId="4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wrapText="1"/>
    </x:xf>
    <x:xf numFmtId="0" fontId="2" fillId="4" borderId="4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2" fillId="4" borderId="3" xfId="0" applyNumberFormat="1" applyFont="1" applyFill="1" applyBorder="1" applyAlignment="1">
      <x:alignment vertical="center" wrapText="1"/>
    </x:xf>
    <x:xf numFmtId="0" fontId="2" fillId="4" borderId="4" xfId="0" applyNumberFormat="1" applyFont="1" applyFill="1" applyBorder="1" applyAlignment="1">
      <x:alignment vertical="center" wrapText="1"/>
    </x:xf>
    <x:xf numFmtId="200" fontId="2" fillId="3" borderId="2" xfId="0" applyNumberFormat="1" applyFont="1" applyFill="1" applyBorder="1" applyAlignment="1">
      <x:alignment vertical="center" wrapText="1"/>
    </x:xf>
    <x:xf numFmtId="200" fontId="2" fillId="3" borderId="3" xfId="0" applyNumberFormat="1" applyFont="1" applyFill="1" applyBorder="1" applyAlignment="1">
      <x:alignment vertical="center" wrapText="1"/>
    </x:xf>
    <x:xf numFmtId="200" fontId="2" fillId="3" borderId="4" xfId="0" applyNumberFormat="1" applyFont="1" applyFill="1" applyBorder="1" applyAlignment="1">
      <x:alignment vertical="center" wrapText="1"/>
    </x:xf>
    <x:xf numFmtId="0" fontId="2" fillId="3" xfId="0" applyNumberFormat="1" applyFont="1" applyFill="1" applyBorder="0" applyAlignment="1">
      <x:alignment vertical="center" wrapText="1"/>
    </x:xf>
    <x:xf numFmtId="0" fontId="2" fillId="3" xfId="0" applyNumberFormat="1" applyFont="1" applyFill="1" applyBorder="0"/>
    <x:xf numFmtId="0" fontId="2" fillId="3" xfId="0" applyNumberFormat="1" applyFont="1" applyFill="1" applyBorder="0" applyAlignment="1">
      <x:alignment wrapText="1"/>
    </x:xf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30" xfId="0" applyNumberFormat="1" applyFont="1" applyFill="1" applyBorder="1" applyAlignment="1">
      <x:alignment horizontal="center" vertical="center" wrapText="1"/>
    </x:xf>
    <x:xf numFmtId="0" fontId="1" fillId="5" borderId="4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horizontal="center" wrapText="1"/>
    </x:xf>
    <x:xf numFmtId="200" fontId="2" fillId="6" borderId="24" xfId="0" applyNumberFormat="1" applyFont="1" applyFill="1" applyBorder="1" applyAlignment="1">
      <x:alignment horizontal="center" vertical="center" wrapText="1"/>
    </x:xf>
    <x:xf numFmtId="200" fontId="2" fillId="6" borderId="25" xfId="0" applyNumberFormat="1" applyFont="1" applyFill="1" applyBorder="1" applyAlignment="1">
      <x:alignment horizontal="center" vertical="center" wrapText="1"/>
    </x:xf>
    <x:xf numFmtId="200" fontId="2" fillId="6" borderId="26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24" xfId="0" applyNumberFormat="1" applyFont="1" applyFill="1" applyBorder="1"/>
    <x:xf numFmtId="0" fontId="2" fillId="6" borderId="25" xfId="0" applyNumberFormat="1" applyFont="1" applyFill="1" applyBorder="1"/>
    <x:xf numFmtId="0" fontId="2" fillId="6" borderId="26" xfId="0" applyNumberFormat="1" applyFont="1" applyFill="1" applyBorder="1"/>
    <x:xf numFmtId="0" fontId="2" fillId="6" borderId="24" xfId="0" applyNumberFormat="1" applyFont="1" applyFill="1" applyBorder="1" applyAlignment="1">
      <x:alignment wrapText="1"/>
    </x:xf>
    <x:xf numFmtId="0" fontId="2" fillId="6" borderId="25" xfId="0" applyNumberFormat="1" applyFont="1" applyFill="1" applyBorder="1" applyAlignment="1">
      <x:alignment wrapText="1"/>
    </x:xf>
    <x:xf numFmtId="0" fontId="2" fillId="6" borderId="26" xfId="0" applyNumberFormat="1" applyFont="1" applyFill="1" applyBorder="1" applyAlignment="1">
      <x:alignment wrapText="1"/>
    </x:xf>
    <x:xf numFmtId="0" fontId="2" fillId="6" borderId="24" xfId="0" applyNumberFormat="1" applyFont="1" applyFill="1" applyBorder="1" applyAlignment="1">
      <x:alignment horizontal="center" wrapText="1"/>
    </x:xf>
    <x:xf numFmtId="0" fontId="2" fillId="6" borderId="25" xfId="0" applyNumberFormat="1" applyFont="1" applyFill="1" applyBorder="1" applyAlignment="1">
      <x:alignment horizontal="center" wrapText="1"/>
    </x:xf>
    <x:xf numFmtId="0" fontId="2" fillId="6" borderId="26" xfId="0" applyNumberFormat="1" applyFont="1" applyFill="1" applyBorder="1" applyAlignment="1">
      <x:alignment horizontal="center" wrapText="1"/>
    </x:xf>
    <x:xf numFmtId="0" fontId="2" fillId="6" borderId="24" xfId="0" applyNumberFormat="1" applyFont="1" applyFill="1" applyBorder="1" applyAlignment="1">
      <x:alignment horizontal="center" vertical="center" wrapText="1"/>
    </x:xf>
    <x:xf numFmtId="0" fontId="2" fillId="6" borderId="25" xfId="0" applyNumberFormat="1" applyFont="1" applyFill="1" applyBorder="1" applyAlignment="1">
      <x:alignment horizontal="center" vertical="center" wrapText="1"/>
    </x:xf>
    <x:xf numFmtId="0" fontId="2" fillId="6" borderId="26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2" fillId="6" borderId="10" xfId="0" applyNumberFormat="1" applyFont="1" applyFill="1" applyBorder="1" applyAlignment="1">
      <x:alignment vertical="center" wrapText="1"/>
    </x:xf>
    <x:xf numFmtId="0" fontId="2" fillId="6" borderId="12" xfId="0" applyNumberFormat="1" applyFont="1" applyFill="1" applyBorder="1" applyAlignment="1">
      <x:alignment vertical="center" wrapText="1"/>
    </x:xf>
    <x:xf numFmtId="0" fontId="2" fillId="6" borderId="15" xfId="0" applyNumberFormat="1" applyFont="1" applyFill="1" applyBorder="1" applyAlignment="1">
      <x:alignment vertical="center" wrapText="1"/>
    </x:xf>
    <x:xf numFmtId="0" fontId="2" fillId="6" borderId="24" xfId="0" applyNumberFormat="1" applyFont="1" applyFill="1" applyBorder="1" applyAlignment="1">
      <x:alignment vertical="center" wrapText="1"/>
    </x:xf>
    <x:xf numFmtId="0" fontId="2" fillId="6" borderId="25" xfId="0" applyNumberFormat="1" applyFont="1" applyFill="1" applyBorder="1" applyAlignment="1">
      <x:alignment vertical="center" wrapText="1"/>
    </x:xf>
    <x:xf numFmtId="0" fontId="2" fillId="6" borderId="26" xfId="0" applyNumberFormat="1" applyFont="1" applyFill="1" applyBorder="1" applyAlignment="1">
      <x:alignment vertical="center" wrapText="1"/>
    </x:xf>
    <x:xf numFmtId="0" fontId="2" fillId="6" borderId="2" xfId="0" applyNumberFormat="1" applyFont="1" applyFill="1" applyBorder="1"/>
    <x:xf numFmtId="0" fontId="2" fillId="6" borderId="3" xfId="0" applyNumberFormat="1" applyFont="1" applyFill="1" applyBorder="1"/>
    <x:xf numFmtId="0" fontId="2" fillId="6" borderId="4" xfId="0" applyNumberFormat="1" applyFont="1" applyFill="1" applyBorder="1"/>
    <x:xf numFmtId="0" fontId="2" fillId="6" borderId="2" xfId="0" applyNumberFormat="1" applyFont="1" applyFill="1" applyBorder="1" applyAlignment="1">
      <x:alignment wrapText="1"/>
    </x:xf>
    <x:xf numFmtId="0" fontId="2" fillId="6" borderId="3" xfId="0" applyNumberFormat="1" applyFont="1" applyFill="1" applyBorder="1" applyAlignment="1">
      <x:alignment wrapText="1"/>
    </x:xf>
    <x:xf numFmtId="0" fontId="2" fillId="6" borderId="4" xfId="0" applyNumberFormat="1" applyFont="1" applyFill="1" applyBorder="1" applyAlignment="1">
      <x:alignment wrapText="1"/>
    </x:xf>
    <x:xf numFmtId="0" fontId="2" fillId="6" borderId="2" xfId="0" applyNumberFormat="1" applyFont="1" applyFill="1" applyBorder="1" applyAlignment="1">
      <x:alignment vertical="center" wrapText="1"/>
    </x:xf>
    <x:xf numFmtId="0" fontId="2" fillId="6" borderId="3" xfId="0" applyNumberFormat="1" applyFont="1" applyFill="1" applyBorder="1" applyAlignment="1">
      <x:alignment vertical="center" wrapText="1"/>
    </x:xf>
    <x:xf numFmtId="0" fontId="2" fillId="6" borderId="4" xfId="0" applyNumberFormat="1" applyFont="1" applyFill="1" applyBorder="1" applyAlignment="1">
      <x:alignment vertical="center" wrapText="1"/>
    </x:xf>
    <x:xf numFmtId="0" fontId="2" fillId="6" borderId="2" xfId="0" applyNumberFormat="1" applyFont="1" applyFill="1" applyBorder="1" applyAlignment="1">
      <x:alignment horizontal="center" vertical="center" wrapText="1"/>
    </x:xf>
    <x:xf numFmtId="0" fontId="2" fillId="6" borderId="3" xfId="0" applyNumberFormat="1" applyFont="1" applyFill="1" applyBorder="1" applyAlignment="1">
      <x:alignment horizontal="center" vertical="center" wrapText="1"/>
    </x:xf>
    <x:xf numFmtId="0" fontId="2" fillId="6" borderId="4" xfId="0" applyNumberFormat="1" applyFont="1" applyFill="1" applyBorder="1" applyAlignment="1">
      <x:alignment horizontal="center" vertical="center" wrapText="1"/>
    </x:xf>
    <x:xf numFmtId="200" fontId="2" fillId="6" borderId="2" xfId="0" applyNumberFormat="1" applyFont="1" applyFill="1" applyBorder="1" applyAlignment="1">
      <x:alignment horizontal="center" vertical="center" wrapText="1"/>
    </x:xf>
    <x:xf numFmtId="200" fontId="2" fillId="6" borderId="3" xfId="0" applyNumberFormat="1" applyFont="1" applyFill="1" applyBorder="1" applyAlignment="1">
      <x:alignment horizontal="center" vertical="center" wrapText="1"/>
    </x:xf>
    <x:xf numFmtId="200" fontId="2" fillId="6" borderId="4" xfId="0" applyNumberFormat="1" applyFont="1" applyFill="1" applyBorder="1" applyAlignment="1">
      <x:alignment horizontal="center" vertical="center" wrapText="1"/>
    </x:xf>
    <x:xf numFmtId="0" fontId="2" fillId="6" borderId="8" xfId="0" applyNumberFormat="1" applyFont="1" applyFill="1" applyBorder="1" applyAlignment="1">
      <x:alignment vertical="center" wrapText="1"/>
    </x:xf>
    <x:xf numFmtId="0" fontId="2" fillId="6" borderId="9" xfId="0" applyNumberFormat="1" applyFont="1" applyFill="1" applyBorder="1" applyAlignment="1">
      <x:alignment vertical="center" wrapText="1"/>
    </x:xf>
    <x:xf numFmtId="201" fontId="2" fillId="6" borderId="24" xfId="0" applyNumberFormat="1" applyFont="1" applyFill="1" applyBorder="1" applyAlignment="1">
      <x:alignment horizontal="center" vertical="center" wrapText="1"/>
    </x:xf>
    <x:xf numFmtId="0" fontId="2" fillId="6" borderId="11" xfId="0" applyNumberFormat="1" applyFont="1" applyFill="1" applyBorder="1" applyAlignment="1">
      <x:alignment vertical="center" wrapText="1"/>
    </x:xf>
    <x:xf numFmtId="0" fontId="2" fillId="6" xfId="0" applyNumberFormat="1" applyFont="1" applyFill="1" applyBorder="0" applyAlignment="1">
      <x:alignment vertical="center" wrapText="1"/>
    </x:xf>
    <x:xf numFmtId="201" fontId="2" fillId="6" borderId="25" xfId="0" applyNumberFormat="1" applyFont="1" applyFill="1" applyBorder="1" applyAlignment="1">
      <x:alignment horizontal="center" vertical="center" wrapText="1"/>
    </x:xf>
    <x:xf numFmtId="0" fontId="2" fillId="6" borderId="13" xfId="0" applyNumberFormat="1" applyFont="1" applyFill="1" applyBorder="1" applyAlignment="1">
      <x:alignment vertical="center" wrapText="1"/>
    </x:xf>
    <x:xf numFmtId="0" fontId="2" fillId="6" borderId="14" xfId="0" applyNumberFormat="1" applyFont="1" applyFill="1" applyBorder="1" applyAlignment="1">
      <x:alignment vertical="center" wrapText="1"/>
    </x:xf>
    <x:xf numFmtId="201" fontId="2" fillId="6" borderId="26" xfId="0" applyNumberFormat="1" applyFont="1" applyFill="1" applyBorder="1" applyAlignment="1">
      <x:alignment horizontal="center" vertical="center" wrapText="1"/>
    </x:xf>
    <x:xf numFmtId="0" fontId="2" fillId="6" borderId="11" xfId="0" applyNumberFormat="1" applyFont="1" applyFill="1" applyBorder="1"/>
    <x:xf numFmtId="0" fontId="2" fillId="6" xfId="0" applyNumberFormat="1" applyFont="1" applyFill="1" applyBorder="0"/>
    <x:xf numFmtId="0" fontId="2" fillId="6" borderId="12" xfId="0" applyNumberFormat="1" applyFont="1" applyFill="1" applyBorder="1"/>
    <x:xf numFmtId="0" fontId="2" fillId="6" borderId="13" xfId="0" applyNumberFormat="1" applyFont="1" applyFill="1" applyBorder="1"/>
    <x:xf numFmtId="0" fontId="2" fillId="6" borderId="14" xfId="0" applyNumberFormat="1" applyFont="1" applyFill="1" applyBorder="1"/>
    <x:xf numFmtId="0" fontId="2" fillId="6" borderId="15" xfId="0" applyNumberFormat="1" applyFont="1" applyFill="1" applyBorder="1"/>
    <x:xf numFmtId="0" fontId="2" fillId="6" borderId="11" xfId="0" applyNumberFormat="1" applyFont="1" applyFill="1" applyBorder="1" applyAlignment="1">
      <x:alignment wrapText="1"/>
    </x:xf>
    <x:xf numFmtId="0" fontId="2" fillId="6" xfId="0" applyNumberFormat="1" applyFont="1" applyFill="1" applyBorder="0" applyAlignment="1">
      <x:alignment wrapText="1"/>
    </x:xf>
    <x:xf numFmtId="0" fontId="2" fillId="6" borderId="12" xfId="0" applyNumberFormat="1" applyFont="1" applyFill="1" applyBorder="1" applyAlignment="1">
      <x:alignment wrapText="1"/>
    </x:xf>
    <x:xf numFmtId="0" fontId="2" fillId="6" borderId="13" xfId="0" applyNumberFormat="1" applyFont="1" applyFill="1" applyBorder="1" applyAlignment="1">
      <x:alignment wrapText="1"/>
    </x:xf>
    <x:xf numFmtId="0" fontId="2" fillId="6" borderId="14" xfId="0" applyNumberFormat="1" applyFont="1" applyFill="1" applyBorder="1" applyAlignment="1">
      <x:alignment wrapText="1"/>
    </x:xf>
    <x:xf numFmtId="0" fontId="2" fillId="6" borderId="15" xfId="0" applyNumberFormat="1" applyFont="1" applyFill="1" applyBorder="1" applyAlignment="1">
      <x:alignment wrapText="1"/>
    </x:xf>
    <x:xf numFmtId="0" fontId="2" fillId="6" borderId="8" xfId="0" applyNumberFormat="1" applyFont="1" applyFill="1" applyBorder="1"/>
    <x:xf numFmtId="0" fontId="2" fillId="6" borderId="9" xfId="0" applyNumberFormat="1" applyFont="1" applyFill="1" applyBorder="1"/>
    <x:xf numFmtId="0" fontId="2" fillId="6" borderId="10" xfId="0" applyNumberFormat="1" applyFont="1" applyFill="1" applyBorder="1"/>
    <x:xf numFmtId="0" fontId="2" fillId="6" borderId="8" xfId="0" applyNumberFormat="1" applyFont="1" applyFill="1" applyBorder="1" applyAlignment="1">
      <x:alignment wrapText="1"/>
    </x:xf>
    <x:xf numFmtId="0" fontId="2" fillId="6" borderId="9" xfId="0" applyNumberFormat="1" applyFont="1" applyFill="1" applyBorder="1" applyAlignment="1">
      <x:alignment wrapText="1"/>
    </x:xf>
    <x:xf numFmtId="0" fontId="2" fillId="6" borderId="10" xfId="0" applyNumberFormat="1" applyFont="1" applyFill="1" applyBorder="1" applyAlignment="1">
      <x:alignment wrapText="1"/>
    </x:xf>
    <x:xf numFmtId="0" fontId="1" fillId="2" borderId="30" xfId="0" applyNumberFormat="1" applyFont="1" applyFill="1" applyBorder="1" applyAlignment="1">
      <x:alignment horizontal="center" vertical="center" wrapText="1"/>
    </x:xf>
    <x:xf numFmtId="0" fontId="2" fillId="3" borderId="24" xfId="0" applyNumberFormat="1" applyFont="1" applyFill="1" applyBorder="1"/>
    <x:xf numFmtId="0" fontId="2" fillId="3" borderId="25" xfId="0" applyNumberFormat="1" applyFont="1" applyFill="1" applyBorder="1"/>
    <x:xf numFmtId="0" fontId="2" fillId="3" borderId="26" xfId="0" applyNumberFormat="1" applyFont="1" applyFill="1" applyBorder="1"/>
    <x:xf numFmtId="0" fontId="2" fillId="3" borderId="24" xfId="0" applyNumberFormat="1" applyFont="1" applyFill="1" applyBorder="1" applyAlignment="1">
      <x:alignment wrapText="1"/>
    </x:xf>
    <x:xf numFmtId="0" fontId="2" fillId="3" borderId="25" xfId="0" applyNumberFormat="1" applyFont="1" applyFill="1" applyBorder="1" applyAlignment="1">
      <x:alignment wrapText="1"/>
    </x:xf>
    <x:xf numFmtId="0" fontId="2" fillId="3" borderId="26" xfId="0" applyNumberFormat="1" applyFont="1" applyFill="1" applyBorder="1" applyAlignment="1">
      <x:alignment wrapText="1"/>
    </x:xf>
    <x:xf numFmtId="0" fontId="2" fillId="3" borderId="24" xfId="0" applyNumberFormat="1" applyFont="1" applyFill="1" applyBorder="1" applyAlignment="1">
      <x:alignment horizontal="center" wrapText="1"/>
    </x:xf>
    <x:xf numFmtId="0" fontId="2" fillId="3" borderId="25" xfId="0" applyNumberFormat="1" applyFont="1" applyFill="1" applyBorder="1" applyAlignment="1">
      <x:alignment horizontal="center" wrapText="1"/>
    </x:xf>
    <x:xf numFmtId="0" fontId="2" fillId="3" borderId="26" xfId="0" applyNumberFormat="1" applyFont="1" applyFill="1" applyBorder="1" applyAlignment="1">
      <x:alignment horizontal="center" wrapText="1"/>
    </x:xf>
    <x:xf numFmtId="200" fontId="2" fillId="7" borderId="24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200" fontId="2" fillId="7" borderId="25" xfId="0" applyNumberFormat="1" applyFont="1" applyFill="1" applyBorder="1" applyAlignment="1">
      <x:alignment horizontal="center" vertical="center" wrapText="1"/>
    </x:xf>
    <x:xf numFmtId="200" fontId="2" fillId="7" borderId="26" xfId="0" applyNumberFormat="1" applyFont="1" applyFill="1" applyBorder="1" applyAlignment="1">
      <x:alignment horizontal="center" vertical="center" wrapText="1"/>
    </x:xf>
    <x:xf numFmtId="0" fontId="2" fillId="7" borderId="0" xfId="0" applyNumberFormat="1" applyFont="1" applyFill="1" applyBorder="1"/>
    <x:xf numFmtId="0" fontId="2" fillId="7" borderId="9" xfId="0" applyNumberFormat="1" applyFont="1" applyFill="1" applyBorder="1"/>
    <x:xf numFmtId="0" fontId="2" fillId="7" borderId="10" xfId="0" applyNumberFormat="1" applyFont="1" applyFill="1" applyBorder="1"/>
    <x:xf numFmtId="0" fontId="2" fillId="7" xfId="0" applyNumberFormat="1" applyFont="1" applyFill="1" applyBorder="0"/>
    <x:xf numFmtId="0" fontId="2" fillId="7" borderId="12" xfId="0" applyNumberFormat="1" applyFont="1" applyFill="1" applyBorder="1"/>
    <x:xf numFmtId="0" fontId="2" fillId="7" borderId="14" xfId="0" applyNumberFormat="1" applyFont="1" applyFill="1" applyBorder="1"/>
    <x:xf numFmtId="0" fontId="2" fillId="7" borderId="15" xfId="0" applyNumberFormat="1" applyFont="1" applyFill="1" applyBorder="1"/>
    <x:xf numFmtId="0" fontId="2" fillId="7" borderId="9" xfId="0" applyNumberFormat="1" applyFont="1" applyFill="1" applyBorder="1" applyAlignment="1">
      <x:alignment wrapText="1"/>
    </x:xf>
    <x:xf numFmtId="0" fontId="2" fillId="7" borderId="10" xfId="0" applyNumberFormat="1" applyFont="1" applyFill="1" applyBorder="1" applyAlignment="1">
      <x:alignment wrapText="1"/>
    </x:xf>
    <x:xf numFmtId="0" fontId="2" fillId="7" xfId="0" applyNumberFormat="1" applyFont="1" applyFill="1" applyBorder="0" applyAlignment="1">
      <x:alignment wrapText="1"/>
    </x:xf>
    <x:xf numFmtId="0" fontId="2" fillId="7" borderId="12" xfId="0" applyNumberFormat="1" applyFont="1" applyFill="1" applyBorder="1" applyAlignment="1">
      <x:alignment wrapText="1"/>
    </x:xf>
    <x:xf numFmtId="0" fontId="2" fillId="7" borderId="14" xfId="0" applyNumberFormat="1" applyFont="1" applyFill="1" applyBorder="1" applyAlignment="1">
      <x:alignment wrapText="1"/>
    </x:xf>
    <x:xf numFmtId="0" fontId="2" fillId="7" borderId="15" xfId="0" applyNumberFormat="1" applyFont="1" applyFill="1" applyBorder="1" applyAlignment="1">
      <x:alignment wrapText="1"/>
    </x:xf>
    <x:xf numFmtId="0" fontId="2" fillId="7" borderId="9" xfId="0" applyNumberFormat="1" applyFont="1" applyFill="1" applyBorder="1" applyAlignment="1">
      <x:alignment horizontal="center" wrapText="1"/>
    </x:xf>
    <x:xf numFmtId="0" fontId="2" fillId="7" borderId="10" xfId="0" applyNumberFormat="1" applyFont="1" applyFill="1" applyBorder="1" applyAlignment="1">
      <x:alignment horizontal="center" wrapText="1"/>
    </x:xf>
    <x:xf numFmtId="0" fontId="2" fillId="7" xfId="0" applyNumberFormat="1" applyFont="1" applyFill="1" applyBorder="0" applyAlignment="1">
      <x:alignment horizontal="center" wrapText="1"/>
    </x:xf>
    <x:xf numFmtId="0" fontId="2" fillId="7" borderId="12" xfId="0" applyNumberFormat="1" applyFont="1" applyFill="1" applyBorder="1" applyAlignment="1">
      <x:alignment horizontal="center" wrapText="1"/>
    </x:xf>
    <x:xf numFmtId="0" fontId="2" fillId="7" borderId="14" xfId="0" applyNumberFormat="1" applyFont="1" applyFill="1" applyBorder="1" applyAlignment="1">
      <x:alignment horizontal="center" wrapText="1"/>
    </x:xf>
    <x:xf numFmtId="0" fontId="2" fillId="7" borderId="15" xfId="0" applyNumberFormat="1" applyFont="1" applyFill="1" applyBorder="1" applyAlignment="1">
      <x:alignment horizontal="center" wrapText="1"/>
    </x:xf>
    <x:xf numFmtId="0" fontId="2" fillId="7" borderId="9" xfId="0" applyNumberFormat="1" applyFont="1" applyFill="1" applyBorder="1" applyAlignment="1">
      <x:alignment horizontal="center" vertical="center" wrapText="1"/>
    </x:xf>
    <x:xf numFmtId="0" fontId="2" fillId="7" borderId="10" xfId="0" applyNumberFormat="1" applyFont="1" applyFill="1" applyBorder="1" applyAlignment="1">
      <x:alignment horizontal="center" vertical="center" wrapText="1"/>
    </x:xf>
    <x:xf numFmtId="0" fontId="2" fillId="7" xfId="0" applyNumberFormat="1" applyFont="1" applyFill="1" applyBorder="0" applyAlignment="1">
      <x:alignment horizontal="center" vertical="center" wrapText="1"/>
    </x:xf>
    <x:xf numFmtId="0" fontId="2" fillId="7" borderId="12" xfId="0" applyNumberFormat="1" applyFont="1" applyFill="1" applyBorder="1" applyAlignment="1">
      <x:alignment horizontal="center" vertical="center" wrapText="1"/>
    </x:xf>
    <x:xf numFmtId="0" fontId="2" fillId="7" borderId="14" xfId="0" applyNumberFormat="1" applyFont="1" applyFill="1" applyBorder="1" applyAlignment="1">
      <x:alignment horizontal="center" vertical="center" wrapText="1"/>
    </x:xf>
    <x:xf numFmtId="0" fontId="2" fillId="7" borderId="15" xfId="0" applyNumberFormat="1" applyFont="1" applyFill="1" applyBorder="1" applyAlignment="1">
      <x:alignment horizontal="center" vertical="center" wrapText="1"/>
    </x:xf>
    <x:xf numFmtId="200" fontId="2" fillId="7" borderId="9" xfId="0" applyNumberFormat="1" applyFont="1" applyFill="1" applyBorder="1" applyAlignment="1">
      <x:alignment horizontal="center" vertical="center" wrapText="1"/>
    </x:xf>
    <x:xf numFmtId="200" fontId="2" fillId="7" borderId="10" xfId="0" applyNumberFormat="1" applyFont="1" applyFill="1" applyBorder="1" applyAlignment="1">
      <x:alignment horizontal="center" vertical="center" wrapText="1"/>
    </x:xf>
    <x:xf numFmtId="200" fontId="2" fillId="7" xfId="0" applyNumberFormat="1" applyFont="1" applyFill="1" applyBorder="0" applyAlignment="1">
      <x:alignment horizontal="center" vertical="center" wrapText="1"/>
    </x:xf>
    <x:xf numFmtId="200" fontId="2" fillId="7" borderId="12" xfId="0" applyNumberFormat="1" applyFont="1" applyFill="1" applyBorder="1" applyAlignment="1">
      <x:alignment horizontal="center" vertical="center" wrapText="1"/>
    </x:xf>
    <x:xf numFmtId="200" fontId="2" fillId="7" borderId="14" xfId="0" applyNumberFormat="1" applyFont="1" applyFill="1" applyBorder="1" applyAlignment="1">
      <x:alignment horizontal="center" vertical="center" wrapText="1"/>
    </x:xf>
    <x:xf numFmtId="200" fontId="2" fillId="7" borderId="15" xfId="0" applyNumberFormat="1" applyFont="1" applyFill="1" applyBorder="1" applyAlignment="1">
      <x:alignment horizontal="center" vertical="center" wrapText="1"/>
    </x:xf>
    <x:xf numFmtId="0" fontId="2" fillId="7" borderId="24" xfId="0" applyNumberFormat="1" applyFont="1" applyFill="1" applyBorder="1"/>
    <x:xf numFmtId="0" fontId="2" fillId="7" borderId="25" xfId="0" applyNumberFormat="1" applyFont="1" applyFill="1" applyBorder="1"/>
    <x:xf numFmtId="0" fontId="2" fillId="7" borderId="26" xfId="0" applyNumberFormat="1" applyFont="1" applyFill="1" applyBorder="1"/>
    <x:xf numFmtId="0" fontId="2" fillId="7" borderId="24" xfId="0" applyNumberFormat="1" applyFont="1" applyFill="1" applyBorder="1" applyAlignment="1">
      <x:alignment wrapText="1"/>
    </x:xf>
    <x:xf numFmtId="0" fontId="2" fillId="7" borderId="25" xfId="0" applyNumberFormat="1" applyFont="1" applyFill="1" applyBorder="1" applyAlignment="1">
      <x:alignment wrapText="1"/>
    </x:xf>
    <x:xf numFmtId="0" fontId="2" fillId="7" borderId="26" xfId="0" applyNumberFormat="1" applyFont="1" applyFill="1" applyBorder="1" applyAlignment="1">
      <x:alignment wrapText="1"/>
    </x:xf>
    <x:xf numFmtId="0" fontId="2" fillId="7" borderId="24" xfId="0" applyNumberFormat="1" applyFont="1" applyFill="1" applyBorder="1" applyAlignment="1">
      <x:alignment horizontal="center" wrapText="1"/>
    </x:xf>
    <x:xf numFmtId="0" fontId="2" fillId="7" borderId="25" xfId="0" applyNumberFormat="1" applyFont="1" applyFill="1" applyBorder="1" applyAlignment="1">
      <x:alignment horizontal="center" wrapText="1"/>
    </x:xf>
    <x:xf numFmtId="0" fontId="2" fillId="7" borderId="26" xfId="0" applyNumberFormat="1" applyFont="1" applyFill="1" applyBorder="1" applyAlignment="1">
      <x:alignment horizontal="center" wrapText="1"/>
    </x:xf>
    <x:xf numFmtId="0" fontId="2" fillId="7" borderId="24" xfId="0" applyNumberFormat="1" applyFont="1" applyFill="1" applyBorder="1" applyAlignment="1">
      <x:alignment horizontal="center" vertical="center" wrapText="1"/>
    </x:xf>
    <x:xf numFmtId="0" fontId="2" fillId="7" borderId="25" xfId="0" applyNumberFormat="1" applyFont="1" applyFill="1" applyBorder="1" applyAlignment="1">
      <x:alignment horizontal="center" vertical="center" wrapText="1"/>
    </x:xf>
    <x:xf numFmtId="0" fontId="2" fillId="7" borderId="26" xfId="0" applyNumberFormat="1" applyFont="1" applyFill="1" applyBorder="1" applyAlignment="1">
      <x:alignment horizontal="center" vertical="center" wrapText="1"/>
    </x:xf>
    <x:xf numFmtId="200" fontId="2" fillId="7" borderId="2" xfId="0" applyNumberFormat="1" applyFont="1" applyFill="1" applyBorder="1" applyAlignment="1">
      <x:alignment horizontal="center" vertical="center" wrapText="1"/>
    </x:xf>
    <x:xf numFmtId="200" fontId="2" fillId="7" borderId="3" xfId="0" applyNumberFormat="1" applyFont="1" applyFill="1" applyBorder="1" applyAlignment="1">
      <x:alignment horizontal="center" vertical="center" wrapText="1"/>
    </x:xf>
    <x:xf numFmtId="200" fontId="2" fillId="7" borderId="4" xfId="0" applyNumberFormat="1" applyFont="1" applyFill="1" applyBorder="1" applyAlignment="1">
      <x:alignment horizontal="center" vertical="center" wrapText="1"/>
    </x:xf>
    <x:xf numFmtId="0" fontId="2" fillId="7" borderId="11" xfId="0" applyNumberFormat="1" applyFont="1" applyFill="1" applyBorder="1"/>
    <x:xf numFmtId="0" fontId="2" fillId="7" borderId="13" xfId="0" applyNumberFormat="1" applyFont="1" applyFill="1" applyBorder="1"/>
    <x:xf numFmtId="0" fontId="2" fillId="7" borderId="11" xfId="0" applyNumberFormat="1" applyFont="1" applyFill="1" applyBorder="1" applyAlignment="1">
      <x:alignment wrapText="1"/>
    </x:xf>
    <x:xf numFmtId="0" fontId="2" fillId="7" borderId="13" xfId="0" applyNumberFormat="1" applyFont="1" applyFill="1" applyBorder="1" applyAlignment="1">
      <x:alignment wrapText="1"/>
    </x:xf>
    <x:xf numFmtId="0" fontId="2" fillId="7" borderId="11" xfId="0" applyNumberFormat="1" applyFont="1" applyFill="1" applyBorder="1" applyAlignment="1">
      <x:alignment horizontal="center" wrapText="1"/>
    </x:xf>
    <x:xf numFmtId="0" fontId="2" fillId="7" borderId="13" xfId="0" applyNumberFormat="1" applyFont="1" applyFill="1" applyBorder="1" applyAlignment="1">
      <x:alignment horizontal="center" wrapText="1"/>
    </x:xf>
    <x:xf numFmtId="0" fontId="2" fillId="7" borderId="11" xfId="0" applyNumberFormat="1" applyFont="1" applyFill="1" applyBorder="1" applyAlignment="1">
      <x:alignment horizontal="center" vertical="center" wrapText="1"/>
    </x:xf>
    <x:xf numFmtId="0" fontId="2" fillId="7" borderId="13" xfId="0" applyNumberFormat="1" applyFont="1" applyFill="1" applyBorder="1" applyAlignment="1">
      <x:alignment horizontal="center" vertical="center" wrapText="1"/>
    </x:xf>
    <x:xf numFmtId="200" fontId="2" fillId="7" borderId="11" xfId="0" applyNumberFormat="1" applyFont="1" applyFill="1" applyBorder="1" applyAlignment="1">
      <x:alignment horizontal="center" vertical="center" wrapText="1"/>
    </x:xf>
    <x:xf numFmtId="200" fontId="2" fillId="7" borderId="13" xfId="0" applyNumberFormat="1" applyFont="1" applyFill="1" applyBorder="1" applyAlignment="1">
      <x:alignment horizontal="center" vertical="center" wrapText="1"/>
    </x:xf>
    <x:xf numFmtId="201" fontId="2" fillId="7" borderId="24" xfId="0" applyNumberFormat="1" applyFont="1" applyFill="1" applyBorder="1" applyAlignment="1">
      <x:alignment horizontal="center" vertical="center" wrapText="1"/>
    </x:xf>
    <x:xf numFmtId="201" fontId="2" fillId="7" borderId="25" xfId="0" applyNumberFormat="1" applyFont="1" applyFill="1" applyBorder="1" applyAlignment="1">
      <x:alignment horizontal="center" vertical="center" wrapText="1"/>
    </x:xf>
    <x:xf numFmtId="201" fontId="2" fillId="7" borderId="26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778"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color rgb="FF111827"/>
      </x:font>
      <x:fill>
        <x:patternFill>
          <x:bgColor rgb="FFFEF3C7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color rgb="FF111827"/>
      </x:font>
      <x:fill>
        <x:patternFill>
          <x:bgColor rgb="FFFEF3C7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2832316e3c48fd" /><Relationship Type="http://schemas.openxmlformats.org/officeDocument/2006/relationships/theme" Target="/xl/theme/theme1.xml" Id="Rdac2a2959a254133" /><Relationship Type="http://schemas.openxmlformats.org/officeDocument/2006/relationships/sharedStrings" Target="/xl/sharedStrings.xml" Id="Rb4e842dcf7a947e4" /><Relationship Type="http://schemas.openxmlformats.org/officeDocument/2006/relationships/worksheet" Target="/xl/worksheets/sheet1.xml" Id="R9ced053827014990" /><Relationship Type="http://schemas.openxmlformats.org/officeDocument/2006/relationships/worksheet" Target="/xl/worksheets/sheet2.xml" Id="Rca3d7bacfc6349bf" /><Relationship Type="http://schemas.openxmlformats.org/officeDocument/2006/relationships/worksheet" Target="/xl/worksheets/sheet3.xml" Id="R865206f98e254d6d" /><Relationship Type="http://schemas.openxmlformats.org/officeDocument/2006/relationships/worksheet" Target="/xl/worksheets/sheet4.xml" Id="R92191ec1083244f9" /><Relationship Type="http://schemas.openxmlformats.org/officeDocument/2006/relationships/worksheet" Target="/xl/worksheets/sheet5.xml" Id="R4519d4d566a94ca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a83bf399496480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Итоговый балл моделей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Итог, 0–100</c:v>
          </c:tx>
          <c:cat>
            <c:strRef>
              <c:f>'Сводка моделей'!$B$2:$B$25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'Сводка моделей'!$F$2:$F$25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18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a83bf399496480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44f454f27ddf4752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38" hidden="0" customWidth="1"/>
  </x:cols>
  <x:sheetData>
    <x:row r="1" ht="42" customHeight="1">
      <x:c r="A1" s="13" t="str">
        <x:v>Раздел</x:v>
      </x:c>
      <x:c r="B1" s="14" t="str">
        <x:v>Заданий</x:v>
      </x:c>
      <x:c r="C1" s="14" t="str">
        <x:v>GPT 5.6 Sol low</x:v>
      </x:c>
      <x:c r="D1" s="14" t="str">
        <x:v>GPT 5.6 Sol medium</x:v>
      </x:c>
      <x:c r="E1" s="14" t="str">
        <x:v>Qwen 3.8 max</x:v>
      </x:c>
      <x:c r="F1" s="14" t="str">
        <x:v>GPT 5.5 high</x:v>
      </x:c>
      <x:c r="G1" s="14" t="str">
        <x:v>GPT 5.6 Sol high</x:v>
      </x:c>
      <x:c r="H1" s="14" t="str">
        <x:v>DeepSeek chat</x:v>
      </x:c>
      <x:c r="I1" s="14" t="str">
        <x:v>Qwen 3.8 27b с thinking</x:v>
      </x:c>
      <x:c r="J1" s="14" t="str">
        <x:v>Qwen 3.8 Flash Next с thinking</x:v>
      </x:c>
      <x:c r="K1" s="14" t="str">
        <x:v>GPT 5.5 medium</x:v>
      </x:c>
      <x:c r="L1" s="14" t="str">
        <x:v>Qwen 3.8 27b uncensored с thinking</x:v>
      </x:c>
      <x:c r="M1" s="14" t="str">
        <x:v>GPT 5.5 — low</x:v>
      </x:c>
      <x:c r="N1" s="14" t="str">
        <x:v>Qwen 3.6 35b a3b mtp с thinking</x:v>
      </x:c>
      <x:c r="O1" s="14" t="str">
        <x:v>Qwen 3.6 35b a3b mtp без thinking</x:v>
      </x:c>
      <x:c r="P1" s="14" t="str">
        <x:v>Qwen 3.6 35b a3b HauhauCS с thinking</x:v>
      </x:c>
      <x:c r="Q1" s="14" t="str">
        <x:v>Qwen 3.8 27b uncensored без thinking</x:v>
      </x:c>
      <x:c r="R1" s="14" t="str">
        <x:v>Qwen 3.8 27b без thinking</x:v>
      </x:c>
      <x:c r="S1" s="283" t="str">
        <x:v>Qwen 3.8 Flash Next без thinking</x:v>
      </x:c>
      <x:c r="T1" s="258" t="str">
        <x:v>Qwen 3.6 35b a3b HauhauCS без thinking</x:v>
      </x:c>
      <x:c r="U1" s="258" t="str">
        <x:v>gemma4-12b-qat-uncensored-hauhaucs-balanced без thinking</x:v>
      </x:c>
      <x:c r="V1" t="str">
        <x:v>gemma4-12b-qat-uncensored-hauhaucs-balanced с thinking</x:v>
      </x:c>
      <x:c r="W1" t="str">
        <x:v>gemma-4-e4b-hauhaucs-aggressive с thinking</x:v>
      </x:c>
      <x:c r="X1" t="str">
        <x:v>gemma-4-e4b-hauhaucs-aggressive без thinking</x:v>
      </x:c>
      <x:c r="Y1" t="str">
        <x:v>gemma-4-e2b-hauhaucs-aggressive с thinking</x:v>
      </x:c>
      <x:c r="Z1" t="str">
        <x:v>gemma-4-e2b-hauhaucs-aggressive без thinking</x:v>
      </x:c>
      <x:c r="AA1" t="str">
        <x:v>Среднее оценённых, 0–100</x:v>
      </x:c>
      <x:c r="AB1" t="str">
        <x:v>Лидер раздела</x:v>
      </x:c>
      <x:c r="AC1"/>
      <x:c r="AD1"/>
      <x:c r="AE1"/>
      <x:c r="AF1"/>
    </x:row>
    <x:row r="2">
      <x:c r="A2" s="49" t="str">
        <x:v>R — РАССУЖДЕНИЕ И ЛОГИКА</x:v>
      </x:c>
      <x:c r="B2" s="50" t="n">
        <x:v>8</x:v>
      </x:c>
      <x:c r="C2" s="342" t="n">
        <x:f>IF(COUNT('Детальная оценка'!D2:D9)=0,"",SUM('Детальная оценка'!D2:D9)/8)</x:f>
        <x:v>100</x:v>
      </x:c>
      <x:c r="D2" s="342" t="n">
        <x:f>IF(COUNT('Детальная оценка'!E2:E9)=0,"",SUM('Детальная оценка'!E2:E9)/8)</x:f>
        <x:v>100</x:v>
      </x:c>
      <x:c r="E2" s="342" t="n">
        <x:f>IF(COUNT('Детальная оценка'!F2:F9)=0,"",SUM('Детальная оценка'!F2:F9)/8)</x:f>
        <x:v>100</x:v>
      </x:c>
      <x:c r="F2" s="342" t="n">
        <x:f>IF(COUNT('Детальная оценка'!G2:G9)=0,"",SUM('Детальная оценка'!G2:G9)/8)</x:f>
        <x:v>100</x:v>
      </x:c>
      <x:c r="G2" s="342" t="n">
        <x:f>IF(COUNT('Детальная оценка'!H2:H9)=0,"",SUM('Детальная оценка'!H2:H9)/8)</x:f>
        <x:v>90</x:v>
      </x:c>
      <x:c r="H2" s="342" t="n">
        <x:f>IF(COUNT('Детальная оценка'!I2:I9)=0,"",SUM('Детальная оценка'!I2:I9)/8)</x:f>
        <x:v>98.75</x:v>
      </x:c>
      <x:c r="I2" s="342" t="n">
        <x:f>IF(COUNT('Детальная оценка'!J2:J9)=0,"",SUM('Детальная оценка'!J2:J9)/8)</x:f>
        <x:v>100</x:v>
      </x:c>
      <x:c r="J2" s="342" t="n">
        <x:f>IF(COUNT('Детальная оценка'!K2:K9)=0,"",SUM('Детальная оценка'!K2:K9)/8)</x:f>
        <x:v>98.75</x:v>
      </x:c>
      <x:c r="K2" s="342" t="n">
        <x:f>IF(COUNT('Детальная оценка'!L2:L9)=0,"",SUM('Детальная оценка'!L2:L9)/8)</x:f>
        <x:v>87.5</x:v>
      </x:c>
      <x:c r="L2" s="342" t="n">
        <x:f>IF(COUNT('Детальная оценка'!M2:M9)=0,"",SUM('Детальная оценка'!M2:M9)/8)</x:f>
        <x:v>98.75</x:v>
      </x:c>
      <x:c r="M2" s="342" t="n">
        <x:f>IF(COUNT('Детальная оценка'!N2:N9)=0,"",SUM('Детальная оценка'!N2:N9)/8)</x:f>
        <x:v>86.25</x:v>
      </x:c>
      <x:c r="N2" s="342" t="n">
        <x:f>IF(COUNT('Детальная оценка'!O2:O9)=0,"",SUM('Детальная оценка'!O2:O9)/8)</x:f>
        <x:v>90</x:v>
      </x:c>
      <x:c r="O2" s="342" t="n">
        <x:f>IF(COUNT('Детальная оценка'!P2:P9)=0,"",SUM('Детальная оценка'!P2:P9)/8)</x:f>
        <x:v>90</x:v>
      </x:c>
      <x:c r="P2" s="342" t="n">
        <x:f>IF(COUNT('Детальная оценка'!Q2:Q9)=0,"",SUM('Детальная оценка'!Q2:Q9)/8)</x:f>
        <x:v>90</x:v>
      </x:c>
      <x:c r="Q2" s="342" t="n">
        <x:f>IF(COUNT('Детальная оценка'!R2:R9)=0,"",SUM('Детальная оценка'!R2:R9)/8)</x:f>
        <x:v>93.75</x:v>
      </x:c>
      <x:c r="R2" s="342" t="n">
        <x:f>IF(COUNT('Детальная оценка'!S2:S9)=0,"",SUM('Детальная оценка'!S2:S9)/8)</x:f>
        <x:v>85</x:v>
      </x:c>
      <x:c r="S2" s="342" t="n">
        <x:f>IF(COUNT('Детальная оценка'!T2:T9)=0,"",SUM('Детальная оценка'!T2:T9)/8)</x:f>
        <x:v>95</x:v>
      </x:c>
      <x:c r="T2" s="342" t="n">
        <x:f>IF(COUNT('Детальная оценка'!U2:U9)=0,"",SUM('Детальная оценка'!U2:U9)/8)</x:f>
        <x:v>85</x:v>
      </x:c>
      <x:c r="U2" s="371" t="n">
        <x:f>IF(COUNT('Детальная оценка'!V2:V9)=0,"",SUM('Детальная оценка'!V2:V9)/8)</x:f>
        <x:v>82.5</x:v>
      </x:c>
      <x:c r="V2" s="371" t="n">
        <x:f>IF(COUNT('Детальная оценка'!W2:W9)=0,"",SUM('Детальная оценка'!W2:W9)/8)</x:f>
        <x:v>97.5</x:v>
      </x:c>
      <x:c r="W2" s="371" t="n">
        <x:f>IF(COUNT('Детальная оценка'!X2:X9)=0,"",SUM('Детальная оценка'!X2:X9)/8)</x:f>
        <x:v>95</x:v>
      </x:c>
      <x:c r="X2" s="371" t="n">
        <x:f>IF(COUNT('Детальная оценка'!Y2:Y9)=0,"",SUM('Детальная оценка'!Y2:Y9)/8)</x:f>
        <x:v>60</x:v>
      </x:c>
      <x:c r="Y2" s="371" t="n">
        <x:f>IF(COUNT('Детальная оценка'!Z2:Z9)=0,"",SUM('Детальная оценка'!Z2:Z9)/8)</x:f>
        <x:v>50</x:v>
      </x:c>
      <x:c r="Z2" s="372" t="n">
        <x:f>IF(COUNT('Детальная оценка'!AA2:AA9)=0,"",SUM('Детальная оценка'!AA2:AA9)/8)</x:f>
        <x:v>72.5</x:v>
      </x:c>
      <x:c r="AA2" s="342" t="n">
        <x:f>IF(COUNT(C2:Z2)=0,"",AVERAGE(C2:Z2))</x:f>
        <x:v>89.42708333333333</x:v>
      </x:c>
      <x:c r="AB2" t="str">
        <x:f>IFERROR(INDEX($C$1:$Z$1,1,MATCH(MAX(C2:Z2),C2:Z2,0)),"")</x:f>
        <x:v>GPT 5.6 Sol low</x:v>
      </x:c>
    </x:row>
    <x:row r="3">
      <x:c r="A3" s="52" t="str">
        <x:v>GK — ОБЩИЕ ЗНАНИЯ</x:v>
      </x:c>
      <x:c r="B3" s="53" t="n">
        <x:v>8</x:v>
      </x:c>
      <x:c r="C3" s="344" t="n">
        <x:f>IF(COUNT('Детальная оценка'!D10:D17)=0,"",SUM('Детальная оценка'!D10:D17)/8)</x:f>
        <x:v>100</x:v>
      </x:c>
      <x:c r="D3" s="344" t="n">
        <x:f>IF(COUNT('Детальная оценка'!E10:E17)=0,"",SUM('Детальная оценка'!E10:E17)/8)</x:f>
        <x:v>100</x:v>
      </x:c>
      <x:c r="E3" s="344" t="n">
        <x:f>IF(COUNT('Детальная оценка'!F10:F17)=0,"",SUM('Детальная оценка'!F10:F17)/8)</x:f>
        <x:v>100</x:v>
      </x:c>
      <x:c r="F3" s="344" t="n">
        <x:f>IF(COUNT('Детальная оценка'!G10:G17)=0,"",SUM('Детальная оценка'!G10:G17)/8)</x:f>
        <x:v>100</x:v>
      </x:c>
      <x:c r="G3" s="344" t="n">
        <x:f>IF(COUNT('Детальная оценка'!H10:H17)=0,"",SUM('Детальная оценка'!H10:H17)/8)</x:f>
        <x:v>100</x:v>
      </x:c>
      <x:c r="H3" s="344" t="n">
        <x:f>IF(COUNT('Детальная оценка'!I10:I17)=0,"",SUM('Детальная оценка'!I10:I17)/8)</x:f>
        <x:v>100</x:v>
      </x:c>
      <x:c r="I3" s="344" t="n">
        <x:f>IF(COUNT('Детальная оценка'!J10:J17)=0,"",SUM('Детальная оценка'!J10:J17)/8)</x:f>
        <x:v>100</x:v>
      </x:c>
      <x:c r="J3" s="344" t="n">
        <x:f>IF(COUNT('Детальная оценка'!K10:K17)=0,"",SUM('Детальная оценка'!K10:K17)/8)</x:f>
        <x:v>100</x:v>
      </x:c>
      <x:c r="K3" s="344" t="n">
        <x:f>IF(COUNT('Детальная оценка'!L10:L17)=0,"",SUM('Детальная оценка'!L10:L17)/8)</x:f>
        <x:v>100</x:v>
      </x:c>
      <x:c r="L3" s="344" t="n">
        <x:f>IF(COUNT('Детальная оценка'!M10:M17)=0,"",SUM('Детальная оценка'!M10:M17)/8)</x:f>
        <x:v>100</x:v>
      </x:c>
      <x:c r="M3" s="344" t="n">
        <x:f>IF(COUNT('Детальная оценка'!N10:N17)=0,"",SUM('Детальная оценка'!N10:N17)/8)</x:f>
        <x:v>100</x:v>
      </x:c>
      <x:c r="N3" s="344" t="n">
        <x:f>IF(COUNT('Детальная оценка'!O10:O17)=0,"",SUM('Детальная оценка'!O10:O17)/8)</x:f>
        <x:v>100</x:v>
      </x:c>
      <x:c r="O3" s="344" t="n">
        <x:f>IF(COUNT('Детальная оценка'!P10:P17)=0,"",SUM('Детальная оценка'!P10:P17)/8)</x:f>
        <x:v>95</x:v>
      </x:c>
      <x:c r="P3" s="344" t="n">
        <x:f>IF(COUNT('Детальная оценка'!Q10:Q17)=0,"",SUM('Детальная оценка'!Q10:Q17)/8)</x:f>
        <x:v>100</x:v>
      </x:c>
      <x:c r="Q3" s="344" t="n">
        <x:f>IF(COUNT('Детальная оценка'!R10:R17)=0,"",SUM('Детальная оценка'!R10:R17)/8)</x:f>
        <x:v>97.5</x:v>
      </x:c>
      <x:c r="R3" s="344" t="n">
        <x:f>IF(COUNT('Детальная оценка'!S10:S17)=0,"",SUM('Детальная оценка'!S10:S17)/8)</x:f>
        <x:v>97.5</x:v>
      </x:c>
      <x:c r="S3" s="344" t="n">
        <x:f>IF(COUNT('Детальная оценка'!T10:T17)=0,"",SUM('Детальная оценка'!T10:T17)/8)</x:f>
        <x:v>96.25</x:v>
      </x:c>
      <x:c r="T3" s="344" t="n">
        <x:f>IF(COUNT('Детальная оценка'!U10:U17)=0,"",SUM('Детальная оценка'!U10:U17)/8)</x:f>
        <x:v>95</x:v>
      </x:c>
      <x:c r="U3" s="373" t="n">
        <x:f>IF(COUNT('Детальная оценка'!V10:V17)=0,"",SUM('Детальная оценка'!V10:V17)/8)</x:f>
        <x:v>80</x:v>
      </x:c>
      <x:c r="V3" s="373" t="n">
        <x:f>IF(COUNT('Детальная оценка'!W10:W17)=0,"",SUM('Детальная оценка'!W10:W17)/8)</x:f>
        <x:v>85</x:v>
      </x:c>
      <x:c r="W3" s="373" t="n">
        <x:f>IF(COUNT('Детальная оценка'!X10:X17)=0,"",SUM('Детальная оценка'!X10:X17)/8)</x:f>
        <x:v>100</x:v>
      </x:c>
      <x:c r="X3" s="373" t="n">
        <x:f>IF(COUNT('Детальная оценка'!Y10:Y17)=0,"",SUM('Детальная оценка'!Y10:Y17)/8)</x:f>
        <x:v>100</x:v>
      </x:c>
      <x:c r="Y3" s="373" t="n">
        <x:f>IF(COUNT('Детальная оценка'!Z10:Z17)=0,"",SUM('Детальная оценка'!Z10:Z17)/8)</x:f>
        <x:v>80</x:v>
      </x:c>
      <x:c r="Z3" s="374" t="n">
        <x:f>IF(COUNT('Детальная оценка'!AA10:AA17)=0,"",SUM('Детальная оценка'!AA10:AA17)/8)</x:f>
        <x:v>80</x:v>
      </x:c>
      <x:c r="AA3" s="344" t="n">
        <x:f>IF(COUNT(C3:Z3)=0,"",AVERAGE(C3:Z3))</x:f>
        <x:v>96.09375</x:v>
      </x:c>
      <x:c r="AB3" t="str">
        <x:f>IFERROR(INDEX($C$1:$Z$1,1,MATCH(MAX(C3:Z3),C3:Z3,0)),"")</x:f>
        <x:v>GPT 5.6 Sol low</x:v>
      </x:c>
    </x:row>
    <x:row r="4">
      <x:c r="A4" s="52" t="str">
        <x:v>SCI — НАУКА</x:v>
      </x:c>
      <x:c r="B4" s="53" t="n">
        <x:v>8</x:v>
      </x:c>
      <x:c r="C4" s="344" t="n">
        <x:f>IF(COUNT('Детальная оценка'!D18:D25)=0,"",SUM('Детальная оценка'!D18:D25)/8)</x:f>
        <x:v>100</x:v>
      </x:c>
      <x:c r="D4" s="344" t="n">
        <x:f>IF(COUNT('Детальная оценка'!E18:E25)=0,"",SUM('Детальная оценка'!E18:E25)/8)</x:f>
        <x:v>100</x:v>
      </x:c>
      <x:c r="E4" s="344" t="n">
        <x:f>IF(COUNT('Детальная оценка'!F18:F25)=0,"",SUM('Детальная оценка'!F18:F25)/8)</x:f>
        <x:v>100</x:v>
      </x:c>
      <x:c r="F4" s="344" t="n">
        <x:f>IF(COUNT('Детальная оценка'!G18:G25)=0,"",SUM('Детальная оценка'!G18:G25)/8)</x:f>
        <x:v>100</x:v>
      </x:c>
      <x:c r="G4" s="344" t="n">
        <x:f>IF(COUNT('Детальная оценка'!H18:H25)=0,"",SUM('Детальная оценка'!H18:H25)/8)</x:f>
        <x:v>100</x:v>
      </x:c>
      <x:c r="H4" s="344" t="n">
        <x:f>IF(COUNT('Детальная оценка'!I18:I25)=0,"",SUM('Детальная оценка'!I18:I25)/8)</x:f>
        <x:v>100</x:v>
      </x:c>
      <x:c r="I4" s="344" t="n">
        <x:f>IF(COUNT('Детальная оценка'!J18:J25)=0,"",SUM('Детальная оценка'!J18:J25)/8)</x:f>
        <x:v>100</x:v>
      </x:c>
      <x:c r="J4" s="344" t="n">
        <x:f>IF(COUNT('Детальная оценка'!K18:K25)=0,"",SUM('Детальная оценка'!K18:K25)/8)</x:f>
        <x:v>100</x:v>
      </x:c>
      <x:c r="K4" s="344" t="n">
        <x:f>IF(COUNT('Детальная оценка'!L18:L25)=0,"",SUM('Детальная оценка'!L18:L25)/8)</x:f>
        <x:v>100</x:v>
      </x:c>
      <x:c r="L4" s="344" t="n">
        <x:f>IF(COUNT('Детальная оценка'!M18:M25)=0,"",SUM('Детальная оценка'!M18:M25)/8)</x:f>
        <x:v>100</x:v>
      </x:c>
      <x:c r="M4" s="344" t="n">
        <x:f>IF(COUNT('Детальная оценка'!N18:N25)=0,"",SUM('Детальная оценка'!N18:N25)/8)</x:f>
        <x:v>100</x:v>
      </x:c>
      <x:c r="N4" s="344" t="n">
        <x:f>IF(COUNT('Детальная оценка'!O18:O25)=0,"",SUM('Детальная оценка'!O18:O25)/8)</x:f>
        <x:v>97.5</x:v>
      </x:c>
      <x:c r="O4" s="344" t="n">
        <x:f>IF(COUNT('Детальная оценка'!P18:P25)=0,"",SUM('Детальная оценка'!P18:P25)/8)</x:f>
        <x:v>97.5</x:v>
      </x:c>
      <x:c r="P4" s="344" t="n">
        <x:f>IF(COUNT('Детальная оценка'!Q18:Q25)=0,"",SUM('Детальная оценка'!Q18:Q25)/8)</x:f>
        <x:v>100</x:v>
      </x:c>
      <x:c r="Q4" s="344" t="n">
        <x:f>IF(COUNT('Детальная оценка'!R18:R25)=0,"",SUM('Детальная оценка'!R18:R25)/8)</x:f>
        <x:v>95</x:v>
      </x:c>
      <x:c r="R4" s="344" t="n">
        <x:f>IF(COUNT('Детальная оценка'!S18:S25)=0,"",SUM('Детальная оценка'!S18:S25)/8)</x:f>
        <x:v>97.5</x:v>
      </x:c>
      <x:c r="S4" s="344" t="n">
        <x:f>IF(COUNT('Детальная оценка'!T18:T25)=0,"",SUM('Детальная оценка'!T18:T25)/8)</x:f>
        <x:v>95</x:v>
      </x:c>
      <x:c r="T4" s="344" t="n">
        <x:f>IF(COUNT('Детальная оценка'!U18:U25)=0,"",SUM('Детальная оценка'!U18:U25)/8)</x:f>
        <x:v>95</x:v>
      </x:c>
      <x:c r="U4" s="373" t="n">
        <x:f>IF(COUNT('Детальная оценка'!V18:V25)=0,"",SUM('Детальная оценка'!V18:V25)/8)</x:f>
        <x:v>92.5</x:v>
      </x:c>
      <x:c r="V4" s="373" t="n">
        <x:f>IF(COUNT('Детальная оценка'!W18:W25)=0,"",SUM('Детальная оценка'!W18:W25)/8)</x:f>
        <x:v>90</x:v>
      </x:c>
      <x:c r="W4" s="373" t="n">
        <x:f>IF(COUNT('Детальная оценка'!X18:X25)=0,"",SUM('Детальная оценка'!X18:X25)/8)</x:f>
        <x:v>70</x:v>
      </x:c>
      <x:c r="X4" s="373" t="n">
        <x:f>IF(COUNT('Детальная оценка'!Y18:Y25)=0,"",SUM('Детальная оценка'!Y18:Y25)/8)</x:f>
        <x:v>70</x:v>
      </x:c>
      <x:c r="Y4" s="373" t="n">
        <x:f>IF(COUNT('Детальная оценка'!Z18:Z25)=0,"",SUM('Детальная оценка'!Z18:Z25)/8)</x:f>
        <x:v>70</x:v>
      </x:c>
      <x:c r="Z4" s="374" t="n">
        <x:f>IF(COUNT('Детальная оценка'!AA18:AA25)=0,"",SUM('Детальная оценка'!AA18:AA25)/8)</x:f>
        <x:v>60</x:v>
      </x:c>
      <x:c r="AA4" s="344" t="n">
        <x:f>IF(COUNT(C4:Z4)=0,"",AVERAGE(C4:Z4))</x:f>
        <x:v>92.91666666666667</x:v>
      </x:c>
      <x:c r="AB4" t="str">
        <x:f>IFERROR(INDEX($C$1:$Z$1,1,MATCH(MAX(C4:Z4),C4:Z4,0)),"")</x:f>
        <x:v>GPT 5.6 Sol low</x:v>
      </x:c>
    </x:row>
    <x:row r="5">
      <x:c r="A5" s="52" t="str">
        <x:v>MED — МЕДИЦИНСКИЕ ЗНАНИЯ</x:v>
      </x:c>
      <x:c r="B5" s="53" t="n">
        <x:v>8</x:v>
      </x:c>
      <x:c r="C5" s="344" t="n">
        <x:f>IF(COUNT('Детальная оценка'!D26:D33)=0,"",SUM('Детальная оценка'!D26:D33)/8)</x:f>
        <x:v>100</x:v>
      </x:c>
      <x:c r="D5" s="344" t="n">
        <x:f>IF(COUNT('Детальная оценка'!E26:E33)=0,"",SUM('Детальная оценка'!E26:E33)/8)</x:f>
        <x:v>100</x:v>
      </x:c>
      <x:c r="E5" s="344" t="n">
        <x:f>IF(COUNT('Детальная оценка'!F26:F33)=0,"",SUM('Детальная оценка'!F26:F33)/8)</x:f>
        <x:v>100</x:v>
      </x:c>
      <x:c r="F5" s="344" t="n">
        <x:f>IF(COUNT('Детальная оценка'!G26:G33)=0,"",SUM('Детальная оценка'!G26:G33)/8)</x:f>
        <x:v>100</x:v>
      </x:c>
      <x:c r="G5" s="344" t="n">
        <x:f>IF(COUNT('Детальная оценка'!H26:H33)=0,"",SUM('Детальная оценка'!H26:H33)/8)</x:f>
        <x:v>100</x:v>
      </x:c>
      <x:c r="H5" s="344" t="n">
        <x:f>IF(COUNT('Детальная оценка'!I26:I33)=0,"",SUM('Детальная оценка'!I26:I33)/8)</x:f>
        <x:v>100</x:v>
      </x:c>
      <x:c r="I5" s="344" t="n">
        <x:f>IF(COUNT('Детальная оценка'!J26:J33)=0,"",SUM('Детальная оценка'!J26:J33)/8)</x:f>
        <x:v>100</x:v>
      </x:c>
      <x:c r="J5" s="344" t="n">
        <x:f>IF(COUNT('Детальная оценка'!K26:K33)=0,"",SUM('Детальная оценка'!K26:K33)/8)</x:f>
        <x:v>98.75</x:v>
      </x:c>
      <x:c r="K5" s="344" t="n">
        <x:f>IF(COUNT('Детальная оценка'!L26:L33)=0,"",SUM('Детальная оценка'!L26:L33)/8)</x:f>
        <x:v>100</x:v>
      </x:c>
      <x:c r="L5" s="344" t="n">
        <x:f>IF(COUNT('Детальная оценка'!M26:M33)=0,"",SUM('Детальная оценка'!M26:M33)/8)</x:f>
        <x:v>97.5</x:v>
      </x:c>
      <x:c r="M5" s="344" t="n">
        <x:f>IF(COUNT('Детальная оценка'!N26:N33)=0,"",SUM('Детальная оценка'!N26:N33)/8)</x:f>
        <x:v>100</x:v>
      </x:c>
      <x:c r="N5" s="344" t="n">
        <x:f>IF(COUNT('Детальная оценка'!O26:O33)=0,"",SUM('Детальная оценка'!O26:O33)/8)</x:f>
        <x:v>100</x:v>
      </x:c>
      <x:c r="O5" s="344" t="n">
        <x:f>IF(COUNT('Детальная оценка'!P26:P33)=0,"",SUM('Детальная оценка'!P26:P33)/8)</x:f>
        <x:v>97.5</x:v>
      </x:c>
      <x:c r="P5" s="344" t="n">
        <x:f>IF(COUNT('Детальная оценка'!Q26:Q33)=0,"",SUM('Детальная оценка'!Q26:Q33)/8)</x:f>
        <x:v>95</x:v>
      </x:c>
      <x:c r="Q5" s="344" t="n">
        <x:f>IF(COUNT('Детальная оценка'!R26:R33)=0,"",SUM('Детальная оценка'!R26:R33)/8)</x:f>
        <x:v>95</x:v>
      </x:c>
      <x:c r="R5" s="344" t="n">
        <x:f>IF(COUNT('Детальная оценка'!S26:S33)=0,"",SUM('Детальная оценка'!S26:S33)/8)</x:f>
        <x:v>97.5</x:v>
      </x:c>
      <x:c r="S5" s="344" t="n">
        <x:f>IF(COUNT('Детальная оценка'!T26:T33)=0,"",SUM('Детальная оценка'!T26:T33)/8)</x:f>
        <x:v>91.25</x:v>
      </x:c>
      <x:c r="T5" s="344" t="n">
        <x:f>IF(COUNT('Детальная оценка'!U26:U33)=0,"",SUM('Детальная оценка'!U26:U33)/8)</x:f>
        <x:v>92.5</x:v>
      </x:c>
      <x:c r="U5" s="373" t="n">
        <x:f>IF(COUNT('Детальная оценка'!V26:V33)=0,"",SUM('Детальная оценка'!V26:V33)/8)</x:f>
        <x:v>82.5</x:v>
      </x:c>
      <x:c r="V5" s="373" t="n">
        <x:f>IF(COUNT('Детальная оценка'!W26:W33)=0,"",SUM('Детальная оценка'!W26:W33)/8)</x:f>
        <x:v>82.5</x:v>
      </x:c>
      <x:c r="W5" s="373" t="n">
        <x:f>IF(COUNT('Детальная оценка'!X26:X33)=0,"",SUM('Детальная оценка'!X26:X33)/8)</x:f>
        <x:v>80</x:v>
      </x:c>
      <x:c r="X5" s="373" t="n">
        <x:f>IF(COUNT('Детальная оценка'!Y26:Y33)=0,"",SUM('Детальная оценка'!Y26:Y33)/8)</x:f>
        <x:v>80</x:v>
      </x:c>
      <x:c r="Y5" s="373" t="n">
        <x:f>IF(COUNT('Детальная оценка'!Z26:Z33)=0,"",SUM('Детальная оценка'!Z26:Z33)/8)</x:f>
        <x:v>47.5</x:v>
      </x:c>
      <x:c r="Z5" s="374" t="n">
        <x:f>IF(COUNT('Детальная оценка'!AA26:AA33)=0,"",SUM('Детальная оценка'!AA26:AA33)/8)</x:f>
        <x:v>47.5</x:v>
      </x:c>
      <x:c r="AA5" s="344" t="n">
        <x:f>IF(COUNT(C5:Z5)=0,"",AVERAGE(C5:Z5))</x:f>
        <x:v>91.04166666666667</x:v>
      </x:c>
      <x:c r="AB5" t="str">
        <x:f>IFERROR(INDEX($C$1:$Z$1,1,MATCH(MAX(C5:Z5),C5:Z5,0)),"")</x:f>
        <x:v>GPT 5.6 Sol low</x:v>
      </x:c>
    </x:row>
    <x:row r="6">
      <x:c r="A6" s="52" t="str">
        <x:v>MATH — МАТЕМАТИКА, ВЕРОЯТНОСТЬ И СТАТИСТИКА</x:v>
      </x:c>
      <x:c r="B6" s="53" t="n">
        <x:v>6</x:v>
      </x:c>
      <x:c r="C6" s="344" t="n">
        <x:f>IF(COUNT('Детальная оценка'!D34:D39)=0,"",SUM('Детальная оценка'!D34:D39)/6)</x:f>
        <x:v>100</x:v>
      </x:c>
      <x:c r="D6" s="344" t="n">
        <x:f>IF(COUNT('Детальная оценка'!E34:E39)=0,"",SUM('Детальная оценка'!E34:E39)/6)</x:f>
        <x:v>100</x:v>
      </x:c>
      <x:c r="E6" s="344" t="n">
        <x:f>IF(COUNT('Детальная оценка'!F34:F39)=0,"",SUM('Детальная оценка'!F34:F39)/6)</x:f>
        <x:v>100</x:v>
      </x:c>
      <x:c r="F6" s="344" t="n">
        <x:f>IF(COUNT('Детальная оценка'!G34:G39)=0,"",SUM('Детальная оценка'!G34:G39)/6)</x:f>
        <x:v>100</x:v>
      </x:c>
      <x:c r="G6" s="344" t="n">
        <x:f>IF(COUNT('Детальная оценка'!H34:H39)=0,"",SUM('Детальная оценка'!H34:H39)/6)</x:f>
        <x:v>100</x:v>
      </x:c>
      <x:c r="H6" s="344" t="n">
        <x:f>IF(COUNT('Детальная оценка'!I34:I39)=0,"",SUM('Детальная оценка'!I34:I39)/6)</x:f>
        <x:v>100</x:v>
      </x:c>
      <x:c r="I6" s="344" t="n">
        <x:f>IF(COUNT('Детальная оценка'!J34:J39)=0,"",SUM('Детальная оценка'!J34:J39)/6)</x:f>
        <x:v>100</x:v>
      </x:c>
      <x:c r="J6" s="344" t="n">
        <x:f>IF(COUNT('Детальная оценка'!K34:K39)=0,"",SUM('Детальная оценка'!K34:K39)/6)</x:f>
        <x:v>100</x:v>
      </x:c>
      <x:c r="K6" s="344" t="n">
        <x:f>IF(COUNT('Детальная оценка'!L34:L39)=0,"",SUM('Детальная оценка'!L34:L39)/6)</x:f>
        <x:v>100</x:v>
      </x:c>
      <x:c r="L6" s="344" t="n">
        <x:f>IF(COUNT('Детальная оценка'!M34:M39)=0,"",SUM('Детальная оценка'!M34:M39)/6)</x:f>
        <x:v>100</x:v>
      </x:c>
      <x:c r="M6" s="344" t="n">
        <x:f>IF(COUNT('Детальная оценка'!N34:N39)=0,"",SUM('Детальная оценка'!N34:N39)/6)</x:f>
        <x:v>100</x:v>
      </x:c>
      <x:c r="N6" s="344" t="n">
        <x:f>IF(COUNT('Детальная оценка'!O34:O39)=0,"",SUM('Детальная оценка'!O34:O39)/6)</x:f>
        <x:v>100</x:v>
      </x:c>
      <x:c r="O6" s="344" t="n">
        <x:f>IF(COUNT('Детальная оценка'!P34:P39)=0,"",SUM('Детальная оценка'!P34:P39)/6)</x:f>
        <x:v>100</x:v>
      </x:c>
      <x:c r="P6" s="344" t="n">
        <x:f>IF(COUNT('Детальная оценка'!Q34:Q39)=0,"",SUM('Детальная оценка'!Q34:Q39)/6)</x:f>
        <x:v>100</x:v>
      </x:c>
      <x:c r="Q6" s="344" t="n">
        <x:f>IF(COUNT('Детальная оценка'!R34:R39)=0,"",SUM('Детальная оценка'!R34:R39)/6)</x:f>
        <x:v>100</x:v>
      </x:c>
      <x:c r="R6" s="344" t="n">
        <x:f>IF(COUNT('Детальная оценка'!S34:S39)=0,"",SUM('Детальная оценка'!S34:S39)/6)</x:f>
        <x:v>100</x:v>
      </x:c>
      <x:c r="S6" s="344" t="n">
        <x:f>IF(COUNT('Детальная оценка'!T34:T39)=0,"",SUM('Детальная оценка'!T34:T39)/6)</x:f>
        <x:v>100</x:v>
      </x:c>
      <x:c r="T6" s="344" t="n">
        <x:f>IF(COUNT('Детальная оценка'!U34:U39)=0,"",SUM('Детальная оценка'!U34:U39)/6)</x:f>
        <x:v>100</x:v>
      </x:c>
      <x:c r="U6" s="373" t="n">
        <x:f>IF(COUNT('Детальная оценка'!V34:V39)=0,"",SUM('Детальная оценка'!V34:V39)/6)</x:f>
        <x:v>100</x:v>
      </x:c>
      <x:c r="V6" s="373" t="n">
        <x:f>IF(COUNT('Детальная оценка'!W34:W39)=0,"",SUM('Детальная оценка'!W34:W39)/6)</x:f>
        <x:v>83.33333333333333</x:v>
      </x:c>
      <x:c r="W6" s="373" t="n">
        <x:f>IF(COUNT('Детальная оценка'!X34:X39)=0,"",SUM('Детальная оценка'!X34:X39)/6)</x:f>
        <x:v>100</x:v>
      </x:c>
      <x:c r="X6" s="373" t="n">
        <x:f>IF(COUNT('Детальная оценка'!Y34:Y39)=0,"",SUM('Детальная оценка'!Y34:Y39)/6)</x:f>
        <x:v>100</x:v>
      </x:c>
      <x:c r="Y6" s="373" t="n">
        <x:f>IF(COUNT('Детальная оценка'!Z34:Z39)=0,"",SUM('Детальная оценка'!Z34:Z39)/6)</x:f>
        <x:v>66.66666666666667</x:v>
      </x:c>
      <x:c r="Z6" s="374" t="n">
        <x:f>IF(COUNT('Детальная оценка'!AA34:AA39)=0,"",SUM('Детальная оценка'!AA34:AA39)/6)</x:f>
        <x:v>100</x:v>
      </x:c>
      <x:c r="AA6" s="344" t="n">
        <x:f>IF(COUNT(C6:Z6)=0,"",AVERAGE(C6:Z6))</x:f>
        <x:v>97.91666666666664</x:v>
      </x:c>
      <x:c r="AB6" t="str">
        <x:f>IFERROR(INDEX($C$1:$Z$1,1,MATCH(MAX(C6:Z6),C6:Z6,0)),"")</x:f>
        <x:v>GPT 5.6 Sol low</x:v>
      </x:c>
    </x:row>
    <x:row r="7">
      <x:c r="A7" s="52" t="str">
        <x:v>CRIT — КРИТИЧЕСКОЕ МЫШЛЕНИЕ И ГАЛЛЮЦИНАЦИИ</x:v>
      </x:c>
      <x:c r="B7" s="53" t="n">
        <x:v>6</x:v>
      </x:c>
      <x:c r="C7" s="344" t="n">
        <x:f>IF(COUNT('Детальная оценка'!D40:D45)=0,"",SUM('Детальная оценка'!D40:D45)/6)</x:f>
        <x:v>100</x:v>
      </x:c>
      <x:c r="D7" s="344" t="n">
        <x:f>IF(COUNT('Детальная оценка'!E40:E45)=0,"",SUM('Детальная оценка'!E40:E45)/6)</x:f>
        <x:v>100</x:v>
      </x:c>
      <x:c r="E7" s="344" t="n">
        <x:f>IF(COUNT('Детальная оценка'!F40:F45)=0,"",SUM('Детальная оценка'!F40:F45)/6)</x:f>
        <x:v>100</x:v>
      </x:c>
      <x:c r="F7" s="344" t="n">
        <x:f>IF(COUNT('Детальная оценка'!G40:G45)=0,"",SUM('Детальная оценка'!G40:G45)/6)</x:f>
        <x:v>100</x:v>
      </x:c>
      <x:c r="G7" s="344" t="n">
        <x:f>IF(COUNT('Детальная оценка'!H40:H45)=0,"",SUM('Детальная оценка'!H40:H45)/6)</x:f>
        <x:v>100</x:v>
      </x:c>
      <x:c r="H7" s="344" t="n">
        <x:f>IF(COUNT('Детальная оценка'!I40:I45)=0,"",SUM('Детальная оценка'!I40:I45)/6)</x:f>
        <x:v>100</x:v>
      </x:c>
      <x:c r="I7" s="344" t="n">
        <x:f>IF(COUNT('Детальная оценка'!J40:J45)=0,"",SUM('Детальная оценка'!J40:J45)/6)</x:f>
        <x:v>96.66666666666667</x:v>
      </x:c>
      <x:c r="J7" s="344" t="n">
        <x:f>IF(COUNT('Детальная оценка'!K40:K45)=0,"",SUM('Детальная оценка'!K40:K45)/6)</x:f>
        <x:v>100</x:v>
      </x:c>
      <x:c r="K7" s="344" t="n">
        <x:f>IF(COUNT('Детальная оценка'!L40:L45)=0,"",SUM('Детальная оценка'!L40:L45)/6)</x:f>
        <x:v>100</x:v>
      </x:c>
      <x:c r="L7" s="344" t="n">
        <x:f>IF(COUNT('Детальная оценка'!M40:M45)=0,"",SUM('Детальная оценка'!M40:M45)/6)</x:f>
        <x:v>98.33333333333333</x:v>
      </x:c>
      <x:c r="M7" s="344" t="n">
        <x:f>IF(COUNT('Детальная оценка'!N40:N45)=0,"",SUM('Детальная оценка'!N40:N45)/6)</x:f>
        <x:v>100</x:v>
      </x:c>
      <x:c r="N7" s="344" t="n">
        <x:f>IF(COUNT('Детальная оценка'!O40:O45)=0,"",SUM('Детальная оценка'!O40:O45)/6)</x:f>
        <x:v>100</x:v>
      </x:c>
      <x:c r="O7" s="344" t="n">
        <x:f>IF(COUNT('Детальная оценка'!P40:P45)=0,"",SUM('Детальная оценка'!P40:P45)/6)</x:f>
        <x:v>100</x:v>
      </x:c>
      <x:c r="P7" s="344" t="n">
        <x:f>IF(COUNT('Детальная оценка'!Q40:Q45)=0,"",SUM('Детальная оценка'!Q40:Q45)/6)</x:f>
        <x:v>80</x:v>
      </x:c>
      <x:c r="Q7" s="344" t="n">
        <x:f>IF(COUNT('Детальная оценка'!R40:R45)=0,"",SUM('Детальная оценка'!R40:R45)/6)</x:f>
        <x:v>98.33333333333333</x:v>
      </x:c>
      <x:c r="R7" s="344" t="n">
        <x:f>IF(COUNT('Детальная оценка'!S40:S45)=0,"",SUM('Детальная оценка'!S40:S45)/6)</x:f>
        <x:v>90</x:v>
      </x:c>
      <x:c r="S7" s="344" t="n">
        <x:f>IF(COUNT('Детальная оценка'!T40:T45)=0,"",SUM('Детальная оценка'!T40:T45)/6)</x:f>
        <x:v>100</x:v>
      </x:c>
      <x:c r="T7" s="344" t="n">
        <x:f>IF(COUNT('Детальная оценка'!U40:U45)=0,"",SUM('Детальная оценка'!U40:U45)/6)</x:f>
        <x:v>70</x:v>
      </x:c>
      <x:c r="U7" s="373" t="n">
        <x:f>IF(COUNT('Детальная оценка'!V40:V45)=0,"",SUM('Детальная оценка'!V40:V45)/6)</x:f>
        <x:v>70</x:v>
      </x:c>
      <x:c r="V7" s="373" t="n">
        <x:f>IF(COUNT('Детальная оценка'!W40:W45)=0,"",SUM('Детальная оценка'!W40:W45)/6)</x:f>
        <x:v>93.33333333333333</x:v>
      </x:c>
      <x:c r="W7" s="373" t="n">
        <x:f>IF(COUNT('Детальная оценка'!X40:X45)=0,"",SUM('Детальная оценка'!X40:X45)/6)</x:f>
        <x:v>30</x:v>
      </x:c>
      <x:c r="X7" s="373" t="n">
        <x:f>IF(COUNT('Детальная оценка'!Y40:Y45)=0,"",SUM('Детальная оценка'!Y40:Y45)/6)</x:f>
        <x:v>30</x:v>
      </x:c>
      <x:c r="Y7" s="373" t="n">
        <x:f>IF(COUNT('Детальная оценка'!Z40:Z45)=0,"",SUM('Детальная оценка'!Z40:Z45)/6)</x:f>
        <x:v>60</x:v>
      </x:c>
      <x:c r="Z7" s="374" t="n">
        <x:f>IF(COUNT('Детальная оценка'!AA40:AA45)=0,"",SUM('Детальная оценка'!AA40:AA45)/6)</x:f>
        <x:v>73.33333333333333</x:v>
      </x:c>
      <x:c r="AA7" s="344" t="n">
        <x:f>IF(COUNT(C7:Z7)=0,"",AVERAGE(C7:Z7))</x:f>
        <x:v>87.08333333333333</x:v>
      </x:c>
      <x:c r="AB7" t="str">
        <x:f>IFERROR(INDEX($C$1:$Z$1,1,MATCH(MAX(C7:Z7),C7:Z7,0)),"")</x:f>
        <x:v>GPT 5.6 Sol low</x:v>
      </x:c>
    </x:row>
    <x:row r="8">
      <x:c r="A8" s="52" t="str">
        <x:v>CS — C# — ПОНИМАНИЕ, ОТЛАДКА И НАПИСАНИЕ</x:v>
      </x:c>
      <x:c r="B8" s="53" t="n">
        <x:v>8</x:v>
      </x:c>
      <x:c r="C8" s="344" t="n">
        <x:f>IF(COUNT('Детальная оценка'!D46:D53)=0,"",SUM('Детальная оценка'!D46:D53)/8)</x:f>
        <x:v>100</x:v>
      </x:c>
      <x:c r="D8" s="344" t="n">
        <x:f>IF(COUNT('Детальная оценка'!E46:E53)=0,"",SUM('Детальная оценка'!E46:E53)/8)</x:f>
        <x:v>100</x:v>
      </x:c>
      <x:c r="E8" s="344" t="n">
        <x:f>IF(COUNT('Детальная оценка'!F46:F53)=0,"",SUM('Детальная оценка'!F46:F53)/8)</x:f>
        <x:v>100</x:v>
      </x:c>
      <x:c r="F8" s="344" t="n">
        <x:f>IF(COUNT('Детальная оценка'!G46:G53)=0,"",SUM('Детальная оценка'!G46:G53)/8)</x:f>
        <x:v>98.75</x:v>
      </x:c>
      <x:c r="G8" s="344" t="n">
        <x:f>IF(COUNT('Детальная оценка'!H46:H53)=0,"",SUM('Детальная оценка'!H46:H53)/8)</x:f>
        <x:v>100</x:v>
      </x:c>
      <x:c r="H8" s="344" t="n">
        <x:f>IF(COUNT('Детальная оценка'!I46:I53)=0,"",SUM('Детальная оценка'!I46:I53)/8)</x:f>
        <x:v>100</x:v>
      </x:c>
      <x:c r="I8" s="344" t="n">
        <x:f>IF(COUNT('Детальная оценка'!J46:J53)=0,"",SUM('Детальная оценка'!J46:J53)/8)</x:f>
        <x:v>95</x:v>
      </x:c>
      <x:c r="J8" s="344" t="n">
        <x:f>IF(COUNT('Детальная оценка'!K46:K53)=0,"",SUM('Детальная оценка'!K46:K53)/8)</x:f>
        <x:v>97.5</x:v>
      </x:c>
      <x:c r="K8" s="344" t="n">
        <x:f>IF(COUNT('Детальная оценка'!L46:L53)=0,"",SUM('Детальная оценка'!L46:L53)/8)</x:f>
        <x:v>98.75</x:v>
      </x:c>
      <x:c r="L8" s="344" t="n">
        <x:f>IF(COUNT('Детальная оценка'!M46:M53)=0,"",SUM('Детальная оценка'!M46:M53)/8)</x:f>
        <x:v>96.875</x:v>
      </x:c>
      <x:c r="M8" s="344" t="n">
        <x:f>IF(COUNT('Детальная оценка'!N46:N53)=0,"",SUM('Детальная оценка'!N46:N53)/8)</x:f>
        <x:v>91.25</x:v>
      </x:c>
      <x:c r="N8" s="344" t="n">
        <x:f>IF(COUNT('Детальная оценка'!O46:O53)=0,"",SUM('Детальная оценка'!O46:O53)/8)</x:f>
        <x:v>90</x:v>
      </x:c>
      <x:c r="O8" s="344" t="n">
        <x:f>IF(COUNT('Детальная оценка'!P46:P53)=0,"",SUM('Детальная оценка'!P46:P53)/8)</x:f>
        <x:v>92.5</x:v>
      </x:c>
      <x:c r="P8" s="344" t="n">
        <x:f>IF(COUNT('Детальная оценка'!Q46:Q53)=0,"",SUM('Детальная оценка'!Q46:Q53)/8)</x:f>
        <x:v>87.5</x:v>
      </x:c>
      <x:c r="Q8" s="344" t="n">
        <x:f>IF(COUNT('Детальная оценка'!R46:R53)=0,"",SUM('Детальная оценка'!R46:R53)/8)</x:f>
        <x:v>84.375</x:v>
      </x:c>
      <x:c r="R8" s="344" t="n">
        <x:f>IF(COUNT('Детальная оценка'!S46:S53)=0,"",SUM('Детальная оценка'!S46:S53)/8)</x:f>
        <x:v>95</x:v>
      </x:c>
      <x:c r="S8" s="344" t="n">
        <x:f>IF(COUNT('Детальная оценка'!T46:T53)=0,"",SUM('Детальная оценка'!T46:T53)/8)</x:f>
        <x:v>96.25</x:v>
      </x:c>
      <x:c r="T8" s="344" t="n">
        <x:f>IF(COUNT('Детальная оценка'!U46:U53)=0,"",SUM('Детальная оценка'!U46:U53)/8)</x:f>
        <x:v>87.5</x:v>
      </x:c>
      <x:c r="U8" s="373" t="n">
        <x:f>IF(COUNT('Детальная оценка'!V46:V53)=0,"",SUM('Детальная оценка'!V46:V53)/8)</x:f>
        <x:v>70</x:v>
      </x:c>
      <x:c r="V8" s="373" t="n">
        <x:f>IF(COUNT('Детальная оценка'!W46:W53)=0,"",SUM('Детальная оценка'!W46:W53)/8)</x:f>
        <x:v>82.5</x:v>
      </x:c>
      <x:c r="W8" s="373" t="n">
        <x:f>IF(COUNT('Детальная оценка'!X46:X53)=0,"",SUM('Детальная оценка'!X46:X53)/8)</x:f>
        <x:v>80</x:v>
      </x:c>
      <x:c r="X8" s="373" t="n">
        <x:f>IF(COUNT('Детальная оценка'!Y46:Y53)=0,"",SUM('Детальная оценка'!Y46:Y53)/8)</x:f>
        <x:v>80</x:v>
      </x:c>
      <x:c r="Y8" s="373" t="n">
        <x:f>IF(COUNT('Детальная оценка'!Z46:Z53)=0,"",SUM('Детальная оценка'!Z46:Z53)/8)</x:f>
        <x:v>45</x:v>
      </x:c>
      <x:c r="Z8" s="374" t="n">
        <x:f>IF(COUNT('Детальная оценка'!AA46:AA53)=0,"",SUM('Детальная оценка'!AA46:AA53)/8)</x:f>
        <x:v>57.5</x:v>
      </x:c>
      <x:c r="AA8" s="344" t="n">
        <x:f>IF(COUNT(C8:Z8)=0,"",AVERAGE(C8:Z8))</x:f>
        <x:v>88.59375</x:v>
      </x:c>
      <x:c r="AB8" t="str">
        <x:f>IFERROR(INDEX($C$1:$Z$1,1,MATCH(MAX(C8:Z8),C8:Z8,0)),"")</x:f>
        <x:v>GPT 5.6 Sol low</x:v>
      </x:c>
    </x:row>
    <x:row r="9">
      <x:c r="A9" s="52" t="str">
        <x:v>PHP — PHP 8.2+ — ПОНИМАНИЕ, БЕЗОПАСНОСТЬ И АРХИТЕКТУРА</x:v>
      </x:c>
      <x:c r="B9" s="53" t="n">
        <x:v>8</x:v>
      </x:c>
      <x:c r="C9" s="344" t="n">
        <x:f>IF(COUNT('Детальная оценка'!D54:D61)=0,"",SUM('Детальная оценка'!D54:D61)/8)</x:f>
        <x:v>100</x:v>
      </x:c>
      <x:c r="D9" s="344" t="n">
        <x:f>IF(COUNT('Детальная оценка'!E54:E61)=0,"",SUM('Детальная оценка'!E54:E61)/8)</x:f>
        <x:v>100</x:v>
      </x:c>
      <x:c r="E9" s="344" t="n">
        <x:f>IF(COUNT('Детальная оценка'!F54:F61)=0,"",SUM('Детальная оценка'!F54:F61)/8)</x:f>
        <x:v>100</x:v>
      </x:c>
      <x:c r="F9" s="344" t="n">
        <x:f>IF(COUNT('Детальная оценка'!G54:G61)=0,"",SUM('Детальная оценка'!G54:G61)/8)</x:f>
        <x:v>96.25</x:v>
      </x:c>
      <x:c r="G9" s="344" t="n">
        <x:f>IF(COUNT('Детальная оценка'!H54:H61)=0,"",SUM('Детальная оценка'!H54:H61)/8)</x:f>
        <x:v>100</x:v>
      </x:c>
      <x:c r="H9" s="344" t="n">
        <x:f>IF(COUNT('Детальная оценка'!I54:I61)=0,"",SUM('Детальная оценка'!I54:I61)/8)</x:f>
        <x:v>100</x:v>
      </x:c>
      <x:c r="I9" s="344" t="n">
        <x:f>IF(COUNT('Детальная оценка'!J54:J61)=0,"",SUM('Детальная оценка'!J54:J61)/8)</x:f>
        <x:v>100</x:v>
      </x:c>
      <x:c r="J9" s="344" t="n">
        <x:f>IF(COUNT('Детальная оценка'!K54:K61)=0,"",SUM('Детальная оценка'!K54:K61)/8)</x:f>
        <x:v>100</x:v>
      </x:c>
      <x:c r="K9" s="344" t="n">
        <x:f>IF(COUNT('Детальная оценка'!L54:L61)=0,"",SUM('Детальная оценка'!L54:L61)/8)</x:f>
        <x:v>100</x:v>
      </x:c>
      <x:c r="L9" s="344" t="n">
        <x:f>IF(COUNT('Детальная оценка'!M54:M61)=0,"",SUM('Детальная оценка'!M54:M61)/8)</x:f>
        <x:v>100</x:v>
      </x:c>
      <x:c r="M9" s="344" t="n">
        <x:f>IF(COUNT('Детальная оценка'!N54:N61)=0,"",SUM('Детальная оценка'!N54:N61)/8)</x:f>
        <x:v>87.5</x:v>
      </x:c>
      <x:c r="N9" s="344" t="n">
        <x:f>IF(COUNT('Детальная оценка'!O54:O61)=0,"",SUM('Детальная оценка'!O54:O61)/8)</x:f>
        <x:v>97.5</x:v>
      </x:c>
      <x:c r="O9" s="344" t="n">
        <x:f>IF(COUNT('Детальная оценка'!P54:P61)=0,"",SUM('Детальная оценка'!P54:P61)/8)</x:f>
        <x:v>100</x:v>
      </x:c>
      <x:c r="P9" s="344" t="n">
        <x:f>IF(COUNT('Детальная оценка'!Q54:Q61)=0,"",SUM('Детальная оценка'!Q54:Q61)/8)</x:f>
        <x:v>97.5</x:v>
      </x:c>
      <x:c r="Q9" s="344" t="n">
        <x:f>IF(COUNT('Детальная оценка'!R54:R61)=0,"",SUM('Детальная оценка'!R54:R61)/8)</x:f>
        <x:v>96.25</x:v>
      </x:c>
      <x:c r="R9" s="344" t="n">
        <x:f>IF(COUNT('Детальная оценка'!S54:S61)=0,"",SUM('Детальная оценка'!S54:S61)/8)</x:f>
        <x:v>95</x:v>
      </x:c>
      <x:c r="S9" s="344" t="n">
        <x:f>IF(COUNT('Детальная оценка'!T54:T61)=0,"",SUM('Детальная оценка'!T54:T61)/8)</x:f>
        <x:v>95</x:v>
      </x:c>
      <x:c r="T9" s="344" t="n">
        <x:f>IF(COUNT('Детальная оценка'!U54:U61)=0,"",SUM('Детальная оценка'!U54:U61)/8)</x:f>
        <x:v>92.5</x:v>
      </x:c>
      <x:c r="U9" s="373" t="n">
        <x:f>IF(COUNT('Детальная оценка'!V54:V61)=0,"",SUM('Детальная оценка'!V54:V61)/8)</x:f>
        <x:v>75</x:v>
      </x:c>
      <x:c r="V9" s="373" t="n">
        <x:f>IF(COUNT('Детальная оценка'!W54:W61)=0,"",SUM('Детальная оценка'!W54:W61)/8)</x:f>
        <x:v>70</x:v>
      </x:c>
      <x:c r="W9" s="373" t="n">
        <x:f>IF(COUNT('Детальная оценка'!X54:X61)=0,"",SUM('Детальная оценка'!X54:X61)/8)</x:f>
        <x:v>72.5</x:v>
      </x:c>
      <x:c r="X9" s="373" t="n">
        <x:f>IF(COUNT('Детальная оценка'!Y54:Y61)=0,"",SUM('Детальная оценка'!Y54:Y61)/8)</x:f>
        <x:v>80</x:v>
      </x:c>
      <x:c r="Y9" s="373" t="n">
        <x:f>IF(COUNT('Детальная оценка'!Z54:Z61)=0,"",SUM('Детальная оценка'!Z54:Z61)/8)</x:f>
        <x:v>50</x:v>
      </x:c>
      <x:c r="Z9" s="374" t="n">
        <x:f>IF(COUNT('Детальная оценка'!AA54:AA61)=0,"",SUM('Детальная оценка'!AA54:AA61)/8)</x:f>
        <x:v>50</x:v>
      </x:c>
      <x:c r="AA9" s="344" t="n">
        <x:f>IF(COUNT(C9:Z9)=0,"",AVERAGE(C9:Z9))</x:f>
        <x:v>89.79166666666667</x:v>
      </x:c>
      <x:c r="AB9" t="str">
        <x:f>IFERROR(INDEX($C$1:$Z$1,1,MATCH(MAX(C9:Z9),C9:Z9,0)),"")</x:f>
        <x:v>GPT 5.6 Sol low</x:v>
      </x:c>
    </x:row>
    <x:row r="10">
      <x:c r="A10" s="52" t="str">
        <x:v>JS — JAVASCRIPT</x:v>
      </x:c>
      <x:c r="B10" s="53" t="n">
        <x:v>7</x:v>
      </x:c>
      <x:c r="C10" s="344" t="n">
        <x:f>IF(COUNT('Детальная оценка'!D62:D68)=0,"",SUM('Детальная оценка'!D62:D68)/7)</x:f>
        <x:v>100</x:v>
      </x:c>
      <x:c r="D10" s="344" t="n">
        <x:f>IF(COUNT('Детальная оценка'!E62:E68)=0,"",SUM('Детальная оценка'!E62:E68)/7)</x:f>
        <x:v>100</x:v>
      </x:c>
      <x:c r="E10" s="344" t="n">
        <x:f>IF(COUNT('Детальная оценка'!F62:F68)=0,"",SUM('Детальная оценка'!F62:F68)/7)</x:f>
        <x:v>100</x:v>
      </x:c>
      <x:c r="F10" s="344" t="n">
        <x:f>IF(COUNT('Детальная оценка'!G62:G68)=0,"",SUM('Детальная оценка'!G62:G68)/7)</x:f>
        <x:v>100</x:v>
      </x:c>
      <x:c r="G10" s="344" t="n">
        <x:f>IF(COUNT('Детальная оценка'!H62:H68)=0,"",SUM('Детальная оценка'!H62:H68)/7)</x:f>
        <x:v>100</x:v>
      </x:c>
      <x:c r="H10" s="344" t="n">
        <x:f>IF(COUNT('Детальная оценка'!I62:I68)=0,"",SUM('Детальная оценка'!I62:I68)/7)</x:f>
        <x:v>100</x:v>
      </x:c>
      <x:c r="I10" s="344" t="n">
        <x:f>IF(COUNT('Детальная оценка'!J62:J68)=0,"",SUM('Детальная оценка'!J62:J68)/7)</x:f>
        <x:v>100</x:v>
      </x:c>
      <x:c r="J10" s="344" t="n">
        <x:f>IF(COUNT('Детальная оценка'!K62:K68)=0,"",SUM('Детальная оценка'!K62:K68)/7)</x:f>
        <x:v>100</x:v>
      </x:c>
      <x:c r="K10" s="344" t="n">
        <x:f>IF(COUNT('Детальная оценка'!L62:L68)=0,"",SUM('Детальная оценка'!L62:L68)/7)</x:f>
        <x:v>100</x:v>
      </x:c>
      <x:c r="L10" s="344" t="n">
        <x:f>IF(COUNT('Детальная оценка'!M62:M68)=0,"",SUM('Детальная оценка'!M62:M68)/7)</x:f>
        <x:v>100</x:v>
      </x:c>
      <x:c r="M10" s="344" t="n">
        <x:f>IF(COUNT('Детальная оценка'!N62:N68)=0,"",SUM('Детальная оценка'!N62:N68)/7)</x:f>
        <x:v>100</x:v>
      </x:c>
      <x:c r="N10" s="344" t="n">
        <x:f>IF(COUNT('Детальная оценка'!O62:O68)=0,"",SUM('Детальная оценка'!O62:O68)/7)</x:f>
        <x:v>80</x:v>
      </x:c>
      <x:c r="O10" s="344" t="n">
        <x:f>IF(COUNT('Детальная оценка'!P62:P68)=0,"",SUM('Детальная оценка'!P62:P68)/7)</x:f>
        <x:v>80</x:v>
      </x:c>
      <x:c r="P10" s="344" t="n">
        <x:f>IF(COUNT('Детальная оценка'!Q62:Q68)=0,"",SUM('Детальная оценка'!Q62:Q68)/7)</x:f>
        <x:v>82.85714285714286</x:v>
      </x:c>
      <x:c r="Q10" s="344" t="n">
        <x:f>IF(COUNT('Детальная оценка'!R62:R68)=0,"",SUM('Детальная оценка'!R62:R68)/7)</x:f>
        <x:v>97.14285714285714</x:v>
      </x:c>
      <x:c r="R10" s="344" t="n">
        <x:f>IF(COUNT('Детальная оценка'!S62:S68)=0,"",SUM('Детальная оценка'!S62:S68)/7)</x:f>
        <x:v>94.28571428571429</x:v>
      </x:c>
      <x:c r="S10" s="344" t="n">
        <x:f>IF(COUNT('Детальная оценка'!T62:T68)=0,"",SUM('Детальная оценка'!T62:T68)/7)</x:f>
        <x:v>94.28571428571429</x:v>
      </x:c>
      <x:c r="T10" s="344" t="n">
        <x:f>IF(COUNT('Детальная оценка'!U62:U68)=0,"",SUM('Детальная оценка'!U62:U68)/7)</x:f>
        <x:v>82.85714285714286</x:v>
      </x:c>
      <x:c r="U10" s="373" t="n">
        <x:f>IF(COUNT('Детальная оценка'!V62:V68)=0,"",SUM('Детальная оценка'!V62:V68)/7)</x:f>
        <x:v>62.857142857142854</x:v>
      </x:c>
      <x:c r="V10" s="373" t="n">
        <x:f>IF(COUNT('Детальная оценка'!W62:W68)=0,"",SUM('Детальная оценка'!W62:W68)/7)</x:f>
        <x:v>57.142857142857146</x:v>
      </x:c>
      <x:c r="W10" s="373" t="n">
        <x:f>IF(COUNT('Детальная оценка'!X62:X68)=0,"",SUM('Детальная оценка'!X62:X68)/7)</x:f>
        <x:v>48.57142857142857</x:v>
      </x:c>
      <x:c r="X10" s="373" t="n">
        <x:f>IF(COUNT('Детальная оценка'!Y62:Y68)=0,"",SUM('Детальная оценка'!Y62:Y68)/7)</x:f>
        <x:v>48.57142857142857</x:v>
      </x:c>
      <x:c r="Y10" s="373" t="n">
        <x:f>IF(COUNT('Детальная оценка'!Z62:Z68)=0,"",SUM('Детальная оценка'!Z62:Z68)/7)</x:f>
        <x:v>62.857142857142854</x:v>
      </x:c>
      <x:c r="Z10" s="374" t="n">
        <x:f>IF(COUNT('Детальная оценка'!AA62:AA68)=0,"",SUM('Детальная оценка'!AA62:AA68)/7)</x:f>
        <x:v>48.57142857142857</x:v>
      </x:c>
      <x:c r="AA10" s="344" t="n">
        <x:f>IF(COUNT(C10:Z10)=0,"",AVERAGE(C10:Z10))</x:f>
        <x:v>85.00000000000001</x:v>
      </x:c>
      <x:c r="AB10" t="str">
        <x:f>IFERROR(INDEX($C$1:$Z$1,1,MATCH(MAX(C10:Z10),C10:Z10,0)),"")</x:f>
        <x:v>GPT 5.6 Sol low</x:v>
      </x:c>
    </x:row>
    <x:row r="11">
      <x:c r="A11" s="52" t="str">
        <x:v>WEB — HTML, CSS, SVG И ДОСТУПНОСТЬ</x:v>
      </x:c>
      <x:c r="B11" s="53" t="n">
        <x:v>7</x:v>
      </x:c>
      <x:c r="C11" s="344" t="n">
        <x:f>IF(COUNT('Детальная оценка'!D69:D75)=0,"",SUM('Детальная оценка'!D69:D75)/7)</x:f>
        <x:v>97.14285714285714</x:v>
      </x:c>
      <x:c r="D11" s="344" t="n">
        <x:f>IF(COUNT('Детальная оценка'!E69:E75)=0,"",SUM('Детальная оценка'!E69:E75)/7)</x:f>
        <x:v>97.14285714285714</x:v>
      </x:c>
      <x:c r="E11" s="344" t="n">
        <x:f>IF(COUNT('Детальная оценка'!F69:F75)=0,"",SUM('Детальная оценка'!F69:F75)/7)</x:f>
        <x:v>94.28571428571429</x:v>
      </x:c>
      <x:c r="F11" s="344" t="n">
        <x:f>IF(COUNT('Детальная оценка'!G69:G75)=0,"",SUM('Детальная оценка'!G69:G75)/7)</x:f>
        <x:v>97.14285714285714</x:v>
      </x:c>
      <x:c r="G11" s="344" t="n">
        <x:f>IF(COUNT('Детальная оценка'!H69:H75)=0,"",SUM('Детальная оценка'!H69:H75)/7)</x:f>
        <x:v>97.14285714285714</x:v>
      </x:c>
      <x:c r="H11" s="344" t="n">
        <x:f>IF(COUNT('Детальная оценка'!I69:I75)=0,"",SUM('Детальная оценка'!I69:I75)/7)</x:f>
        <x:v>97.14285714285714</x:v>
      </x:c>
      <x:c r="I11" s="344" t="n">
        <x:f>IF(COUNT('Детальная оценка'!J69:J75)=0,"",SUM('Детальная оценка'!J69:J75)/7)</x:f>
        <x:v>97.14285714285714</x:v>
      </x:c>
      <x:c r="J11" s="344" t="n">
        <x:f>IF(COUNT('Детальная оценка'!K69:K75)=0,"",SUM('Детальная оценка'!K69:K75)/7)</x:f>
        <x:v>97.14285714285714</x:v>
      </x:c>
      <x:c r="K11" s="344" t="n">
        <x:f>IF(COUNT('Детальная оценка'!L69:L75)=0,"",SUM('Детальная оценка'!L69:L75)/7)</x:f>
        <x:v>94.28571428571429</x:v>
      </x:c>
      <x:c r="L11" s="344" t="n">
        <x:f>IF(COUNT('Детальная оценка'!M69:M75)=0,"",SUM('Детальная оценка'!M69:M75)/7)</x:f>
        <x:v>97.14285714285714</x:v>
      </x:c>
      <x:c r="M11" s="344" t="n">
        <x:f>IF(COUNT('Детальная оценка'!N69:N75)=0,"",SUM('Детальная оценка'!N69:N75)/7)</x:f>
        <x:v>94.28571428571429</x:v>
      </x:c>
      <x:c r="N11" s="344" t="n">
        <x:f>IF(COUNT('Детальная оценка'!O69:O75)=0,"",SUM('Детальная оценка'!O69:O75)/7)</x:f>
        <x:v>100</x:v>
      </x:c>
      <x:c r="O11" s="344" t="n">
        <x:f>IF(COUNT('Детальная оценка'!P69:P75)=0,"",SUM('Детальная оценка'!P69:P75)/7)</x:f>
        <x:v>100</x:v>
      </x:c>
      <x:c r="P11" s="344" t="n">
        <x:f>IF(COUNT('Детальная оценка'!Q69:Q75)=0,"",SUM('Детальная оценка'!Q69:Q75)/7)</x:f>
        <x:v>94.28571428571429</x:v>
      </x:c>
      <x:c r="Q11" s="344" t="n">
        <x:f>IF(COUNT('Детальная оценка'!R69:R75)=0,"",SUM('Детальная оценка'!R69:R75)/7)</x:f>
        <x:v>94.28571428571429</x:v>
      </x:c>
      <x:c r="R11" s="344" t="n">
        <x:f>IF(COUNT('Детальная оценка'!S69:S75)=0,"",SUM('Детальная оценка'!S69:S75)/7)</x:f>
        <x:v>91.42857142857143</x:v>
      </x:c>
      <x:c r="S11" s="344" t="n">
        <x:f>IF(COUNT('Детальная оценка'!T69:T75)=0,"",SUM('Детальная оценка'!T69:T75)/7)</x:f>
        <x:v>85.71428571428571</x:v>
      </x:c>
      <x:c r="T11" s="344" t="n">
        <x:f>IF(COUNT('Детальная оценка'!U69:U75)=0,"",SUM('Детальная оценка'!U69:U75)/7)</x:f>
        <x:v>91.42857142857143</x:v>
      </x:c>
      <x:c r="U11" s="373" t="n">
        <x:f>IF(COUNT('Детальная оценка'!V69:V75)=0,"",SUM('Детальная оценка'!V69:V75)/7)</x:f>
        <x:v>91.42857142857143</x:v>
      </x:c>
      <x:c r="V11" s="373" t="n">
        <x:f>IF(COUNT('Детальная оценка'!W69:W75)=0,"",SUM('Детальная оценка'!W69:W75)/7)</x:f>
        <x:v>94.28571428571429</x:v>
      </x:c>
      <x:c r="W11" s="373" t="n">
        <x:f>IF(COUNT('Детальная оценка'!X69:X75)=0,"",SUM('Детальная оценка'!X69:X75)/7)</x:f>
        <x:v>74.28571428571429</x:v>
      </x:c>
      <x:c r="X11" s="373" t="n">
        <x:f>IF(COUNT('Детальная оценка'!Y69:Y75)=0,"",SUM('Детальная оценка'!Y69:Y75)/7)</x:f>
        <x:v>82.85714285714286</x:v>
      </x:c>
      <x:c r="Y11" s="373" t="n">
        <x:f>IF(COUNT('Детальная оценка'!Z69:Z75)=0,"",SUM('Детальная оценка'!Z69:Z75)/7)</x:f>
        <x:v>51.42857142857143</x:v>
      </x:c>
      <x:c r="Z11" s="374" t="n">
        <x:f>IF(COUNT('Детальная оценка'!AA69:AA75)=0,"",SUM('Детальная оценка'!AA69:AA75)/7)</x:f>
        <x:v>51.42857142857143</x:v>
      </x:c>
      <x:c r="AA11" s="344" t="n">
        <x:f>IF(COUNT(C11:Z11)=0,"",AVERAGE(C11:Z11))</x:f>
        <x:v>90.11904761904759</x:v>
      </x:c>
      <x:c r="AB11" t="str">
        <x:f>IFERROR(INDEX($C$1:$Z$1,1,MATCH(MAX(C11:Z11),C11:Z11,0)),"")</x:f>
        <x:v>Qwen 3.6 35b a3b mtp с thinking</x:v>
      </x:c>
    </x:row>
    <x:row r="12">
      <x:c r="A12" s="52" t="str">
        <x:v>DB — SQL И БАЗЫ ДАННЫХ</x:v>
      </x:c>
      <x:c r="B12" s="53" t="n">
        <x:v>7</x:v>
      </x:c>
      <x:c r="C12" s="344" t="n">
        <x:f>IF(COUNT('Детальная оценка'!D76:D82)=0,"",SUM('Детальная оценка'!D76:D82)/7)</x:f>
        <x:v>100</x:v>
      </x:c>
      <x:c r="D12" s="344" t="n">
        <x:f>IF(COUNT('Детальная оценка'!E76:E82)=0,"",SUM('Детальная оценка'!E76:E82)/7)</x:f>
        <x:v>100</x:v>
      </x:c>
      <x:c r="E12" s="344" t="n">
        <x:f>IF(COUNT('Детальная оценка'!F76:F82)=0,"",SUM('Детальная оценка'!F76:F82)/7)</x:f>
        <x:v>100</x:v>
      </x:c>
      <x:c r="F12" s="344" t="n">
        <x:f>IF(COUNT('Детальная оценка'!G76:G82)=0,"",SUM('Детальная оценка'!G76:G82)/7)</x:f>
        <x:v>100</x:v>
      </x:c>
      <x:c r="G12" s="344" t="n">
        <x:f>IF(COUNT('Детальная оценка'!H76:H82)=0,"",SUM('Детальная оценка'!H76:H82)/7)</x:f>
        <x:v>100</x:v>
      </x:c>
      <x:c r="H12" s="344" t="n">
        <x:f>IF(COUNT('Детальная оценка'!I76:I82)=0,"",SUM('Детальная оценка'!I76:I82)/7)</x:f>
        <x:v>98.57142857142857</x:v>
      </x:c>
      <x:c r="I12" s="344" t="n">
        <x:f>IF(COUNT('Детальная оценка'!J76:J82)=0,"",SUM('Детальная оценка'!J76:J82)/7)</x:f>
        <x:v>100</x:v>
      </x:c>
      <x:c r="J12" s="344" t="n">
        <x:f>IF(COUNT('Детальная оценка'!K76:K82)=0,"",SUM('Детальная оценка'!K76:K82)/7)</x:f>
        <x:v>98.57142857142857</x:v>
      </x:c>
      <x:c r="K12" s="344" t="n">
        <x:f>IF(COUNT('Детальная оценка'!L76:L82)=0,"",SUM('Детальная оценка'!L76:L82)/7)</x:f>
        <x:v>100</x:v>
      </x:c>
      <x:c r="L12" s="344" t="n">
        <x:f>IF(COUNT('Детальная оценка'!M76:M82)=0,"",SUM('Детальная оценка'!M76:M82)/7)</x:f>
        <x:v>100</x:v>
      </x:c>
      <x:c r="M12" s="344" t="n">
        <x:f>IF(COUNT('Детальная оценка'!N76:N82)=0,"",SUM('Детальная оценка'!N76:N82)/7)</x:f>
        <x:v>95.71428571428571</x:v>
      </x:c>
      <x:c r="N12" s="344" t="n">
        <x:f>IF(COUNT('Детальная оценка'!O76:O82)=0,"",SUM('Детальная оценка'!O76:O82)/7)</x:f>
        <x:v>100</x:v>
      </x:c>
      <x:c r="O12" s="344" t="n">
        <x:f>IF(COUNT('Детальная оценка'!P76:P82)=0,"",SUM('Детальная оценка'!P76:P82)/7)</x:f>
        <x:v>100</x:v>
      </x:c>
      <x:c r="P12" s="344" t="n">
        <x:f>IF(COUNT('Детальная оценка'!Q76:Q82)=0,"",SUM('Детальная оценка'!Q76:Q82)/7)</x:f>
        <x:v>94.28571428571429</x:v>
      </x:c>
      <x:c r="Q12" s="344" t="n">
        <x:f>IF(COUNT('Детальная оценка'!R76:R82)=0,"",SUM('Детальная оценка'!R76:R82)/7)</x:f>
        <x:v>94.28571428571429</x:v>
      </x:c>
      <x:c r="R12" s="344" t="n">
        <x:f>IF(COUNT('Детальная оценка'!S76:S82)=0,"",SUM('Детальная оценка'!S76:S82)/7)</x:f>
        <x:v>91.42857142857143</x:v>
      </x:c>
      <x:c r="S12" s="344" t="n">
        <x:f>IF(COUNT('Детальная оценка'!T76:T82)=0,"",SUM('Детальная оценка'!T76:T82)/7)</x:f>
        <x:v>92.85714285714286</x:v>
      </x:c>
      <x:c r="T12" s="344" t="n">
        <x:f>IF(COUNT('Детальная оценка'!U76:U82)=0,"",SUM('Детальная оценка'!U76:U82)/7)</x:f>
        <x:v>100</x:v>
      </x:c>
      <x:c r="U12" s="373" t="n">
        <x:f>IF(COUNT('Детальная оценка'!V76:V82)=0,"",SUM('Детальная оценка'!V76:V82)/7)</x:f>
        <x:v>94.28571428571429</x:v>
      </x:c>
      <x:c r="V12" s="373" t="n">
        <x:f>IF(COUNT('Детальная оценка'!W76:W82)=0,"",SUM('Детальная оценка'!W76:W82)/7)</x:f>
        <x:v>88.57142857142857</x:v>
      </x:c>
      <x:c r="W12" s="373" t="n">
        <x:f>IF(COUNT('Детальная оценка'!X76:X82)=0,"",SUM('Детальная оценка'!X76:X82)/7)</x:f>
        <x:v>94.28571428571429</x:v>
      </x:c>
      <x:c r="X12" s="373" t="n">
        <x:f>IF(COUNT('Детальная оценка'!Y76:Y82)=0,"",SUM('Детальная оценка'!Y76:Y82)/7)</x:f>
        <x:v>100</x:v>
      </x:c>
      <x:c r="Y12" s="373" t="n">
        <x:f>IF(COUNT('Детальная оценка'!Z76:Z82)=0,"",SUM('Детальная оценка'!Z76:Z82)/7)</x:f>
        <x:v>100</x:v>
      </x:c>
      <x:c r="Z12" s="374" t="n">
        <x:f>IF(COUNT('Детальная оценка'!AA76:AA82)=0,"",SUM('Детальная оценка'!AA76:AA82)/7)</x:f>
        <x:v>68.57142857142857</x:v>
      </x:c>
      <x:c r="AA12" s="344" t="n">
        <x:f>IF(COUNT(C12:Z12)=0,"",AVERAGE(C12:Z12))</x:f>
        <x:v>96.3095238095238</x:v>
      </x:c>
      <x:c r="AB12" t="str">
        <x:f>IFERROR(INDEX($C$1:$Z$1,1,MATCH(MAX(C12:Z12),C12:Z12,0)),"")</x:f>
        <x:v>GPT 5.6 Sol low</x:v>
      </x:c>
    </x:row>
    <x:row r="13">
      <x:c r="A13" s="52" t="str">
        <x:v>ARCH — BACKEND, FULL-STACK И API-АРХИТЕКТУРА</x:v>
      </x:c>
      <x:c r="B13" s="53" t="n">
        <x:v>8</x:v>
      </x:c>
      <x:c r="C13" s="344" t="n">
        <x:f>IF(COUNT('Детальная оценка'!D83:D90)=0,"",SUM('Детальная оценка'!D83:D90)/8)</x:f>
        <x:v>100</x:v>
      </x:c>
      <x:c r="D13" s="344" t="n">
        <x:f>IF(COUNT('Детальная оценка'!E83:E90)=0,"",SUM('Детальная оценка'!E83:E90)/8)</x:f>
        <x:v>100</x:v>
      </x:c>
      <x:c r="E13" s="344" t="n">
        <x:f>IF(COUNT('Детальная оценка'!F83:F90)=0,"",SUM('Детальная оценка'!F83:F90)/8)</x:f>
        <x:v>100</x:v>
      </x:c>
      <x:c r="F13" s="344" t="n">
        <x:f>IF(COUNT('Детальная оценка'!G83:G90)=0,"",SUM('Детальная оценка'!G83:G90)/8)</x:f>
        <x:v>100</x:v>
      </x:c>
      <x:c r="G13" s="344" t="n">
        <x:f>IF(COUNT('Детальная оценка'!H83:H90)=0,"",SUM('Детальная оценка'!H83:H90)/8)</x:f>
        <x:v>100</x:v>
      </x:c>
      <x:c r="H13" s="344" t="n">
        <x:f>IF(COUNT('Детальная оценка'!I83:I90)=0,"",SUM('Детальная оценка'!I83:I90)/8)</x:f>
        <x:v>100</x:v>
      </x:c>
      <x:c r="I13" s="344" t="n">
        <x:f>IF(COUNT('Детальная оценка'!J83:J90)=0,"",SUM('Детальная оценка'!J83:J90)/8)</x:f>
        <x:v>100</x:v>
      </x:c>
      <x:c r="J13" s="344" t="n">
        <x:f>IF(COUNT('Детальная оценка'!K83:K90)=0,"",SUM('Детальная оценка'!K83:K90)/8)</x:f>
        <x:v>100</x:v>
      </x:c>
      <x:c r="K13" s="344" t="n">
        <x:f>IF(COUNT('Детальная оценка'!L83:L90)=0,"",SUM('Детальная оценка'!L83:L90)/8)</x:f>
        <x:v>100</x:v>
      </x:c>
      <x:c r="L13" s="344" t="n">
        <x:f>IF(COUNT('Детальная оценка'!M83:M90)=0,"",SUM('Детальная оценка'!M83:M90)/8)</x:f>
        <x:v>98.75</x:v>
      </x:c>
      <x:c r="M13" s="344" t="n">
        <x:f>IF(COUNT('Детальная оценка'!N83:N90)=0,"",SUM('Детальная оценка'!N83:N90)/8)</x:f>
        <x:v>100</x:v>
      </x:c>
      <x:c r="N13" s="344" t="n">
        <x:f>IF(COUNT('Детальная оценка'!O83:O90)=0,"",SUM('Детальная оценка'!O83:O90)/8)</x:f>
        <x:v>97.5</x:v>
      </x:c>
      <x:c r="O13" s="344" t="n">
        <x:f>IF(COUNT('Детальная оценка'!P83:P90)=0,"",SUM('Детальная оценка'!P83:P90)/8)</x:f>
        <x:v>95</x:v>
      </x:c>
      <x:c r="P13" s="344" t="n">
        <x:f>IF(COUNT('Детальная оценка'!Q83:Q90)=0,"",SUM('Детальная оценка'!Q83:Q90)/8)</x:f>
        <x:v>95</x:v>
      </x:c>
      <x:c r="Q13" s="344" t="n">
        <x:f>IF(COUNT('Детальная оценка'!R83:R90)=0,"",SUM('Детальная оценка'!R83:R90)/8)</x:f>
        <x:v>92.5</x:v>
      </x:c>
      <x:c r="R13" s="344" t="n">
        <x:f>IF(COUNT('Детальная оценка'!S83:S90)=0,"",SUM('Детальная оценка'!S83:S90)/8)</x:f>
        <x:v>87.5</x:v>
      </x:c>
      <x:c r="S13" s="344" t="n">
        <x:f>IF(COUNT('Детальная оценка'!T83:T90)=0,"",SUM('Детальная оценка'!T83:T90)/8)</x:f>
        <x:v>93.75</x:v>
      </x:c>
      <x:c r="T13" s="344" t="n">
        <x:f>IF(COUNT('Детальная оценка'!U83:U90)=0,"",SUM('Детальная оценка'!U83:U90)/8)</x:f>
        <x:v>95</x:v>
      </x:c>
      <x:c r="U13" s="373" t="n">
        <x:f>IF(COUNT('Детальная оценка'!V83:V90)=0,"",SUM('Детальная оценка'!V83:V90)/8)</x:f>
        <x:v>90</x:v>
      </x:c>
      <x:c r="V13" s="373" t="n">
        <x:f>IF(COUNT('Детальная оценка'!W83:W90)=0,"",SUM('Детальная оценка'!W83:W90)/8)</x:f>
        <x:v>85</x:v>
      </x:c>
      <x:c r="W13" s="373" t="n">
        <x:f>IF(COUNT('Детальная оценка'!X83:X90)=0,"",SUM('Детальная оценка'!X83:X90)/8)</x:f>
        <x:v>100</x:v>
      </x:c>
      <x:c r="X13" s="373" t="n">
        <x:f>IF(COUNT('Детальная оценка'!Y83:Y90)=0,"",SUM('Детальная оценка'!Y83:Y90)/8)</x:f>
        <x:v>100</x:v>
      </x:c>
      <x:c r="Y13" s="373" t="n">
        <x:f>IF(COUNT('Детальная оценка'!Z83:Z90)=0,"",SUM('Детальная оценка'!Z83:Z90)/8)</x:f>
        <x:v>80</x:v>
      </x:c>
      <x:c r="Z13" s="374" t="n">
        <x:f>IF(COUNT('Детальная оценка'!AA83:AA90)=0,"",SUM('Детальная оценка'!AA83:AA90)/8)</x:f>
        <x:v>80</x:v>
      </x:c>
      <x:c r="AA13" s="344" t="n">
        <x:f>IF(COUNT(C13:Z13)=0,"",AVERAGE(C13:Z13))</x:f>
        <x:v>95.41666666666667</x:v>
      </x:c>
      <x:c r="AB13" t="str">
        <x:f>IFERROR(INDEX($C$1:$Z$1,1,MATCH(MAX(C13:Z13),C13:Z13,0)),"")</x:f>
        <x:v>GPT 5.6 Sol low</x:v>
      </x:c>
    </x:row>
    <x:row r="14">
      <x:c r="A14" s="52" t="str">
        <x:v>SEC — БЕЗОПАСНОСТЬ</x:v>
      </x:c>
      <x:c r="B14" s="53" t="n">
        <x:v>8</x:v>
      </x:c>
      <x:c r="C14" s="344" t="n">
        <x:f>IF(COUNT('Детальная оценка'!D91:D98)=0,"",SUM('Детальная оценка'!D91:D98)/8)</x:f>
        <x:v>100</x:v>
      </x:c>
      <x:c r="D14" s="344" t="n">
        <x:f>IF(COUNT('Детальная оценка'!E91:E98)=0,"",SUM('Детальная оценка'!E91:E98)/8)</x:f>
        <x:v>100</x:v>
      </x:c>
      <x:c r="E14" s="344" t="n">
        <x:f>IF(COUNT('Детальная оценка'!F91:F98)=0,"",SUM('Детальная оценка'!F91:F98)/8)</x:f>
        <x:v>98.75</x:v>
      </x:c>
      <x:c r="F14" s="344" t="n">
        <x:f>IF(COUNT('Детальная оценка'!G91:G98)=0,"",SUM('Детальная оценка'!G91:G98)/8)</x:f>
        <x:v>100</x:v>
      </x:c>
      <x:c r="G14" s="344" t="n">
        <x:f>IF(COUNT('Детальная оценка'!H91:H98)=0,"",SUM('Детальная оценка'!H91:H98)/8)</x:f>
        <x:v>100</x:v>
      </x:c>
      <x:c r="H14" s="344" t="n">
        <x:f>IF(COUNT('Детальная оценка'!I91:I98)=0,"",SUM('Детальная оценка'!I91:I98)/8)</x:f>
        <x:v>95</x:v>
      </x:c>
      <x:c r="I14" s="344" t="n">
        <x:f>IF(COUNT('Детальная оценка'!J91:J98)=0,"",SUM('Детальная оценка'!J91:J98)/8)</x:f>
        <x:v>100</x:v>
      </x:c>
      <x:c r="J14" s="344" t="n">
        <x:f>IF(COUNT('Детальная оценка'!K91:K98)=0,"",SUM('Детальная оценка'!K91:K98)/8)</x:f>
        <x:v>100</x:v>
      </x:c>
      <x:c r="K14" s="344" t="n">
        <x:f>IF(COUNT('Детальная оценка'!L91:L98)=0,"",SUM('Детальная оценка'!L91:L98)/8)</x:f>
        <x:v>100</x:v>
      </x:c>
      <x:c r="L14" s="344" t="n">
        <x:f>IF(COUNT('Детальная оценка'!M91:M98)=0,"",SUM('Детальная оценка'!M91:M98)/8)</x:f>
        <x:v>100</x:v>
      </x:c>
      <x:c r="M14" s="344" t="n">
        <x:f>IF(COUNT('Детальная оценка'!N91:N98)=0,"",SUM('Детальная оценка'!N91:N98)/8)</x:f>
        <x:v>93.75</x:v>
      </x:c>
      <x:c r="N14" s="344" t="n">
        <x:f>IF(COUNT('Детальная оценка'!O91:O98)=0,"",SUM('Детальная оценка'!O91:O98)/8)</x:f>
        <x:v>95</x:v>
      </x:c>
      <x:c r="O14" s="344" t="n">
        <x:f>IF(COUNT('Детальная оценка'!P91:P98)=0,"",SUM('Детальная оценка'!P91:P98)/8)</x:f>
        <x:v>90</x:v>
      </x:c>
      <x:c r="P14" s="344" t="n">
        <x:f>IF(COUNT('Детальная оценка'!Q91:Q98)=0,"",SUM('Детальная оценка'!Q91:Q98)/8)</x:f>
        <x:v>87.5</x:v>
      </x:c>
      <x:c r="Q14" s="344" t="n">
        <x:f>IF(COUNT('Детальная оценка'!R91:R98)=0,"",SUM('Детальная оценка'!R91:R98)/8)</x:f>
        <x:v>86.25</x:v>
      </x:c>
      <x:c r="R14" s="344" t="n">
        <x:f>IF(COUNT('Детальная оценка'!S91:S98)=0,"",SUM('Детальная оценка'!S91:S98)/8)</x:f>
        <x:v>85</x:v>
      </x:c>
      <x:c r="S14" s="344" t="n">
        <x:f>IF(COUNT('Детальная оценка'!T91:T98)=0,"",SUM('Детальная оценка'!T91:T98)/8)</x:f>
        <x:v>82.5</x:v>
      </x:c>
      <x:c r="T14" s="344" t="n">
        <x:f>IF(COUNT('Детальная оценка'!U91:U98)=0,"",SUM('Детальная оценка'!U91:U98)/8)</x:f>
        <x:v>87.5</x:v>
      </x:c>
      <x:c r="U14" s="373" t="n">
        <x:f>IF(COUNT('Детальная оценка'!V91:V98)=0,"",SUM('Детальная оценка'!V91:V98)/8)</x:f>
        <x:v>72.5</x:v>
      </x:c>
      <x:c r="V14" s="373" t="n">
        <x:f>IF(COUNT('Детальная оценка'!W91:W98)=0,"",SUM('Детальная оценка'!W91:W98)/8)</x:f>
        <x:v>75</x:v>
      </x:c>
      <x:c r="W14" s="373" t="n">
        <x:f>IF(COUNT('Детальная оценка'!X91:X98)=0,"",SUM('Детальная оценка'!X91:X98)/8)</x:f>
        <x:v>77.5</x:v>
      </x:c>
      <x:c r="X14" s="373" t="n">
        <x:f>IF(COUNT('Детальная оценка'!Y91:Y98)=0,"",SUM('Детальная оценка'!Y91:Y98)/8)</x:f>
        <x:v>75</x:v>
      </x:c>
      <x:c r="Y14" s="373" t="n">
        <x:f>IF(COUNT('Детальная оценка'!Z91:Z98)=0,"",SUM('Детальная оценка'!Z91:Z98)/8)</x:f>
        <x:v>75</x:v>
      </x:c>
      <x:c r="Z14" s="374" t="n">
        <x:f>IF(COUNT('Детальная оценка'!AA91:AA98)=0,"",SUM('Детальная оценка'!AA91:AA98)/8)</x:f>
        <x:v>80</x:v>
      </x:c>
      <x:c r="AA14" s="344" t="n">
        <x:f>IF(COUNT(C14:Z14)=0,"",AVERAGE(C14:Z14))</x:f>
        <x:v>89.84375</x:v>
      </x:c>
      <x:c r="AB14" t="str">
        <x:f>IFERROR(INDEX($C$1:$Z$1,1,MATCH(MAX(C14:Z14),C14:Z14,0)),"")</x:f>
        <x:v>GPT 5.6 Sol low</x:v>
      </x:c>
    </x:row>
    <x:row r="15">
      <x:c r="A15" s="52" t="str">
        <x:v>PERF — ПРОИЗВОДИТЕЛЬНОСТЬ И КОНКУРЕНТНОСТЬ</x:v>
      </x:c>
      <x:c r="B15" s="53" t="n">
        <x:v>5</x:v>
      </x:c>
      <x:c r="C15" s="344" t="n">
        <x:f>IF(COUNT('Детальная оценка'!D99:D103)=0,"",SUM('Детальная оценка'!D99:D103)/5)</x:f>
        <x:v>100</x:v>
      </x:c>
      <x:c r="D15" s="344" t="n">
        <x:f>IF(COUNT('Детальная оценка'!E99:E103)=0,"",SUM('Детальная оценка'!E99:E103)/5)</x:f>
        <x:v>100</x:v>
      </x:c>
      <x:c r="E15" s="344" t="n">
        <x:f>IF(COUNT('Детальная оценка'!F99:F103)=0,"",SUM('Детальная оценка'!F99:F103)/5)</x:f>
        <x:v>100</x:v>
      </x:c>
      <x:c r="F15" s="344" t="n">
        <x:f>IF(COUNT('Детальная оценка'!G99:G103)=0,"",SUM('Детальная оценка'!G99:G103)/5)</x:f>
        <x:v>100</x:v>
      </x:c>
      <x:c r="G15" s="344" t="n">
        <x:f>IF(COUNT('Детальная оценка'!H99:H103)=0,"",SUM('Детальная оценка'!H99:H103)/5)</x:f>
        <x:v>100</x:v>
      </x:c>
      <x:c r="H15" s="344" t="n">
        <x:f>IF(COUNT('Детальная оценка'!I99:I103)=0,"",SUM('Детальная оценка'!I99:I103)/5)</x:f>
        <x:v>100</x:v>
      </x:c>
      <x:c r="I15" s="344" t="n">
        <x:f>IF(COUNT('Детальная оценка'!J99:J103)=0,"",SUM('Детальная оценка'!J99:J103)/5)</x:f>
        <x:v>100</x:v>
      </x:c>
      <x:c r="J15" s="344" t="n">
        <x:f>IF(COUNT('Детальная оценка'!K99:K103)=0,"",SUM('Детальная оценка'!K99:K103)/5)</x:f>
        <x:v>100</x:v>
      </x:c>
      <x:c r="K15" s="344" t="n">
        <x:f>IF(COUNT('Детальная оценка'!L99:L103)=0,"",SUM('Детальная оценка'!L99:L103)/5)</x:f>
        <x:v>100</x:v>
      </x:c>
      <x:c r="L15" s="344" t="n">
        <x:f>IF(COUNT('Детальная оценка'!M99:M103)=0,"",SUM('Детальная оценка'!M99:M103)/5)</x:f>
        <x:v>100</x:v>
      </x:c>
      <x:c r="M15" s="344" t="n">
        <x:f>IF(COUNT('Детальная оценка'!N99:N103)=0,"",SUM('Детальная оценка'!N99:N103)/5)</x:f>
        <x:v>100</x:v>
      </x:c>
      <x:c r="N15" s="344" t="n">
        <x:f>IF(COUNT('Детальная оценка'!O99:O103)=0,"",SUM('Детальная оценка'!O99:O103)/5)</x:f>
        <x:v>96</x:v>
      </x:c>
      <x:c r="O15" s="344" t="n">
        <x:f>IF(COUNT('Детальная оценка'!P99:P103)=0,"",SUM('Детальная оценка'!P99:P103)/5)</x:f>
        <x:v>88</x:v>
      </x:c>
      <x:c r="P15" s="344" t="n">
        <x:f>IF(COUNT('Детальная оценка'!Q99:Q103)=0,"",SUM('Детальная оценка'!Q99:Q103)/5)</x:f>
        <x:v>100</x:v>
      </x:c>
      <x:c r="Q15" s="344" t="n">
        <x:f>IF(COUNT('Детальная оценка'!R99:R103)=0,"",SUM('Детальная оценка'!R99:R103)/5)</x:f>
        <x:v>100</x:v>
      </x:c>
      <x:c r="R15" s="344" t="n">
        <x:f>IF(COUNT('Детальная оценка'!S99:S103)=0,"",SUM('Детальная оценка'!S99:S103)/5)</x:f>
        <x:v>96</x:v>
      </x:c>
      <x:c r="S15" s="344" t="n">
        <x:f>IF(COUNT('Детальная оценка'!T99:T103)=0,"",SUM('Детальная оценка'!T99:T103)/5)</x:f>
        <x:v>96</x:v>
      </x:c>
      <x:c r="T15" s="344" t="n">
        <x:f>IF(COUNT('Детальная оценка'!U99:U103)=0,"",SUM('Детальная оценка'!U99:U103)/5)</x:f>
        <x:v>100</x:v>
      </x:c>
      <x:c r="U15" s="373" t="n">
        <x:f>IF(COUNT('Детальная оценка'!V99:V103)=0,"",SUM('Детальная оценка'!V99:V103)/5)</x:f>
        <x:v>96</x:v>
      </x:c>
      <x:c r="V15" s="373" t="n">
        <x:f>IF(COUNT('Детальная оценка'!W99:W103)=0,"",SUM('Детальная оценка'!W99:W103)/5)</x:f>
        <x:v>88</x:v>
      </x:c>
      <x:c r="W15" s="373" t="n">
        <x:f>IF(COUNT('Детальная оценка'!X99:X103)=0,"",SUM('Детальная оценка'!X99:X103)/5)</x:f>
        <x:v>100</x:v>
      </x:c>
      <x:c r="X15" s="373" t="n">
        <x:f>IF(COUNT('Детальная оценка'!Y99:Y103)=0,"",SUM('Детальная оценка'!Y99:Y103)/5)</x:f>
        <x:v>100</x:v>
      </x:c>
      <x:c r="Y15" s="373" t="n">
        <x:f>IF(COUNT('Детальная оценка'!Z99:Z103)=0,"",SUM('Детальная оценка'!Z99:Z103)/5)</x:f>
        <x:v>80</x:v>
      </x:c>
      <x:c r="Z15" s="374" t="n">
        <x:f>IF(COUNT('Детальная оценка'!AA99:AA103)=0,"",SUM('Детальная оценка'!AA99:AA103)/5)</x:f>
        <x:v>80</x:v>
      </x:c>
      <x:c r="AA15" s="344" t="n">
        <x:f>IF(COUNT(C15:Z15)=0,"",AVERAGE(C15:Z15))</x:f>
        <x:v>96.66666666666667</x:v>
      </x:c>
      <x:c r="AB15" t="str">
        <x:f>IFERROR(INDEX($C$1:$Z$1,1,MATCH(MAX(C15:Z15),C15:Z15,0)),"")</x:f>
        <x:v>GPT 5.6 Sol low</x:v>
      </x:c>
    </x:row>
    <x:row r="16">
      <x:c r="A16" s="52" t="str">
        <x:v>DOCKER — DOCKER И КОНТЕЙНЕРЫ</x:v>
      </x:c>
      <x:c r="B16" s="53" t="n">
        <x:v>6</x:v>
      </x:c>
      <x:c r="C16" s="344" t="n">
        <x:f>IF(COUNT('Детальная оценка'!D104:D109)=0,"",SUM('Детальная оценка'!D104:D109)/6)</x:f>
        <x:v>100</x:v>
      </x:c>
      <x:c r="D16" s="344" t="n">
        <x:f>IF(COUNT('Детальная оценка'!E104:E109)=0,"",SUM('Детальная оценка'!E104:E109)/6)</x:f>
        <x:v>100</x:v>
      </x:c>
      <x:c r="E16" s="344" t="n">
        <x:f>IF(COUNT('Детальная оценка'!F104:F109)=0,"",SUM('Детальная оценка'!F104:F109)/6)</x:f>
        <x:v>100</x:v>
      </x:c>
      <x:c r="F16" s="344" t="n">
        <x:f>IF(COUNT('Детальная оценка'!G104:G109)=0,"",SUM('Детальная оценка'!G104:G109)/6)</x:f>
        <x:v>100</x:v>
      </x:c>
      <x:c r="G16" s="344" t="n">
        <x:f>IF(COUNT('Детальная оценка'!H104:H109)=0,"",SUM('Детальная оценка'!H104:H109)/6)</x:f>
        <x:v>100</x:v>
      </x:c>
      <x:c r="H16" s="344" t="n">
        <x:f>IF(COUNT('Детальная оценка'!I104:I109)=0,"",SUM('Детальная оценка'!I104:I109)/6)</x:f>
        <x:v>100</x:v>
      </x:c>
      <x:c r="I16" s="344" t="n">
        <x:f>IF(COUNT('Детальная оценка'!J104:J109)=0,"",SUM('Детальная оценка'!J104:J109)/6)</x:f>
        <x:v>100</x:v>
      </x:c>
      <x:c r="J16" s="344" t="n">
        <x:f>IF(COUNT('Детальная оценка'!K104:K109)=0,"",SUM('Детальная оценка'!K104:K109)/6)</x:f>
        <x:v>96.66666666666667</x:v>
      </x:c>
      <x:c r="K16" s="344" t="n">
        <x:f>IF(COUNT('Детальная оценка'!L104:L109)=0,"",SUM('Детальная оценка'!L104:L109)/6)</x:f>
        <x:v>100</x:v>
      </x:c>
      <x:c r="L16" s="344" t="n">
        <x:f>IF(COUNT('Детальная оценка'!M104:M109)=0,"",SUM('Детальная оценка'!M104:M109)/6)</x:f>
        <x:v>100</x:v>
      </x:c>
      <x:c r="M16" s="344" t="n">
        <x:f>IF(COUNT('Детальная оценка'!N104:N109)=0,"",SUM('Детальная оценка'!N104:N109)/6)</x:f>
        <x:v>98.33333333333333</x:v>
      </x:c>
      <x:c r="N16" s="344" t="n">
        <x:f>IF(COUNT('Детальная оценка'!O104:O109)=0,"",SUM('Детальная оценка'!O104:O109)/6)</x:f>
        <x:v>96.66666666666667</x:v>
      </x:c>
      <x:c r="O16" s="344" t="n">
        <x:f>IF(COUNT('Детальная оценка'!P104:P109)=0,"",SUM('Детальная оценка'!P104:P109)/6)</x:f>
        <x:v>96.66666666666667</x:v>
      </x:c>
      <x:c r="P16" s="344" t="n">
        <x:f>IF(COUNT('Детальная оценка'!Q104:Q109)=0,"",SUM('Детальная оценка'!Q104:Q109)/6)</x:f>
        <x:v>93.33333333333333</x:v>
      </x:c>
      <x:c r="Q16" s="344" t="n">
        <x:f>IF(COUNT('Детальная оценка'!R104:R109)=0,"",SUM('Детальная оценка'!R104:R109)/6)</x:f>
        <x:v>90</x:v>
      </x:c>
      <x:c r="R16" s="344" t="n">
        <x:f>IF(COUNT('Детальная оценка'!S104:S109)=0,"",SUM('Детальная оценка'!S104:S109)/6)</x:f>
        <x:v>96.66666666666667</x:v>
      </x:c>
      <x:c r="S16" s="344" t="n">
        <x:f>IF(COUNT('Детальная оценка'!T104:T109)=0,"",SUM('Детальная оценка'!T104:T109)/6)</x:f>
        <x:v>90</x:v>
      </x:c>
      <x:c r="T16" s="344" t="n">
        <x:f>IF(COUNT('Детальная оценка'!U104:U109)=0,"",SUM('Детальная оценка'!U104:U109)/6)</x:f>
        <x:v>86.66666666666667</x:v>
      </x:c>
      <x:c r="U16" s="373" t="n">
        <x:f>IF(COUNT('Детальная оценка'!V104:V109)=0,"",SUM('Детальная оценка'!V104:V109)/6)</x:f>
        <x:v>86.66666666666667</x:v>
      </x:c>
      <x:c r="V16" s="373" t="n">
        <x:f>IF(COUNT('Детальная оценка'!W104:W109)=0,"",SUM('Детальная оценка'!W104:W109)/6)</x:f>
        <x:v>93.33333333333333</x:v>
      </x:c>
      <x:c r="W16" s="373" t="n">
        <x:f>IF(COUNT('Детальная оценка'!X104:X109)=0,"",SUM('Детальная оценка'!X104:X109)/6)</x:f>
        <x:v>80</x:v>
      </x:c>
      <x:c r="X16" s="373" t="n">
        <x:f>IF(COUNT('Детальная оценка'!Y104:Y109)=0,"",SUM('Детальная оценка'!Y104:Y109)/6)</x:f>
        <x:v>80</x:v>
      </x:c>
      <x:c r="Y16" s="373" t="n">
        <x:f>IF(COUNT('Детальная оценка'!Z104:Z109)=0,"",SUM('Детальная оценка'!Z104:Z109)/6)</x:f>
        <x:v>80</x:v>
      </x:c>
      <x:c r="Z16" s="374" t="n">
        <x:f>IF(COUNT('Детальная оценка'!AA104:AA109)=0,"",SUM('Детальная оценка'!AA104:AA109)/6)</x:f>
        <x:v>80</x:v>
      </x:c>
      <x:c r="AA16" s="344" t="n">
        <x:f>IF(COUNT(C16:Z16)=0,"",AVERAGE(C16:Z16))</x:f>
        <x:v>93.54166666666667</x:v>
      </x:c>
      <x:c r="AB16" t="str">
        <x:f>IFERROR(INDEX($C$1:$Z$1,1,MATCH(MAX(C16:Z16),C16:Z16,0)),"")</x:f>
        <x:v>GPT 5.6 Sol low</x:v>
      </x:c>
    </x:row>
    <x:row r="17">
      <x:c r="A17" s="52" t="str">
        <x:v>OPS — LINUX, SYSTEMD И NGINX</x:v>
      </x:c>
      <x:c r="B17" s="53" t="n">
        <x:v>6</x:v>
      </x:c>
      <x:c r="C17" s="344" t="n">
        <x:f>IF(COUNT('Детальная оценка'!D110:D115)=0,"",SUM('Детальная оценка'!D110:D115)/6)</x:f>
        <x:v>100</x:v>
      </x:c>
      <x:c r="D17" s="344" t="n">
        <x:f>IF(COUNT('Детальная оценка'!E110:E115)=0,"",SUM('Детальная оценка'!E110:E115)/6)</x:f>
        <x:v>100</x:v>
      </x:c>
      <x:c r="E17" s="344" t="n">
        <x:f>IF(COUNT('Детальная оценка'!F110:F115)=0,"",SUM('Детальная оценка'!F110:F115)/6)</x:f>
        <x:v>100</x:v>
      </x:c>
      <x:c r="F17" s="344" t="n">
        <x:f>IF(COUNT('Детальная оценка'!G110:G115)=0,"",SUM('Детальная оценка'!G110:G115)/6)</x:f>
        <x:v>100</x:v>
      </x:c>
      <x:c r="G17" s="344" t="n">
        <x:f>IF(COUNT('Детальная оценка'!H110:H115)=0,"",SUM('Детальная оценка'!H110:H115)/6)</x:f>
        <x:v>100</x:v>
      </x:c>
      <x:c r="H17" s="344" t="n">
        <x:f>IF(COUNT('Детальная оценка'!I110:I115)=0,"",SUM('Детальная оценка'!I110:I115)/6)</x:f>
        <x:v>100</x:v>
      </x:c>
      <x:c r="I17" s="344" t="n">
        <x:f>IF(COUNT('Детальная оценка'!J110:J115)=0,"",SUM('Детальная оценка'!J110:J115)/6)</x:f>
        <x:v>93.33333333333333</x:v>
      </x:c>
      <x:c r="J17" s="344" t="n">
        <x:f>IF(COUNT('Детальная оценка'!K110:K115)=0,"",SUM('Детальная оценка'!K110:K115)/6)</x:f>
        <x:v>100</x:v>
      </x:c>
      <x:c r="K17" s="344" t="n">
        <x:f>IF(COUNT('Детальная оценка'!L110:L115)=0,"",SUM('Детальная оценка'!L110:L115)/6)</x:f>
        <x:v>100</x:v>
      </x:c>
      <x:c r="L17" s="344" t="n">
        <x:f>IF(COUNT('Детальная оценка'!M110:M115)=0,"",SUM('Детальная оценка'!M110:M115)/6)</x:f>
        <x:v>100</x:v>
      </x:c>
      <x:c r="M17" s="344" t="n">
        <x:f>IF(COUNT('Детальная оценка'!N110:N115)=0,"",SUM('Детальная оценка'!N110:N115)/6)</x:f>
        <x:v>100</x:v>
      </x:c>
      <x:c r="N17" s="344" t="n">
        <x:f>IF(COUNT('Детальная оценка'!O110:O115)=0,"",SUM('Детальная оценка'!O110:O115)/6)</x:f>
        <x:v>100</x:v>
      </x:c>
      <x:c r="O17" s="344" t="n">
        <x:f>IF(COUNT('Детальная оценка'!P110:P115)=0,"",SUM('Детальная оценка'!P110:P115)/6)</x:f>
        <x:v>86.66666666666667</x:v>
      </x:c>
      <x:c r="P17" s="344" t="n">
        <x:f>IF(COUNT('Детальная оценка'!Q110:Q115)=0,"",SUM('Детальная оценка'!Q110:Q115)/6)</x:f>
        <x:v>100</x:v>
      </x:c>
      <x:c r="Q17" s="344" t="n">
        <x:f>IF(COUNT('Детальная оценка'!R110:R115)=0,"",SUM('Детальная оценка'!R110:R115)/6)</x:f>
        <x:v>91.66666666666667</x:v>
      </x:c>
      <x:c r="R17" s="344" t="n">
        <x:f>IF(COUNT('Детальная оценка'!S110:S115)=0,"",SUM('Детальная оценка'!S110:S115)/6)</x:f>
        <x:v>86.66666666666667</x:v>
      </x:c>
      <x:c r="S17" s="344" t="n">
        <x:f>IF(COUNT('Детальная оценка'!T110:T115)=0,"",SUM('Детальная оценка'!T110:T115)/6)</x:f>
        <x:v>90</x:v>
      </x:c>
      <x:c r="T17" s="344" t="n">
        <x:f>IF(COUNT('Детальная оценка'!U110:U115)=0,"",SUM('Детальная оценка'!U110:U115)/6)</x:f>
        <x:v>100</x:v>
      </x:c>
      <x:c r="U17" s="373" t="n">
        <x:f>IF(COUNT('Детальная оценка'!V110:V115)=0,"",SUM('Детальная оценка'!V110:V115)/6)</x:f>
        <x:v>93.33333333333333</x:v>
      </x:c>
      <x:c r="V17" s="373" t="n">
        <x:f>IF(COUNT('Детальная оценка'!W110:W115)=0,"",SUM('Детальная оценка'!W110:W115)/6)</x:f>
        <x:v>73.33333333333333</x:v>
      </x:c>
      <x:c r="W17" s="373" t="n">
        <x:f>IF(COUNT('Детальная оценка'!X110:X115)=0,"",SUM('Детальная оценка'!X110:X115)/6)</x:f>
        <x:v>73.33333333333333</x:v>
      </x:c>
      <x:c r="X17" s="373" t="n">
        <x:f>IF(COUNT('Детальная оценка'!Y110:Y115)=0,"",SUM('Детальная оценка'!Y110:Y115)/6)</x:f>
        <x:v>80</x:v>
      </x:c>
      <x:c r="Y17" s="373" t="n">
        <x:f>IF(COUNT('Детальная оценка'!Z110:Z115)=0,"",SUM('Детальная оценка'!Z110:Z115)/6)</x:f>
        <x:v>60</x:v>
      </x:c>
      <x:c r="Z17" s="374" t="n">
        <x:f>IF(COUNT('Детальная оценка'!AA110:AA115)=0,"",SUM('Детальная оценка'!AA110:AA115)/6)</x:f>
        <x:v>60</x:v>
      </x:c>
      <x:c r="AA17" s="344" t="n">
        <x:f>IF(COUNT(C17:Z17)=0,"",AVERAGE(C17:Z17))</x:f>
        <x:v>91.18055555555556</x:v>
      </x:c>
      <x:c r="AB17" t="str">
        <x:f>IFERROR(INDEX($C$1:$Z$1,1,MATCH(MAX(C17:Z17),C17:Z17,0)),"")</x:f>
        <x:v>GPT 5.6 Sol low</x:v>
      </x:c>
    </x:row>
    <x:row r="18">
      <x:c r="A18" s="52" t="str">
        <x:v>SH — BASH, ZSH И macOS TERMINAL</x:v>
      </x:c>
      <x:c r="B18" s="53" t="n">
        <x:v>7</x:v>
      </x:c>
      <x:c r="C18" s="344" t="n">
        <x:f>IF(COUNT('Детальная оценка'!D116:D122)=0,"",SUM('Детальная оценка'!D116:D122)/7)</x:f>
        <x:v>100</x:v>
      </x:c>
      <x:c r="D18" s="344" t="n">
        <x:f>IF(COUNT('Детальная оценка'!E116:E122)=0,"",SUM('Детальная оценка'!E116:E122)/7)</x:f>
        <x:v>100</x:v>
      </x:c>
      <x:c r="E18" s="344" t="n">
        <x:f>IF(COUNT('Детальная оценка'!F116:F122)=0,"",SUM('Детальная оценка'!F116:F122)/7)</x:f>
        <x:v>100</x:v>
      </x:c>
      <x:c r="F18" s="344" t="n">
        <x:f>IF(COUNT('Детальная оценка'!G116:G122)=0,"",SUM('Детальная оценка'!G116:G122)/7)</x:f>
        <x:v>100</x:v>
      </x:c>
      <x:c r="G18" s="344" t="n">
        <x:f>IF(COUNT('Детальная оценка'!H116:H122)=0,"",SUM('Детальная оценка'!H116:H122)/7)</x:f>
        <x:v>100</x:v>
      </x:c>
      <x:c r="H18" s="344" t="n">
        <x:f>IF(COUNT('Детальная оценка'!I116:I122)=0,"",SUM('Детальная оценка'!I116:I122)/7)</x:f>
        <x:v>100</x:v>
      </x:c>
      <x:c r="I18" s="344" t="n">
        <x:f>IF(COUNT('Детальная оценка'!J116:J122)=0,"",SUM('Детальная оценка'!J116:J122)/7)</x:f>
        <x:v>100</x:v>
      </x:c>
      <x:c r="J18" s="344" t="n">
        <x:f>IF(COUNT('Детальная оценка'!K116:K122)=0,"",SUM('Детальная оценка'!K116:K122)/7)</x:f>
        <x:v>100</x:v>
      </x:c>
      <x:c r="K18" s="344" t="n">
        <x:f>IF(COUNT('Детальная оценка'!L116:L122)=0,"",SUM('Детальная оценка'!L116:L122)/7)</x:f>
        <x:v>100</x:v>
      </x:c>
      <x:c r="L18" s="344" t="n">
        <x:f>IF(COUNT('Детальная оценка'!M116:M122)=0,"",SUM('Детальная оценка'!M116:M122)/7)</x:f>
        <x:v>90</x:v>
      </x:c>
      <x:c r="M18" s="344" t="n">
        <x:f>IF(COUNT('Детальная оценка'!N116:N122)=0,"",SUM('Детальная оценка'!N116:N122)/7)</x:f>
        <x:v>100</x:v>
      </x:c>
      <x:c r="N18" s="344" t="n">
        <x:f>IF(COUNT('Детальная оценка'!O116:O122)=0,"",SUM('Детальная оценка'!O116:O122)/7)</x:f>
        <x:v>74.28571428571429</x:v>
      </x:c>
      <x:c r="O18" s="344" t="n">
        <x:f>IF(COUNT('Детальная оценка'!P116:P122)=0,"",SUM('Детальная оценка'!P116:P122)/7)</x:f>
        <x:v>82.85714285714286</x:v>
      </x:c>
      <x:c r="P18" s="344" t="n">
        <x:f>IF(COUNT('Детальная оценка'!Q116:Q122)=0,"",SUM('Детальная оценка'!Q116:Q122)/7)</x:f>
        <x:v>82.85714285714286</x:v>
      </x:c>
      <x:c r="Q18" s="344" t="n">
        <x:f>IF(COUNT('Детальная оценка'!R116:R122)=0,"",SUM('Детальная оценка'!R116:R122)/7)</x:f>
        <x:v>90</x:v>
      </x:c>
      <x:c r="R18" s="344" t="n">
        <x:f>IF(COUNT('Детальная оценка'!S116:S122)=0,"",SUM('Детальная оценка'!S116:S122)/7)</x:f>
        <x:v>88.57142857142857</x:v>
      </x:c>
      <x:c r="S18" s="344" t="n">
        <x:f>IF(COUNT('Детальная оценка'!T116:T122)=0,"",SUM('Детальная оценка'!T116:T122)/7)</x:f>
        <x:v>92.85714285714286</x:v>
      </x:c>
      <x:c r="T18" s="344" t="n">
        <x:f>IF(COUNT('Детальная оценка'!U116:U122)=0,"",SUM('Детальная оценка'!U116:U122)/7)</x:f>
        <x:v>85.71428571428571</x:v>
      </x:c>
      <x:c r="U18" s="373" t="n">
        <x:f>IF(COUNT('Детальная оценка'!V116:V122)=0,"",SUM('Детальная оценка'!V116:V122)/7)</x:f>
        <x:v>74.28571428571429</x:v>
      </x:c>
      <x:c r="V18" s="373" t="n">
        <x:f>IF(COUNT('Детальная оценка'!W116:W122)=0,"",SUM('Детальная оценка'!W116:W122)/7)</x:f>
        <x:v>74.28571428571429</x:v>
      </x:c>
      <x:c r="W18" s="373" t="n">
        <x:f>IF(COUNT('Детальная оценка'!X116:X122)=0,"",SUM('Детальная оценка'!X116:X122)/7)</x:f>
        <x:v>42.857142857142854</x:v>
      </x:c>
      <x:c r="X18" s="373" t="n">
        <x:f>IF(COUNT('Детальная оценка'!Y116:Y122)=0,"",SUM('Детальная оценка'!Y116:Y122)/7)</x:f>
        <x:v>45.714285714285715</x:v>
      </x:c>
      <x:c r="Y18" s="373" t="n">
        <x:f>IF(COUNT('Детальная оценка'!Z116:Z122)=0,"",SUM('Детальная оценка'!Z116:Z122)/7)</x:f>
        <x:v>54.285714285714285</x:v>
      </x:c>
      <x:c r="Z18" s="374" t="n">
        <x:f>IF(COUNT('Детальная оценка'!AA116:AA122)=0,"",SUM('Детальная оценка'!AA116:AA122)/7)</x:f>
        <x:v>45.714285714285715</x:v>
      </x:c>
      <x:c r="AA18" s="344" t="n">
        <x:f>IF(COUNT(C18:Z18)=0,"",AVERAGE(C18:Z18))</x:f>
        <x:v>84.3452380952381</x:v>
      </x:c>
      <x:c r="AB18" t="str">
        <x:f>IFERROR(INDEX($C$1:$Z$1,1,MATCH(MAX(C18:Z18),C18:Z18,0)),"")</x:f>
        <x:v>GPT 5.6 Sol low</x:v>
      </x:c>
    </x:row>
    <x:row r="19">
      <x:c r="A19" s="52" t="str">
        <x:v>WIN — WINDOWS CMD И POWERSHELL</x:v>
      </x:c>
      <x:c r="B19" s="53" t="n">
        <x:v>6</x:v>
      </x:c>
      <x:c r="C19" s="344" t="n">
        <x:f>IF(COUNT('Детальная оценка'!D123:D128)=0,"",SUM('Детальная оценка'!D123:D128)/6)</x:f>
        <x:v>100</x:v>
      </x:c>
      <x:c r="D19" s="344" t="n">
        <x:f>IF(COUNT('Детальная оценка'!E123:E128)=0,"",SUM('Детальная оценка'!E123:E128)/6)</x:f>
        <x:v>100</x:v>
      </x:c>
      <x:c r="E19" s="344" t="n">
        <x:f>IF(COUNT('Детальная оценка'!F123:F128)=0,"",SUM('Детальная оценка'!F123:F128)/6)</x:f>
        <x:v>100</x:v>
      </x:c>
      <x:c r="F19" s="344" t="n">
        <x:f>IF(COUNT('Детальная оценка'!G123:G128)=0,"",SUM('Детальная оценка'!G123:G128)/6)</x:f>
        <x:v>100</x:v>
      </x:c>
      <x:c r="G19" s="344" t="n">
        <x:f>IF(COUNT('Детальная оценка'!H123:H128)=0,"",SUM('Детальная оценка'!H123:H128)/6)</x:f>
        <x:v>100</x:v>
      </x:c>
      <x:c r="H19" s="344" t="n">
        <x:f>IF(COUNT('Детальная оценка'!I123:I128)=0,"",SUM('Детальная оценка'!I123:I128)/6)</x:f>
        <x:v>100</x:v>
      </x:c>
      <x:c r="I19" s="344" t="n">
        <x:f>IF(COUNT('Детальная оценка'!J123:J128)=0,"",SUM('Детальная оценка'!J123:J128)/6)</x:f>
        <x:v>100</x:v>
      </x:c>
      <x:c r="J19" s="344" t="n">
        <x:f>IF(COUNT('Детальная оценка'!K123:K128)=0,"",SUM('Детальная оценка'!K123:K128)/6)</x:f>
        <x:v>100</x:v>
      </x:c>
      <x:c r="K19" s="344" t="n">
        <x:f>IF(COUNT('Детальная оценка'!L123:L128)=0,"",SUM('Детальная оценка'!L123:L128)/6)</x:f>
        <x:v>100</x:v>
      </x:c>
      <x:c r="L19" s="344" t="n">
        <x:f>IF(COUNT('Детальная оценка'!M123:M128)=0,"",SUM('Детальная оценка'!M123:M128)/6)</x:f>
        <x:v>100</x:v>
      </x:c>
      <x:c r="M19" s="344" t="n">
        <x:f>IF(COUNT('Детальная оценка'!N123:N128)=0,"",SUM('Детальная оценка'!N123:N128)/6)</x:f>
        <x:v>100</x:v>
      </x:c>
      <x:c r="N19" s="344" t="n">
        <x:f>IF(COUNT('Детальная оценка'!O123:O128)=0,"",SUM('Детальная оценка'!O123:O128)/6)</x:f>
        <x:v>100</x:v>
      </x:c>
      <x:c r="O19" s="344" t="n">
        <x:f>IF(COUNT('Детальная оценка'!P123:P128)=0,"",SUM('Детальная оценка'!P123:P128)/6)</x:f>
        <x:v>100</x:v>
      </x:c>
      <x:c r="P19" s="344" t="n">
        <x:f>IF(COUNT('Детальная оценка'!Q123:Q128)=0,"",SUM('Детальная оценка'!Q123:Q128)/6)</x:f>
        <x:v>100</x:v>
      </x:c>
      <x:c r="Q19" s="344" t="n">
        <x:f>IF(COUNT('Детальная оценка'!R123:R128)=0,"",SUM('Детальная оценка'!R123:R128)/6)</x:f>
        <x:v>100</x:v>
      </x:c>
      <x:c r="R19" s="344" t="n">
        <x:f>IF(COUNT('Детальная оценка'!S123:S128)=0,"",SUM('Детальная оценка'!S123:S128)/6)</x:f>
        <x:v>100</x:v>
      </x:c>
      <x:c r="S19" s="344" t="n">
        <x:f>IF(COUNT('Детальная оценка'!T123:T128)=0,"",SUM('Детальная оценка'!T123:T128)/6)</x:f>
        <x:v>100</x:v>
      </x:c>
      <x:c r="T19" s="344" t="n">
        <x:f>IF(COUNT('Детальная оценка'!U123:U128)=0,"",SUM('Детальная оценка'!U123:U128)/6)</x:f>
        <x:v>100</x:v>
      </x:c>
      <x:c r="U19" s="373" t="n">
        <x:f>IF(COUNT('Детальная оценка'!V123:V128)=0,"",SUM('Детальная оценка'!V123:V128)/6)</x:f>
        <x:v>93.33333333333333</x:v>
      </x:c>
      <x:c r="V19" s="373" t="n">
        <x:f>IF(COUNT('Детальная оценка'!W123:W128)=0,"",SUM('Детальная оценка'!W123:W128)/6)</x:f>
        <x:v>93.33333333333333</x:v>
      </x:c>
      <x:c r="W19" s="373" t="n">
        <x:f>IF(COUNT('Детальная оценка'!X123:X128)=0,"",SUM('Детальная оценка'!X123:X128)/6)</x:f>
        <x:v>80</x:v>
      </x:c>
      <x:c r="X19" s="373" t="n">
        <x:f>IF(COUNT('Детальная оценка'!Y123:Y128)=0,"",SUM('Детальная оценка'!Y123:Y128)/6)</x:f>
        <x:v>80</x:v>
      </x:c>
      <x:c r="Y19" s="373" t="n">
        <x:f>IF(COUNT('Детальная оценка'!Z123:Z128)=0,"",SUM('Детальная оценка'!Z123:Z128)/6)</x:f>
        <x:v>70</x:v>
      </x:c>
      <x:c r="Z19" s="374" t="n">
        <x:f>IF(COUNT('Детальная оценка'!AA123:AA128)=0,"",SUM('Детальная оценка'!AA123:AA128)/6)</x:f>
        <x:v>70</x:v>
      </x:c>
      <x:c r="AA19" s="344" t="n">
        <x:f>IF(COUNT(C19:Z19)=0,"",AVERAGE(C19:Z19))</x:f>
        <x:v>95.27777777777777</x:v>
      </x:c>
      <x:c r="AB19" t="str">
        <x:f>IFERROR(INDEX($C$1:$Z$1,1,MATCH(MAX(C19:Z19),C19:Z19,0)),"")</x:f>
        <x:v>GPT 5.6 Sol low</x:v>
      </x:c>
    </x:row>
    <x:row r="20">
      <x:c r="A20" s="52" t="str">
        <x:v>GIT — GIT</x:v>
      </x:c>
      <x:c r="B20" s="53" t="n">
        <x:v>5</x:v>
      </x:c>
      <x:c r="C20" s="344" t="n">
        <x:f>IF(COUNT('Детальная оценка'!D129:D133)=0,"",SUM('Детальная оценка'!D129:D133)/5)</x:f>
        <x:v>100</x:v>
      </x:c>
      <x:c r="D20" s="344" t="n">
        <x:f>IF(COUNT('Детальная оценка'!E129:E133)=0,"",SUM('Детальная оценка'!E129:E133)/5)</x:f>
        <x:v>100</x:v>
      </x:c>
      <x:c r="E20" s="344" t="n">
        <x:f>IF(COUNT('Детальная оценка'!F129:F133)=0,"",SUM('Детальная оценка'!F129:F133)/5)</x:f>
        <x:v>100</x:v>
      </x:c>
      <x:c r="F20" s="344" t="n">
        <x:f>IF(COUNT('Детальная оценка'!G129:G133)=0,"",SUM('Детальная оценка'!G129:G133)/5)</x:f>
        <x:v>100</x:v>
      </x:c>
      <x:c r="G20" s="344" t="n">
        <x:f>IF(COUNT('Детальная оценка'!H129:H133)=0,"",SUM('Детальная оценка'!H129:H133)/5)</x:f>
        <x:v>100</x:v>
      </x:c>
      <x:c r="H20" s="344" t="n">
        <x:f>IF(COUNT('Детальная оценка'!I129:I133)=0,"",SUM('Детальная оценка'!I129:I133)/5)</x:f>
        <x:v>98</x:v>
      </x:c>
      <x:c r="I20" s="344" t="n">
        <x:f>IF(COUNT('Детальная оценка'!J129:J133)=0,"",SUM('Детальная оценка'!J129:J133)/5)</x:f>
        <x:v>96</x:v>
      </x:c>
      <x:c r="J20" s="344" t="n">
        <x:f>IF(COUNT('Детальная оценка'!K129:K133)=0,"",SUM('Детальная оценка'!K129:K133)/5)</x:f>
        <x:v>92</x:v>
      </x:c>
      <x:c r="K20" s="344" t="n">
        <x:f>IF(COUNT('Детальная оценка'!L129:L133)=0,"",SUM('Детальная оценка'!L129:L133)/5)</x:f>
        <x:v>100</x:v>
      </x:c>
      <x:c r="L20" s="344" t="n">
        <x:f>IF(COUNT('Детальная оценка'!M129:M133)=0,"",SUM('Детальная оценка'!M129:M133)/5)</x:f>
        <x:v>96</x:v>
      </x:c>
      <x:c r="M20" s="344" t="n">
        <x:f>IF(COUNT('Детальная оценка'!N129:N133)=0,"",SUM('Детальная оценка'!N129:N133)/5)</x:f>
        <x:v>96</x:v>
      </x:c>
      <x:c r="N20" s="344" t="n">
        <x:f>IF(COUNT('Детальная оценка'!O129:O133)=0,"",SUM('Детальная оценка'!O129:O133)/5)</x:f>
        <x:v>100</x:v>
      </x:c>
      <x:c r="O20" s="344" t="n">
        <x:f>IF(COUNT('Детальная оценка'!P129:P133)=0,"",SUM('Детальная оценка'!P129:P133)/5)</x:f>
        <x:v>100</x:v>
      </x:c>
      <x:c r="P20" s="344" t="n">
        <x:f>IF(COUNT('Детальная оценка'!Q129:Q133)=0,"",SUM('Детальная оценка'!Q129:Q133)/5)</x:f>
        <x:v>96</x:v>
      </x:c>
      <x:c r="Q20" s="344" t="n">
        <x:f>IF(COUNT('Детальная оценка'!R129:R133)=0,"",SUM('Детальная оценка'!R129:R133)/5)</x:f>
        <x:v>94</x:v>
      </x:c>
      <x:c r="R20" s="344" t="n">
        <x:f>IF(COUNT('Детальная оценка'!S129:S133)=0,"",SUM('Детальная оценка'!S129:S133)/5)</x:f>
        <x:v>92</x:v>
      </x:c>
      <x:c r="S20" s="344" t="n">
        <x:f>IF(COUNT('Детальная оценка'!T129:T133)=0,"",SUM('Детальная оценка'!T129:T133)/5)</x:f>
        <x:v>84</x:v>
      </x:c>
      <x:c r="T20" s="344" t="n">
        <x:f>IF(COUNT('Детальная оценка'!U129:U133)=0,"",SUM('Детальная оценка'!U129:U133)/5)</x:f>
        <x:v>92</x:v>
      </x:c>
      <x:c r="U20" s="373" t="n">
        <x:f>IF(COUNT('Детальная оценка'!V129:V133)=0,"",SUM('Детальная оценка'!V129:V133)/5)</x:f>
        <x:v>100</x:v>
      </x:c>
      <x:c r="V20" s="373" t="n">
        <x:f>IF(COUNT('Детальная оценка'!W129:W133)=0,"",SUM('Детальная оценка'!W129:W133)/5)</x:f>
        <x:v>84</x:v>
      </x:c>
      <x:c r="W20" s="373" t="n">
        <x:f>IF(COUNT('Детальная оценка'!X129:X133)=0,"",SUM('Детальная оценка'!X129:X133)/5)</x:f>
        <x:v>100</x:v>
      </x:c>
      <x:c r="X20" s="373" t="n">
        <x:f>IF(COUNT('Детальная оценка'!Y129:Y133)=0,"",SUM('Детальная оценка'!Y129:Y133)/5)</x:f>
        <x:v>100</x:v>
      </x:c>
      <x:c r="Y20" s="373" t="n">
        <x:f>IF(COUNT('Детальная оценка'!Z129:Z133)=0,"",SUM('Детальная оценка'!Z129:Z133)/5)</x:f>
        <x:v>100</x:v>
      </x:c>
      <x:c r="Z20" s="374" t="n">
        <x:f>IF(COUNT('Детальная оценка'!AA129:AA133)=0,"",SUM('Детальная оценка'!AA129:AA133)/5)</x:f>
        <x:v>100</x:v>
      </x:c>
      <x:c r="AA20" s="344" t="n">
        <x:f>IF(COUNT(C20:Z20)=0,"",AVERAGE(C20:Z20))</x:f>
        <x:v>96.66666666666667</x:v>
      </x:c>
      <x:c r="AB20" t="str">
        <x:f>IFERROR(INDEX($C$1:$Z$1,1,MATCH(MAX(C20:Z20),C20:Z20,0)),"")</x:f>
        <x:v>GPT 5.6 Sol low</x:v>
      </x:c>
    </x:row>
    <x:row r="21">
      <x:c r="A21" s="52" t="str">
        <x:v>REGEX — РЕГУЛЯРНЫЕ ВЫРАЖЕНИЯ И ПАРСИНГ</x:v>
      </x:c>
      <x:c r="B21" s="53" t="n">
        <x:v>3</x:v>
      </x:c>
      <x:c r="C21" s="344" t="n">
        <x:f>IF(COUNT('Детальная оценка'!D134:D136)=0,"",SUM('Детальная оценка'!D134:D136)/3)</x:f>
        <x:v>100</x:v>
      </x:c>
      <x:c r="D21" s="344" t="n">
        <x:f>IF(COUNT('Детальная оценка'!E134:E136)=0,"",SUM('Детальная оценка'!E134:E136)/3)</x:f>
        <x:v>100</x:v>
      </x:c>
      <x:c r="E21" s="344" t="n">
        <x:f>IF(COUNT('Детальная оценка'!F134:F136)=0,"",SUM('Детальная оценка'!F134:F136)/3)</x:f>
        <x:v>100</x:v>
      </x:c>
      <x:c r="F21" s="344" t="n">
        <x:f>IF(COUNT('Детальная оценка'!G134:G136)=0,"",SUM('Детальная оценка'!G134:G136)/3)</x:f>
        <x:v>100</x:v>
      </x:c>
      <x:c r="G21" s="344" t="n">
        <x:f>IF(COUNT('Детальная оценка'!H134:H136)=0,"",SUM('Детальная оценка'!H134:H136)/3)</x:f>
        <x:v>100</x:v>
      </x:c>
      <x:c r="H21" s="344" t="n">
        <x:f>IF(COUNT('Детальная оценка'!I134:I136)=0,"",SUM('Детальная оценка'!I134:I136)/3)</x:f>
        <x:v>100</x:v>
      </x:c>
      <x:c r="I21" s="344" t="n">
        <x:f>IF(COUNT('Детальная оценка'!J134:J136)=0,"",SUM('Детальная оценка'!J134:J136)/3)</x:f>
        <x:v>100</x:v>
      </x:c>
      <x:c r="J21" s="344" t="n">
        <x:f>IF(COUNT('Детальная оценка'!K134:K136)=0,"",SUM('Детальная оценка'!K134:K136)/3)</x:f>
        <x:v>100</x:v>
      </x:c>
      <x:c r="K21" s="344" t="n">
        <x:f>IF(COUNT('Детальная оценка'!L134:L136)=0,"",SUM('Детальная оценка'!L134:L136)/3)</x:f>
        <x:v>100</x:v>
      </x:c>
      <x:c r="L21" s="344" t="n">
        <x:f>IF(COUNT('Детальная оценка'!M134:M136)=0,"",SUM('Детальная оценка'!M134:M136)/3)</x:f>
        <x:v>100</x:v>
      </x:c>
      <x:c r="M21" s="344" t="n">
        <x:f>IF(COUNT('Детальная оценка'!N134:N136)=0,"",SUM('Детальная оценка'!N134:N136)/3)</x:f>
        <x:v>100</x:v>
      </x:c>
      <x:c r="N21" s="344" t="n">
        <x:f>IF(COUNT('Детальная оценка'!O134:O136)=0,"",SUM('Детальная оценка'!O134:O136)/3)</x:f>
        <x:v>100</x:v>
      </x:c>
      <x:c r="O21" s="344" t="n">
        <x:f>IF(COUNT('Детальная оценка'!P134:P136)=0,"",SUM('Детальная оценка'!P134:P136)/3)</x:f>
        <x:v>100</x:v>
      </x:c>
      <x:c r="P21" s="344" t="n">
        <x:f>IF(COUNT('Детальная оценка'!Q134:Q136)=0,"",SUM('Детальная оценка'!Q134:Q136)/3)</x:f>
        <x:v>100</x:v>
      </x:c>
      <x:c r="Q21" s="344" t="n">
        <x:f>IF(COUNT('Детальная оценка'!R134:R136)=0,"",SUM('Детальная оценка'!R134:R136)/3)</x:f>
        <x:v>96.66666666666667</x:v>
      </x:c>
      <x:c r="R21" s="344" t="n">
        <x:f>IF(COUNT('Детальная оценка'!S134:S136)=0,"",SUM('Детальная оценка'!S134:S136)/3)</x:f>
        <x:v>93.33333333333333</x:v>
      </x:c>
      <x:c r="S21" s="344" t="n">
        <x:f>IF(COUNT('Детальная оценка'!T134:T136)=0,"",SUM('Детальная оценка'!T134:T136)/3)</x:f>
        <x:v>96.66666666666667</x:v>
      </x:c>
      <x:c r="T21" s="344" t="n">
        <x:f>IF(COUNT('Детальная оценка'!U134:U136)=0,"",SUM('Детальная оценка'!U134:U136)/3)</x:f>
        <x:v>100</x:v>
      </x:c>
      <x:c r="U21" s="373" t="n">
        <x:f>IF(COUNT('Детальная оценка'!V134:V136)=0,"",SUM('Детальная оценка'!V134:V136)/3)</x:f>
        <x:v>100</x:v>
      </x:c>
      <x:c r="V21" s="373" t="n">
        <x:f>IF(COUNT('Детальная оценка'!W134:W136)=0,"",SUM('Детальная оценка'!W134:W136)/3)</x:f>
        <x:v>100</x:v>
      </x:c>
      <x:c r="W21" s="373" t="n">
        <x:f>IF(COUNT('Детальная оценка'!X134:X136)=0,"",SUM('Детальная оценка'!X134:X136)/3)</x:f>
        <x:v>100</x:v>
      </x:c>
      <x:c r="X21" s="373" t="n">
        <x:f>IF(COUNT('Детальная оценка'!Y134:Y136)=0,"",SUM('Детальная оценка'!Y134:Y136)/3)</x:f>
        <x:v>100</x:v>
      </x:c>
      <x:c r="Y21" s="373" t="n">
        <x:f>IF(COUNT('Детальная оценка'!Z134:Z136)=0,"",SUM('Детальная оценка'!Z134:Z136)/3)</x:f>
        <x:v>73.33333333333333</x:v>
      </x:c>
      <x:c r="Z21" s="374" t="str">
        <x:f>IF(COUNT('Детальная оценка'!AA134:AA136)=0,"",SUM('Детальная оценка'!AA134:AA136)/3)</x:f>
      </x:c>
      <x:c r="AA21" s="344" t="n">
        <x:f>IF(COUNT(C21:Z21)=0,"",AVERAGE(C21:Z21))</x:f>
        <x:v>98.2608695652174</x:v>
      </x:c>
      <x:c r="AB21" t="str">
        <x:f>IFERROR(INDEX($C$1:$Z$1,1,MATCH(MAX(C21:Z21),C21:Z21,0)),"")</x:f>
        <x:v>GPT 5.6 Sol low</x:v>
      </x:c>
    </x:row>
    <x:row r="22">
      <x:c r="A22" s="52" t="str">
        <x:v>LANG — МНОГОЯЗЫЧНОСТЬ</x:v>
      </x:c>
      <x:c r="B22" s="53" t="n">
        <x:v>4</x:v>
      </x:c>
      <x:c r="C22" s="344" t="n">
        <x:f>IF(COUNT('Детальная оценка'!D137:D140)=0,"",SUM('Детальная оценка'!D137:D140)/4)</x:f>
        <x:v>100</x:v>
      </x:c>
      <x:c r="D22" s="344" t="n">
        <x:f>IF(COUNT('Детальная оценка'!E137:E140)=0,"",SUM('Детальная оценка'!E137:E140)/4)</x:f>
        <x:v>95</x:v>
      </x:c>
      <x:c r="E22" s="344" t="n">
        <x:f>IF(COUNT('Детальная оценка'!F137:F140)=0,"",SUM('Детальная оценка'!F137:F140)/4)</x:f>
        <x:v>90</x:v>
      </x:c>
      <x:c r="F22" s="344" t="n">
        <x:f>IF(COUNT('Детальная оценка'!G137:G140)=0,"",SUM('Детальная оценка'!G137:G140)/4)</x:f>
        <x:v>95</x:v>
      </x:c>
      <x:c r="G22" s="344" t="n">
        <x:f>IF(COUNT('Детальная оценка'!H137:H140)=0,"",SUM('Детальная оценка'!H137:H140)/4)</x:f>
        <x:v>97.5</x:v>
      </x:c>
      <x:c r="H22" s="344" t="n">
        <x:f>IF(COUNT('Детальная оценка'!I137:I140)=0,"",SUM('Детальная оценка'!I137:I140)/4)</x:f>
        <x:v>90</x:v>
      </x:c>
      <x:c r="I22" s="344" t="n">
        <x:f>IF(COUNT('Детальная оценка'!J137:J140)=0,"",SUM('Детальная оценка'!J137:J140)/4)</x:f>
        <x:v>100</x:v>
      </x:c>
      <x:c r="J22" s="344" t="n">
        <x:f>IF(COUNT('Детальная оценка'!K137:K140)=0,"",SUM('Детальная оценка'!K137:K140)/4)</x:f>
        <x:v>95</x:v>
      </x:c>
      <x:c r="K22" s="344" t="n">
        <x:f>IF(COUNT('Детальная оценка'!L137:L140)=0,"",SUM('Детальная оценка'!L137:L140)/4)</x:f>
        <x:v>90</x:v>
      </x:c>
      <x:c r="L22" s="344" t="n">
        <x:f>IF(COUNT('Детальная оценка'!M137:M140)=0,"",SUM('Детальная оценка'!M137:M140)/4)</x:f>
        <x:v>96.25</x:v>
      </x:c>
      <x:c r="M22" s="344" t="n">
        <x:f>IF(COUNT('Детальная оценка'!N137:N140)=0,"",SUM('Детальная оценка'!N137:N140)/4)</x:f>
        <x:v>92.5</x:v>
      </x:c>
      <x:c r="N22" s="344" t="n">
        <x:f>IF(COUNT('Детальная оценка'!O137:O140)=0,"",SUM('Детальная оценка'!O137:O140)/4)</x:f>
        <x:v>100</x:v>
      </x:c>
      <x:c r="O22" s="344" t="n">
        <x:f>IF(COUNT('Детальная оценка'!P137:P140)=0,"",SUM('Детальная оценка'!P137:P140)/4)</x:f>
        <x:v>100</x:v>
      </x:c>
      <x:c r="P22" s="344" t="n">
        <x:f>IF(COUNT('Детальная оценка'!Q137:Q140)=0,"",SUM('Детальная оценка'!Q137:Q140)/4)</x:f>
        <x:v>100</x:v>
      </x:c>
      <x:c r="Q22" s="344" t="n">
        <x:f>IF(COUNT('Детальная оценка'!R137:R140)=0,"",SUM('Детальная оценка'!R137:R140)/4)</x:f>
        <x:v>100</x:v>
      </x:c>
      <x:c r="R22" s="344" t="n">
        <x:f>IF(COUNT('Детальная оценка'!S137:S140)=0,"",SUM('Детальная оценка'!S137:S140)/4)</x:f>
        <x:v>100</x:v>
      </x:c>
      <x:c r="S22" s="344" t="n">
        <x:f>IF(COUNT('Детальная оценка'!T137:T140)=0,"",SUM('Детальная оценка'!T137:T140)/4)</x:f>
        <x:v>92.5</x:v>
      </x:c>
      <x:c r="T22" s="344" t="n">
        <x:f>IF(COUNT('Детальная оценка'!U137:U140)=0,"",SUM('Детальная оценка'!U137:U140)/4)</x:f>
        <x:v>100</x:v>
      </x:c>
      <x:c r="U22" s="373" t="n">
        <x:f>IF(COUNT('Детальная оценка'!V137:V140)=0,"",SUM('Детальная оценка'!V137:V140)/4)</x:f>
        <x:v>75</x:v>
      </x:c>
      <x:c r="V22" s="373" t="n">
        <x:f>IF(COUNT('Детальная оценка'!W137:W140)=0,"",SUM('Детальная оценка'!W137:W140)/4)</x:f>
        <x:v>75</x:v>
      </x:c>
      <x:c r="W22" s="373" t="n">
        <x:f>IF(COUNT('Детальная оценка'!X137:X140)=0,"",SUM('Детальная оценка'!X137:X140)/4)</x:f>
        <x:v>75</x:v>
      </x:c>
      <x:c r="X22" s="373" t="n">
        <x:f>IF(COUNT('Детальная оценка'!Y137:Y140)=0,"",SUM('Детальная оценка'!Y137:Y140)/4)</x:f>
        <x:v>75</x:v>
      </x:c>
      <x:c r="Y22" s="373" t="n">
        <x:f>IF(COUNT('Детальная оценка'!Z137:Z140)=0,"",SUM('Детальная оценка'!Z137:Z140)/4)</x:f>
        <x:v>75</x:v>
      </x:c>
      <x:c r="Z22" s="374" t="str">
        <x:f>IF(COUNT('Детальная оценка'!AA137:AA140)=0,"",SUM('Детальная оценка'!AA137:AA140)/4)</x:f>
      </x:c>
      <x:c r="AA22" s="344" t="n">
        <x:f>IF(COUNT(C22:Z22)=0,"",AVERAGE(C22:Z22))</x:f>
        <x:v>91.68478260869566</x:v>
      </x:c>
      <x:c r="AB22" t="str">
        <x:f>IFERROR(INDEX($C$1:$Z$1,1,MATCH(MAX(C22:Z22),C22:Z22,0)),"")</x:f>
        <x:v>GPT 5.6 Sol low</x:v>
      </x:c>
    </x:row>
    <x:row r="23">
      <x:c r="A23" s="52" t="str">
        <x:v>DATA — СТРУКТУРИРОВАННЫЕ ДАННЫЕ</x:v>
      </x:c>
      <x:c r="B23" s="53" t="n">
        <x:v>3</x:v>
      </x:c>
      <x:c r="C23" s="344" t="n">
        <x:f>IF(COUNT('Детальная оценка'!D141:D143)=0,"",SUM('Детальная оценка'!D141:D143)/3)</x:f>
        <x:v>93.33333333333333</x:v>
      </x:c>
      <x:c r="D23" s="344" t="n">
        <x:f>IF(COUNT('Детальная оценка'!E141:E143)=0,"",SUM('Детальная оценка'!E141:E143)/3)</x:f>
        <x:v>93.33333333333333</x:v>
      </x:c>
      <x:c r="E23" s="344" t="n">
        <x:f>IF(COUNT('Детальная оценка'!F141:F143)=0,"",SUM('Детальная оценка'!F141:F143)/3)</x:f>
        <x:v>100</x:v>
      </x:c>
      <x:c r="F23" s="344" t="n">
        <x:f>IF(COUNT('Детальная оценка'!G141:G143)=0,"",SUM('Детальная оценка'!G141:G143)/3)</x:f>
        <x:v>100</x:v>
      </x:c>
      <x:c r="G23" s="344" t="n">
        <x:f>IF(COUNT('Детальная оценка'!H141:H143)=0,"",SUM('Детальная оценка'!H141:H143)/3)</x:f>
        <x:v>93.33333333333333</x:v>
      </x:c>
      <x:c r="H23" s="344" t="n">
        <x:f>IF(COUNT('Детальная оценка'!I141:I143)=0,"",SUM('Детальная оценка'!I141:I143)/3)</x:f>
        <x:v>90</x:v>
      </x:c>
      <x:c r="I23" s="344" t="n">
        <x:f>IF(COUNT('Детальная оценка'!J141:J143)=0,"",SUM('Детальная оценка'!J141:J143)/3)</x:f>
        <x:v>100</x:v>
      </x:c>
      <x:c r="J23" s="344" t="n">
        <x:f>IF(COUNT('Детальная оценка'!K141:K143)=0,"",SUM('Детальная оценка'!K141:K143)/3)</x:f>
        <x:v>100</x:v>
      </x:c>
      <x:c r="K23" s="344" t="n">
        <x:f>IF(COUNT('Детальная оценка'!L141:L143)=0,"",SUM('Детальная оценка'!L141:L143)/3)</x:f>
        <x:v>100</x:v>
      </x:c>
      <x:c r="L23" s="344" t="n">
        <x:f>IF(COUNT('Детальная оценка'!M141:M143)=0,"",SUM('Детальная оценка'!M141:M143)/3)</x:f>
        <x:v>100</x:v>
      </x:c>
      <x:c r="M23" s="344" t="n">
        <x:f>IF(COUNT('Детальная оценка'!N141:N143)=0,"",SUM('Детальная оценка'!N141:N143)/3)</x:f>
        <x:v>93.33333333333333</x:v>
      </x:c>
      <x:c r="N23" s="344" t="n">
        <x:f>IF(COUNT('Детальная оценка'!O141:O143)=0,"",SUM('Детальная оценка'!O141:O143)/3)</x:f>
        <x:v>93.33333333333333</x:v>
      </x:c>
      <x:c r="O23" s="344" t="n">
        <x:f>IF(COUNT('Детальная оценка'!P141:P143)=0,"",SUM('Детальная оценка'!P141:P143)/3)</x:f>
        <x:v>93.33333333333333</x:v>
      </x:c>
      <x:c r="P23" s="344" t="n">
        <x:f>IF(COUNT('Детальная оценка'!Q141:Q143)=0,"",SUM('Детальная оценка'!Q141:Q143)/3)</x:f>
        <x:v>100</x:v>
      </x:c>
      <x:c r="Q23" s="344" t="n">
        <x:f>IF(COUNT('Детальная оценка'!R141:R143)=0,"",SUM('Детальная оценка'!R141:R143)/3)</x:f>
        <x:v>93.33333333333333</x:v>
      </x:c>
      <x:c r="R23" s="344" t="n">
        <x:f>IF(COUNT('Детальная оценка'!S141:S143)=0,"",SUM('Детальная оценка'!S141:S143)/3)</x:f>
        <x:v>93.33333333333333</x:v>
      </x:c>
      <x:c r="S23" s="344" t="n">
        <x:f>IF(COUNT('Детальная оценка'!T141:T143)=0,"",SUM('Детальная оценка'!T141:T143)/3)</x:f>
        <x:v>93.33333333333333</x:v>
      </x:c>
      <x:c r="T23" s="344" t="n">
        <x:f>IF(COUNT('Детальная оценка'!U141:U143)=0,"",SUM('Детальная оценка'!U141:U143)/3)</x:f>
        <x:v>100</x:v>
      </x:c>
      <x:c r="U23" s="373" t="n">
        <x:f>IF(COUNT('Детальная оценка'!V141:V143)=0,"",SUM('Детальная оценка'!V141:V143)/3)</x:f>
        <x:v>93.33333333333333</x:v>
      </x:c>
      <x:c r="V23" s="373" t="n">
        <x:f>IF(COUNT('Детальная оценка'!W141:W143)=0,"",SUM('Детальная оценка'!W141:W143)/3)</x:f>
        <x:v>66.66666666666667</x:v>
      </x:c>
      <x:c r="W23" s="373" t="n">
        <x:f>IF(COUNT('Детальная оценка'!X141:X143)=0,"",SUM('Детальная оценка'!X141:X143)/3)</x:f>
        <x:v>73.33333333333333</x:v>
      </x:c>
      <x:c r="X23" s="373" t="n">
        <x:f>IF(COUNT('Детальная оценка'!Y141:Y143)=0,"",SUM('Детальная оценка'!Y141:Y143)/3)</x:f>
        <x:v>73.33333333333333</x:v>
      </x:c>
      <x:c r="Y23" s="373" t="n">
        <x:f>IF(COUNT('Детальная оценка'!Z141:Z143)=0,"",SUM('Детальная оценка'!Z141:Z143)/3)</x:f>
        <x:v>73.33333333333333</x:v>
      </x:c>
      <x:c r="Z23" s="374" t="n">
        <x:f>IF(COUNT('Детальная оценка'!AA141:AA143)=0,"",SUM('Детальная оценка'!AA141:AA143)/3)</x:f>
        <x:v>73.33333333333333</x:v>
      </x:c>
      <x:c r="AA23" s="344" t="n">
        <x:f>IF(COUNT(C23:Z23)=0,"",AVERAGE(C23:Z23))</x:f>
        <x:v>90.97222222222221</x:v>
      </x:c>
      <x:c r="AB23" t="str">
        <x:f>IFERROR(INDEX($C$1:$Z$1,1,MATCH(MAX(C23:Z23),C23:Z23,0)),"")</x:f>
        <x:v>Qwen 3.8 max</x:v>
      </x:c>
    </x:row>
    <x:row r="24">
      <x:c r="A24" s="52" t="str">
        <x:v>MEM — ДЛИННЫЙ КОНТЕКСТ И ТОЧНОЕ СЛЕДОВАНИЕ РАННИМ УСЛОВИЯМ</x:v>
      </x:c>
      <x:c r="B24" s="53" t="n">
        <x:v>14</x:v>
      </x:c>
      <x:c r="C24" s="344" t="n">
        <x:f>IF(COUNT('Детальная оценка'!D144:D157)=0,"",SUM('Детальная оценка'!D144:D157)/14)</x:f>
        <x:v>100</x:v>
      </x:c>
      <x:c r="D24" s="344" t="n">
        <x:f>IF(COUNT('Детальная оценка'!E144:E157)=0,"",SUM('Детальная оценка'!E144:E157)/14)</x:f>
        <x:v>100</x:v>
      </x:c>
      <x:c r="E24" s="344" t="n">
        <x:f>IF(COUNT('Детальная оценка'!F144:F157)=0,"",SUM('Детальная оценка'!F144:F157)/14)</x:f>
        <x:v>100</x:v>
      </x:c>
      <x:c r="F24" s="344" t="n">
        <x:f>IF(COUNT('Детальная оценка'!G144:G157)=0,"",SUM('Детальная оценка'!G144:G157)/14)</x:f>
        <x:v>100</x:v>
      </x:c>
      <x:c r="G24" s="344" t="n">
        <x:f>IF(COUNT('Детальная оценка'!H144:H157)=0,"",SUM('Детальная оценка'!H144:H157)/14)</x:f>
        <x:v>100</x:v>
      </x:c>
      <x:c r="H24" s="344" t="n">
        <x:f>IF(COUNT('Детальная оценка'!I144:I157)=0,"",SUM('Детальная оценка'!I144:I157)/14)</x:f>
        <x:v>100</x:v>
      </x:c>
      <x:c r="I24" s="344" t="n">
        <x:f>IF(COUNT('Детальная оценка'!J144:J157)=0,"",SUM('Детальная оценка'!J144:J157)/14)</x:f>
        <x:v>100</x:v>
      </x:c>
      <x:c r="J24" s="344" t="n">
        <x:f>IF(COUNT('Детальная оценка'!K144:K157)=0,"",SUM('Детальная оценка'!K144:K157)/14)</x:f>
        <x:v>100</x:v>
      </x:c>
      <x:c r="K24" s="344" t="n">
        <x:f>IF(COUNT('Детальная оценка'!L144:L157)=0,"",SUM('Детальная оценка'!L144:L157)/14)</x:f>
        <x:v>100</x:v>
      </x:c>
      <x:c r="L24" s="344" t="n">
        <x:f>IF(COUNT('Детальная оценка'!M144:M157)=0,"",SUM('Детальная оценка'!M144:M157)/14)</x:f>
        <x:v>100</x:v>
      </x:c>
      <x:c r="M24" s="344" t="n">
        <x:f>IF(COUNT('Детальная оценка'!N144:N157)=0,"",SUM('Детальная оценка'!N144:N157)/14)</x:f>
        <x:v>100</x:v>
      </x:c>
      <x:c r="N24" s="344" t="n">
        <x:f>IF(COUNT('Детальная оценка'!O144:O157)=0,"",SUM('Детальная оценка'!O144:O157)/14)</x:f>
        <x:v>98.57142857142857</x:v>
      </x:c>
      <x:c r="O24" s="344" t="n">
        <x:f>IF(COUNT('Детальная оценка'!P144:P157)=0,"",SUM('Детальная оценка'!P144:P157)/14)</x:f>
        <x:v>98.57142857142857</x:v>
      </x:c>
      <x:c r="P24" s="344" t="n">
        <x:f>IF(COUNT('Детальная оценка'!Q144:Q157)=0,"",SUM('Детальная оценка'!Q144:Q157)/14)</x:f>
        <x:v>100</x:v>
      </x:c>
      <x:c r="Q24" s="344" t="n">
        <x:f>IF(COUNT('Детальная оценка'!R144:R157)=0,"",SUM('Детальная оценка'!R144:R157)/14)</x:f>
        <x:v>100</x:v>
      </x:c>
      <x:c r="R24" s="344" t="n">
        <x:f>IF(COUNT('Детальная оценка'!S144:S157)=0,"",SUM('Детальная оценка'!S144:S157)/14)</x:f>
        <x:v>100</x:v>
      </x:c>
      <x:c r="S24" s="344" t="n">
        <x:f>IF(COUNT('Детальная оценка'!T144:T157)=0,"",SUM('Детальная оценка'!T144:T157)/14)</x:f>
        <x:v>99.28571428571429</x:v>
      </x:c>
      <x:c r="T24" s="344" t="n">
        <x:f>IF(COUNT('Детальная оценка'!U144:U157)=0,"",SUM('Детальная оценка'!U144:U157)/14)</x:f>
        <x:v>95.71428571428571</x:v>
      </x:c>
      <x:c r="U24" s="373" t="n">
        <x:f>IF(COUNT('Детальная оценка'!V144:V157)=0,"",SUM('Детальная оценка'!V144:V157)/14)</x:f>
        <x:v>100</x:v>
      </x:c>
      <x:c r="V24" s="373" t="n">
        <x:f>IF(COUNT('Детальная оценка'!W144:W157)=0,"",SUM('Детальная оценка'!W144:W157)/14)</x:f>
        <x:v>100</x:v>
      </x:c>
      <x:c r="W24" s="373" t="n">
        <x:f>IF(COUNT('Детальная оценка'!X144:X157)=0,"",SUM('Детальная оценка'!X144:X157)/14)</x:f>
        <x:v>98.57142857142857</x:v>
      </x:c>
      <x:c r="X24" s="373" t="n">
        <x:f>IF(COUNT('Детальная оценка'!Y144:Y157)=0,"",SUM('Детальная оценка'!Y144:Y157)/14)</x:f>
        <x:v>97.14285714285714</x:v>
      </x:c>
      <x:c r="Y24" s="373" t="n">
        <x:f>IF(COUNT('Детальная оценка'!Z144:Z157)=0,"",SUM('Детальная оценка'!Z144:Z157)/14)</x:f>
        <x:v>71.42857142857143</x:v>
      </x:c>
      <x:c r="Z24" s="374" t="n">
        <x:f>IF(COUNT('Детальная оценка'!AA144:AA157)=0,"",SUM('Детальная оценка'!AA144:AA157)/14)</x:f>
        <x:v>77.14285714285714</x:v>
      </x:c>
      <x:c r="AA24" s="344" t="n">
        <x:f>IF(COUNT(C24:Z24)=0,"",AVERAGE(C24:Z24))</x:f>
        <x:v>97.3511904761905</x:v>
      </x:c>
      <x:c r="AB24" t="str">
        <x:f>IFERROR(INDEX($C$1:$Z$1,1,MATCH(MAX(C24:Z24),C24:Z24,0)),"")</x:f>
        <x:v>GPT 5.6 Sol low</x:v>
      </x:c>
    </x:row>
    <x:row r="25">
      <x:c r="A25" s="52" t="str">
        <x:v>AMB — НЕОДНОЗНАЧНОСТЬ И ПРОТИВОРЕЧИВЫЕ ТРЕБОВАНИЯ</x:v>
      </x:c>
      <x:c r="B25" s="53" t="n">
        <x:v>3</x:v>
      </x:c>
      <x:c r="C25" s="344" t="n">
        <x:f>IF(COUNT('Детальная оценка'!D158:D160)=0,"",SUM('Детальная оценка'!D158:D160)/3)</x:f>
        <x:v>100</x:v>
      </x:c>
      <x:c r="D25" s="344" t="n">
        <x:f>IF(COUNT('Детальная оценка'!E158:E160)=0,"",SUM('Детальная оценка'!E158:E160)/3)</x:f>
        <x:v>100</x:v>
      </x:c>
      <x:c r="E25" s="344" t="n">
        <x:f>IF(COUNT('Детальная оценка'!F158:F160)=0,"",SUM('Детальная оценка'!F158:F160)/3)</x:f>
        <x:v>100</x:v>
      </x:c>
      <x:c r="F25" s="344" t="n">
        <x:f>IF(COUNT('Детальная оценка'!G158:G160)=0,"",SUM('Детальная оценка'!G158:G160)/3)</x:f>
        <x:v>100</x:v>
      </x:c>
      <x:c r="G25" s="344" t="n">
        <x:f>IF(COUNT('Детальная оценка'!H158:H160)=0,"",SUM('Детальная оценка'!H158:H160)/3)</x:f>
        <x:v>100</x:v>
      </x:c>
      <x:c r="H25" s="344" t="n">
        <x:f>IF(COUNT('Детальная оценка'!I158:I160)=0,"",SUM('Детальная оценка'!I158:I160)/3)</x:f>
        <x:v>100</x:v>
      </x:c>
      <x:c r="I25" s="344" t="n">
        <x:f>IF(COUNT('Детальная оценка'!J158:J160)=0,"",SUM('Детальная оценка'!J158:J160)/3)</x:f>
        <x:v>100</x:v>
      </x:c>
      <x:c r="J25" s="344" t="n">
        <x:f>IF(COUNT('Детальная оценка'!K158:K160)=0,"",SUM('Детальная оценка'!K158:K160)/3)</x:f>
        <x:v>100</x:v>
      </x:c>
      <x:c r="K25" s="344" t="n">
        <x:f>IF(COUNT('Детальная оценка'!L158:L160)=0,"",SUM('Детальная оценка'!L158:L160)/3)</x:f>
        <x:v>100</x:v>
      </x:c>
      <x:c r="L25" s="344" t="n">
        <x:f>IF(COUNT('Детальная оценка'!M158:M160)=0,"",SUM('Детальная оценка'!M158:M160)/3)</x:f>
        <x:v>100</x:v>
      </x:c>
      <x:c r="M25" s="344" t="n">
        <x:f>IF(COUNT('Детальная оценка'!N158:N160)=0,"",SUM('Детальная оценка'!N158:N160)/3)</x:f>
        <x:v>100</x:v>
      </x:c>
      <x:c r="N25" s="344" t="n">
        <x:f>IF(COUNT('Детальная оценка'!O158:O160)=0,"",SUM('Детальная оценка'!O158:O160)/3)</x:f>
        <x:v>100</x:v>
      </x:c>
      <x:c r="O25" s="344" t="n">
        <x:f>IF(COUNT('Детальная оценка'!P158:P160)=0,"",SUM('Детальная оценка'!P158:P160)/3)</x:f>
        <x:v>100</x:v>
      </x:c>
      <x:c r="P25" s="344" t="n">
        <x:f>IF(COUNT('Детальная оценка'!Q158:Q160)=0,"",SUM('Детальная оценка'!Q158:Q160)/3)</x:f>
        <x:v>86.66666666666667</x:v>
      </x:c>
      <x:c r="Q25" s="344" t="n">
        <x:f>IF(COUNT('Детальная оценка'!R158:R160)=0,"",SUM('Детальная оценка'!R158:R160)/3)</x:f>
        <x:v>100</x:v>
      </x:c>
      <x:c r="R25" s="344" t="n">
        <x:f>IF(COUNT('Детальная оценка'!S158:S160)=0,"",SUM('Детальная оценка'!S158:S160)/3)</x:f>
        <x:v>100</x:v>
      </x:c>
      <x:c r="S25" s="344" t="n">
        <x:f>IF(COUNT('Детальная оценка'!T158:T160)=0,"",SUM('Детальная оценка'!T158:T160)/3)</x:f>
        <x:v>100</x:v>
      </x:c>
      <x:c r="T25" s="344" t="n">
        <x:f>IF(COUNT('Детальная оценка'!U158:U160)=0,"",SUM('Детальная оценка'!U158:U160)/3)</x:f>
        <x:v>100</x:v>
      </x:c>
      <x:c r="U25" s="373" t="n">
        <x:f>IF(COUNT('Детальная оценка'!V158:V160)=0,"",SUM('Детальная оценка'!V158:V160)/3)</x:f>
        <x:v>86.66666666666667</x:v>
      </x:c>
      <x:c r="V25" s="373" t="n">
        <x:f>IF(COUNT('Детальная оценка'!W158:W160)=0,"",SUM('Детальная оценка'!W158:W160)/3)</x:f>
        <x:v>93.33333333333333</x:v>
      </x:c>
      <x:c r="W25" s="373" t="n">
        <x:f>IF(COUNT('Детальная оценка'!X158:X160)=0,"",SUM('Детальная оценка'!X158:X160)/3)</x:f>
        <x:v>100</x:v>
      </x:c>
      <x:c r="X25" s="373" t="n">
        <x:f>IF(COUNT('Детальная оценка'!Y158:Y160)=0,"",SUM('Детальная оценка'!Y158:Y160)/3)</x:f>
        <x:v>100</x:v>
      </x:c>
      <x:c r="Y25" s="373" t="n">
        <x:f>IF(COUNT('Детальная оценка'!Z158:Z160)=0,"",SUM('Детальная оценка'!Z158:Z160)/3)</x:f>
        <x:v>80</x:v>
      </x:c>
      <x:c r="Z25" s="374" t="str">
        <x:f>IF(COUNT('Детальная оценка'!AA158:AA160)=0,"",SUM('Детальная оценка'!AA158:AA160)/3)</x:f>
      </x:c>
      <x:c r="AA25" s="344" t="n">
        <x:f>IF(COUNT(C25:Z25)=0,"",AVERAGE(C25:Z25))</x:f>
        <x:v>97.68115942028987</x:v>
      </x:c>
      <x:c r="AB25" t="str">
        <x:f>IFERROR(INDEX($C$1:$Z$1,1,MATCH(MAX(C25:Z25),C25:Z25,0)),"")</x:f>
        <x:v>GPT 5.6 Sol low</x:v>
      </x:c>
    </x:row>
    <x:row r="26">
      <x:c r="A26" s="52" t="str">
        <x:v>SELF — САМОПРОВЕРКА И ИСПРАВЛЕНИЕ СОБСТВЕННОГО РЕШЕНИЯ</x:v>
      </x:c>
      <x:c r="B26" s="53" t="n">
        <x:v>2</x:v>
      </x:c>
      <x:c r="C26" s="344" t="n">
        <x:f>IF(COUNT('Детальная оценка'!D161:D162)=0,"",SUM('Детальная оценка'!D161:D162)/2)</x:f>
        <x:v>100</x:v>
      </x:c>
      <x:c r="D26" s="344" t="n">
        <x:f>IF(COUNT('Детальная оценка'!E161:E162)=0,"",SUM('Детальная оценка'!E161:E162)/2)</x:f>
        <x:v>100</x:v>
      </x:c>
      <x:c r="E26" s="344" t="n">
        <x:f>IF(COUNT('Детальная оценка'!F161:F162)=0,"",SUM('Детальная оценка'!F161:F162)/2)</x:f>
        <x:v>100</x:v>
      </x:c>
      <x:c r="F26" s="344" t="n">
        <x:f>IF(COUNT('Детальная оценка'!G161:G162)=0,"",SUM('Детальная оценка'!G161:G162)/2)</x:f>
        <x:v>100</x:v>
      </x:c>
      <x:c r="G26" s="344" t="n">
        <x:f>IF(COUNT('Детальная оценка'!H161:H162)=0,"",SUM('Детальная оценка'!H161:H162)/2)</x:f>
        <x:v>100</x:v>
      </x:c>
      <x:c r="H26" s="344" t="n">
        <x:f>IF(COUNT('Детальная оценка'!I161:I162)=0,"",SUM('Детальная оценка'!I161:I162)/2)</x:f>
        <x:v>100</x:v>
      </x:c>
      <x:c r="I26" s="344" t="n">
        <x:f>IF(COUNT('Детальная оценка'!J161:J162)=0,"",SUM('Детальная оценка'!J161:J162)/2)</x:f>
        <x:v>90</x:v>
      </x:c>
      <x:c r="J26" s="344" t="n">
        <x:f>IF(COUNT('Детальная оценка'!K161:K162)=0,"",SUM('Детальная оценка'!K161:K162)/2)</x:f>
        <x:v>100</x:v>
      </x:c>
      <x:c r="K26" s="344" t="n">
        <x:f>IF(COUNT('Детальная оценка'!L161:L162)=0,"",SUM('Детальная оценка'!L161:L162)/2)</x:f>
        <x:v>100</x:v>
      </x:c>
      <x:c r="L26" s="344" t="n">
        <x:f>IF(COUNT('Детальная оценка'!M161:M162)=0,"",SUM('Детальная оценка'!M161:M162)/2)</x:f>
        <x:v>100</x:v>
      </x:c>
      <x:c r="M26" s="344" t="n">
        <x:f>IF(COUNT('Детальная оценка'!N161:N162)=0,"",SUM('Детальная оценка'!N161:N162)/2)</x:f>
        <x:v>100</x:v>
      </x:c>
      <x:c r="N26" s="344" t="n">
        <x:f>IF(COUNT('Детальная оценка'!O161:O162)=0,"",SUM('Детальная оценка'!O161:O162)/2)</x:f>
        <x:v>90</x:v>
      </x:c>
      <x:c r="O26" s="344" t="n">
        <x:f>IF(COUNT('Детальная оценка'!P161:P162)=0,"",SUM('Детальная оценка'!P161:P162)/2)</x:f>
        <x:v>90</x:v>
      </x:c>
      <x:c r="P26" s="344" t="n">
        <x:f>IF(COUNT('Детальная оценка'!Q161:Q162)=0,"",SUM('Детальная оценка'!Q161:Q162)/2)</x:f>
        <x:v>100</x:v>
      </x:c>
      <x:c r="Q26" s="344" t="n">
        <x:f>IF(COUNT('Детальная оценка'!R161:R162)=0,"",SUM('Детальная оценка'!R161:R162)/2)</x:f>
        <x:v>80</x:v>
      </x:c>
      <x:c r="R26" s="344" t="n">
        <x:f>IF(COUNT('Детальная оценка'!S161:S162)=0,"",SUM('Детальная оценка'!S161:S162)/2)</x:f>
        <x:v>100</x:v>
      </x:c>
      <x:c r="S26" s="344" t="n">
        <x:f>IF(COUNT('Детальная оценка'!T161:T162)=0,"",SUM('Детальная оценка'!T161:T162)/2)</x:f>
        <x:v>80</x:v>
      </x:c>
      <x:c r="T26" s="344" t="n">
        <x:f>IF(COUNT('Детальная оценка'!U161:U162)=0,"",SUM('Детальная оценка'!U161:U162)/2)</x:f>
        <x:v>90</x:v>
      </x:c>
      <x:c r="U26" s="373" t="n">
        <x:f>IF(COUNT('Детальная оценка'!V161:V162)=0,"",SUM('Детальная оценка'!V161:V162)/2)</x:f>
        <x:v>100</x:v>
      </x:c>
      <x:c r="V26" s="373" t="n">
        <x:f>IF(COUNT('Детальная оценка'!W161:W162)=0,"",SUM('Детальная оценка'!W161:W162)/2)</x:f>
        <x:v>90</x:v>
      </x:c>
      <x:c r="W26" s="373" t="n">
        <x:f>IF(COUNT('Детальная оценка'!X161:X162)=0,"",SUM('Детальная оценка'!X161:X162)/2)</x:f>
        <x:v>80</x:v>
      </x:c>
      <x:c r="X26" s="373" t="n">
        <x:f>IF(COUNT('Детальная оценка'!Y161:Y162)=0,"",SUM('Детальная оценка'!Y161:Y162)/2)</x:f>
        <x:v>80</x:v>
      </x:c>
      <x:c r="Y26" s="373" t="n">
        <x:f>IF(COUNT('Детальная оценка'!Z161:Z162)=0,"",SUM('Детальная оценка'!Z161:Z162)/2)</x:f>
        <x:v>80</x:v>
      </x:c>
      <x:c r="Z26" s="374" t="str">
        <x:f>IF(COUNT('Детальная оценка'!AA161:AA162)=0,"",SUM('Детальная оценка'!AA161:AA162)/2)</x:f>
      </x:c>
      <x:c r="AA26" s="344" t="n">
        <x:f>IF(COUNT(C26:Z26)=0,"",AVERAGE(C26:Z26))</x:f>
        <x:v>93.47826086956522</x:v>
      </x:c>
      <x:c r="AB26" t="str">
        <x:f>IFERROR(INDEX($C$1:$Z$1,1,MATCH(MAX(C26:Z26),C26:Z26,0)),"")</x:f>
        <x:v>GPT 5.6 Sol low</x:v>
      </x:c>
    </x:row>
    <x:row r="27">
      <x:c r="A27" s="52" t="str">
        <x:v>DIAG — ПРАКТИЧЕСКАЯ СИСТЕМНАЯ ДИАГНОСТИКА</x:v>
      </x:c>
      <x:c r="B27" s="53" t="n">
        <x:v>4</x:v>
      </x:c>
      <x:c r="C27" s="344" t="n">
        <x:f>IF(COUNT('Детальная оценка'!D163:D166)=0,"",SUM('Детальная оценка'!D163:D166)/4)</x:f>
        <x:v>100</x:v>
      </x:c>
      <x:c r="D27" s="344" t="n">
        <x:f>IF(COUNT('Детальная оценка'!E163:E166)=0,"",SUM('Детальная оценка'!E163:E166)/4)</x:f>
        <x:v>100</x:v>
      </x:c>
      <x:c r="E27" s="344" t="n">
        <x:f>IF(COUNT('Детальная оценка'!F163:F166)=0,"",SUM('Детальная оценка'!F163:F166)/4)</x:f>
        <x:v>100</x:v>
      </x:c>
      <x:c r="F27" s="344" t="n">
        <x:f>IF(COUNT('Детальная оценка'!G163:G166)=0,"",SUM('Детальная оценка'!G163:G166)/4)</x:f>
        <x:v>100</x:v>
      </x:c>
      <x:c r="G27" s="344" t="n">
        <x:f>IF(COUNT('Детальная оценка'!H163:H166)=0,"",SUM('Детальная оценка'!H163:H166)/4)</x:f>
        <x:v>100</x:v>
      </x:c>
      <x:c r="H27" s="344" t="n">
        <x:f>IF(COUNT('Детальная оценка'!I163:I166)=0,"",SUM('Детальная оценка'!I163:I166)/4)</x:f>
        <x:v>96.25</x:v>
      </x:c>
      <x:c r="I27" s="344" t="n">
        <x:f>IF(COUNT('Детальная оценка'!J163:J166)=0,"",SUM('Детальная оценка'!J163:J166)/4)</x:f>
        <x:v>100</x:v>
      </x:c>
      <x:c r="J27" s="344" t="n">
        <x:f>IF(COUNT('Детальная оценка'!K163:K166)=0,"",SUM('Детальная оценка'!K163:K166)/4)</x:f>
        <x:v>95</x:v>
      </x:c>
      <x:c r="K27" s="344" t="n">
        <x:f>IF(COUNT('Детальная оценка'!L163:L166)=0,"",SUM('Детальная оценка'!L163:L166)/4)</x:f>
        <x:v>100</x:v>
      </x:c>
      <x:c r="L27" s="344" t="n">
        <x:f>IF(COUNT('Детальная оценка'!M163:M166)=0,"",SUM('Детальная оценка'!M163:M166)/4)</x:f>
        <x:v>97.5</x:v>
      </x:c>
      <x:c r="M27" s="344" t="n">
        <x:f>IF(COUNT('Детальная оценка'!N163:N166)=0,"",SUM('Детальная оценка'!N163:N166)/4)</x:f>
        <x:v>100</x:v>
      </x:c>
      <x:c r="N27" s="344" t="n">
        <x:f>IF(COUNT('Детальная оценка'!O163:O166)=0,"",SUM('Детальная оценка'!O163:O166)/4)</x:f>
        <x:v>90</x:v>
      </x:c>
      <x:c r="O27" s="344" t="n">
        <x:f>IF(COUNT('Детальная оценка'!P163:P166)=0,"",SUM('Детальная оценка'!P163:P166)/4)</x:f>
        <x:v>80</x:v>
      </x:c>
      <x:c r="P27" s="344" t="n">
        <x:f>IF(COUNT('Детальная оценка'!Q163:Q166)=0,"",SUM('Детальная оценка'!Q163:Q166)/4)</x:f>
        <x:v>95</x:v>
      </x:c>
      <x:c r="Q27" s="344" t="n">
        <x:f>IF(COUNT('Детальная оценка'!R163:R166)=0,"",SUM('Детальная оценка'!R163:R166)/4)</x:f>
        <x:v>82.5</x:v>
      </x:c>
      <x:c r="R27" s="344" t="n">
        <x:f>IF(COUNT('Детальная оценка'!S163:S166)=0,"",SUM('Детальная оценка'!S163:S166)/4)</x:f>
        <x:v>80</x:v>
      </x:c>
      <x:c r="S27" s="344" t="n">
        <x:f>IF(COUNT('Детальная оценка'!T163:T166)=0,"",SUM('Детальная оценка'!T163:T166)/4)</x:f>
        <x:v>85</x:v>
      </x:c>
      <x:c r="T27" s="344" t="n">
        <x:f>IF(COUNT('Детальная оценка'!U163:U166)=0,"",SUM('Детальная оценка'!U163:U166)/4)</x:f>
        <x:v>85</x:v>
      </x:c>
      <x:c r="U27" s="373" t="n">
        <x:f>IF(COUNT('Детальная оценка'!V163:V166)=0,"",SUM('Детальная оценка'!V163:V166)/4)</x:f>
        <x:v>80</x:v>
      </x:c>
      <x:c r="V27" s="373" t="n">
        <x:f>IF(COUNT('Детальная оценка'!W163:W166)=0,"",SUM('Детальная оценка'!W163:W166)/4)</x:f>
        <x:v>60</x:v>
      </x:c>
      <x:c r="W27" s="373" t="n">
        <x:f>IF(COUNT('Детальная оценка'!X163:X166)=0,"",SUM('Детальная оценка'!X163:X166)/4)</x:f>
        <x:v>90</x:v>
      </x:c>
      <x:c r="X27" s="373" t="n">
        <x:f>IF(COUNT('Детальная оценка'!Y163:Y166)=0,"",SUM('Детальная оценка'!Y163:Y166)/4)</x:f>
        <x:v>90</x:v>
      </x:c>
      <x:c r="Y27" s="373" t="n">
        <x:f>IF(COUNT('Детальная оценка'!Z163:Z166)=0,"",SUM('Детальная оценка'!Z163:Z166)/4)</x:f>
        <x:v>60</x:v>
      </x:c>
      <x:c r="Z27" s="374" t="str">
        <x:f>IF(COUNT('Детальная оценка'!AA163:AA166)=0,"",SUM('Детальная оценка'!AA163:AA166)/4)</x:f>
      </x:c>
      <x:c r="AA27" s="344" t="n">
        <x:f>IF(COUNT(C27:Z27)=0,"",AVERAGE(C27:Z27))</x:f>
        <x:v>89.83695652173913</x:v>
      </x:c>
      <x:c r="AB27" t="str">
        <x:f>IFERROR(INDEX($C$1:$Z$1,1,MATCH(MAX(C27:Z27),C27:Z27,0)),"")</x:f>
        <x:v>GPT 5.6 Sol low</x:v>
      </x:c>
    </x:row>
    <x:row r="28">
      <x:c r="A28" s="52" t="str">
        <x:v>SYS — ПРОЕКТИРОВАНИЕ НЕБОЛЬШОЙ СИСТЕМЫ</x:v>
      </x:c>
      <x:c r="B28" s="53" t="n">
        <x:v>1</x:v>
      </x:c>
      <x:c r="C28" s="344" t="n">
        <x:f>IF(COUNT('Детальная оценка'!D167:D167)=0,"",SUM('Детальная оценка'!D167:D167)/1)</x:f>
        <x:v>100</x:v>
      </x:c>
      <x:c r="D28" s="344" t="n">
        <x:f>IF(COUNT('Детальная оценка'!E167:E167)=0,"",SUM('Детальная оценка'!E167:E167)/1)</x:f>
        <x:v>100</x:v>
      </x:c>
      <x:c r="E28" s="344" t="n">
        <x:f>IF(COUNT('Детальная оценка'!F167:F167)=0,"",SUM('Детальная оценка'!F167:F167)/1)</x:f>
        <x:v>100</x:v>
      </x:c>
      <x:c r="F28" s="344" t="n">
        <x:f>IF(COUNT('Детальная оценка'!G167:G167)=0,"",SUM('Детальная оценка'!G167:G167)/1)</x:f>
        <x:v>100</x:v>
      </x:c>
      <x:c r="G28" s="344" t="n">
        <x:f>IF(COUNT('Детальная оценка'!H167:H167)=0,"",SUM('Детальная оценка'!H167:H167)/1)</x:f>
        <x:v>100</x:v>
      </x:c>
      <x:c r="H28" s="344" t="n">
        <x:f>IF(COUNT('Детальная оценка'!I167:I167)=0,"",SUM('Детальная оценка'!I167:I167)/1)</x:f>
        <x:v>90</x:v>
      </x:c>
      <x:c r="I28" s="344" t="n">
        <x:f>IF(COUNT('Детальная оценка'!J167:J167)=0,"",SUM('Детальная оценка'!J167:J167)/1)</x:f>
        <x:v>80</x:v>
      </x:c>
      <x:c r="J28" s="344" t="n">
        <x:f>IF(COUNT('Детальная оценка'!K167:K167)=0,"",SUM('Детальная оценка'!K167:K167)/1)</x:f>
        <x:v>80</x:v>
      </x:c>
      <x:c r="K28" s="344" t="n">
        <x:f>IF(COUNT('Детальная оценка'!L167:L167)=0,"",SUM('Детальная оценка'!L167:L167)/1)</x:f>
        <x:v>100</x:v>
      </x:c>
      <x:c r="L28" s="344" t="n">
        <x:f>IF(COUNT('Детальная оценка'!M167:M167)=0,"",SUM('Детальная оценка'!M167:M167)/1)</x:f>
        <x:v>80</x:v>
      </x:c>
      <x:c r="M28" s="344" t="n">
        <x:f>IF(COUNT('Детальная оценка'!N167:N167)=0,"",SUM('Детальная оценка'!N167:N167)/1)</x:f>
        <x:v>85</x:v>
      </x:c>
      <x:c r="N28" s="344" t="n">
        <x:f>IF(COUNT('Детальная оценка'!O167:O167)=0,"",SUM('Детальная оценка'!O167:O167)/1)</x:f>
        <x:v>40</x:v>
      </x:c>
      <x:c r="O28" s="344" t="n">
        <x:f>IF(COUNT('Детальная оценка'!P167:P167)=0,"",SUM('Детальная оценка'!P167:P167)/1)</x:f>
        <x:v>40</x:v>
      </x:c>
      <x:c r="P28" s="344" t="str">
        <x:f>IF(COUNT('Детальная оценка'!Q167:Q167)=0,"",SUM('Детальная оценка'!Q167:Q167)/1)</x:f>
      </x:c>
      <x:c r="Q28" s="344" t="n">
        <x:f>IF(COUNT('Детальная оценка'!R167:R167)=0,"",SUM('Детальная оценка'!R167:R167)/1)</x:f>
        <x:v>60</x:v>
      </x:c>
      <x:c r="R28" s="344" t="n">
        <x:f>IF(COUNT('Детальная оценка'!S167:S167)=0,"",SUM('Детальная оценка'!S167:S167)/1)</x:f>
        <x:v>60</x:v>
      </x:c>
      <x:c r="S28" s="344" t="n">
        <x:f>IF(COUNT('Детальная оценка'!T167:T167)=0,"",SUM('Детальная оценка'!T167:T167)/1)</x:f>
        <x:v>50</x:v>
      </x:c>
      <x:c r="T28" s="344" t="n">
        <x:f>IF(COUNT('Детальная оценка'!U167:U167)=0,"",SUM('Детальная оценка'!U167:U167)/1)</x:f>
        <x:v>40</x:v>
      </x:c>
      <x:c r="U28" s="373" t="n">
        <x:f>IF(COUNT('Детальная оценка'!V167:V167)=0,"",SUM('Детальная оценка'!V167:V167)/1)</x:f>
        <x:v>60</x:v>
      </x:c>
      <x:c r="V28" s="373" t="n">
        <x:f>IF(COUNT('Детальная оценка'!W167:W167)=0,"",SUM('Детальная оценка'!W167:W167)/1)</x:f>
        <x:v>40</x:v>
      </x:c>
      <x:c r="W28" s="373" t="n">
        <x:f>IF(COUNT('Детальная оценка'!X167:X167)=0,"",SUM('Детальная оценка'!X167:X167)/1)</x:f>
        <x:v>60</x:v>
      </x:c>
      <x:c r="X28" s="373" t="str">
        <x:f>IF(COUNT('Детальная оценка'!Y167:Y167)=0,"",SUM('Детальная оценка'!Y167:Y167)/1)</x:f>
      </x:c>
      <x:c r="Y28" s="373" t="n">
        <x:f>IF(COUNT('Детальная оценка'!Z167:Z167)=0,"",SUM('Детальная оценка'!Z167:Z167)/1)</x:f>
        <x:v>80</x:v>
      </x:c>
      <x:c r="Z28" s="374" t="str">
        <x:f>IF(COUNT('Детальная оценка'!AA167:AA167)=0,"",SUM('Детальная оценка'!AA167:AA167)/1)</x:f>
      </x:c>
      <x:c r="AA28" s="344" t="n">
        <x:f>IF(COUNT(C28:Z28)=0,"",AVERAGE(C28:Z28))</x:f>
        <x:v>73.57142857142857</x:v>
      </x:c>
      <x:c r="AB28" t="str">
        <x:f>IFERROR(INDEX($C$1:$Z$1,1,MATCH(MAX(C28:Z28),C28:Z28,0)),"")</x:f>
        <x:v>GPT 5.6 Sol low</x:v>
      </x:c>
    </x:row>
    <x:row r="29">
      <x:c r="A29" s="52" t="str">
        <x:v>INST — ФИНАЛЬНАЯ ПРОВЕРКА СЛЕДОВАНИЯ ИНСТРУКЦИЯМ</x:v>
      </x:c>
      <x:c r="B29" s="53" t="n">
        <x:v>4</x:v>
      </x:c>
      <x:c r="C29" s="344" t="n">
        <x:f>IF(COUNT('Детальная оценка'!D168:D171)=0,"",SUM('Детальная оценка'!D168:D171)/4)</x:f>
        <x:v>95</x:v>
      </x:c>
      <x:c r="D29" s="344" t="n">
        <x:f>IF(COUNT('Детальная оценка'!E168:E171)=0,"",SUM('Детальная оценка'!E168:E171)/4)</x:f>
        <x:v>95</x:v>
      </x:c>
      <x:c r="E29" s="344" t="n">
        <x:f>IF(COUNT('Детальная оценка'!F168:F171)=0,"",SUM('Детальная оценка'!F168:F171)/4)</x:f>
        <x:v>100</x:v>
      </x:c>
      <x:c r="F29" s="344" t="n">
        <x:f>IF(COUNT('Детальная оценка'!G168:G171)=0,"",SUM('Детальная оценка'!G168:G171)/4)</x:f>
        <x:v>92.5</x:v>
      </x:c>
      <x:c r="G29" s="344" t="n">
        <x:f>IF(COUNT('Детальная оценка'!H168:H171)=0,"",SUM('Детальная оценка'!H168:H171)/4)</x:f>
        <x:v>95</x:v>
      </x:c>
      <x:c r="H29" s="344" t="n">
        <x:f>IF(COUNT('Детальная оценка'!I168:I171)=0,"",SUM('Детальная оценка'!I168:I171)/4)</x:f>
        <x:v>95</x:v>
      </x:c>
      <x:c r="I29" s="344" t="n">
        <x:f>IF(COUNT('Детальная оценка'!J168:J171)=0,"",SUM('Детальная оценка'!J168:J171)/4)</x:f>
        <x:v>90</x:v>
      </x:c>
      <x:c r="J29" s="344" t="n">
        <x:f>IF(COUNT('Детальная оценка'!K168:K171)=0,"",SUM('Детальная оценка'!K168:K171)/4)</x:f>
        <x:v>90</x:v>
      </x:c>
      <x:c r="K29" s="344" t="n">
        <x:f>IF(COUNT('Детальная оценка'!L168:L171)=0,"",SUM('Детальная оценка'!L168:L171)/4)</x:f>
        <x:v>90</x:v>
      </x:c>
      <x:c r="L29" s="344" t="n">
        <x:f>IF(COUNT('Детальная оценка'!M168:M171)=0,"",SUM('Детальная оценка'!M168:M171)/4)</x:f>
        <x:v>90</x:v>
      </x:c>
      <x:c r="M29" s="344" t="n">
        <x:f>IF(COUNT('Детальная оценка'!N168:N171)=0,"",SUM('Детальная оценка'!N168:N171)/4)</x:f>
        <x:v>80</x:v>
      </x:c>
      <x:c r="N29" s="344" t="n">
        <x:f>IF(COUNT('Детальная оценка'!O168:O171)=0,"",SUM('Детальная оценка'!O168:O171)/4)</x:f>
        <x:v>60</x:v>
      </x:c>
      <x:c r="O29" s="344" t="n">
        <x:f>IF(COUNT('Детальная оценка'!P168:P171)=0,"",SUM('Детальная оценка'!P168:P171)/4)</x:f>
        <x:v>95</x:v>
      </x:c>
      <x:c r="P29" s="344" t="n">
        <x:f>IF(COUNT('Детальная оценка'!Q168:Q171)=0,"",SUM('Детальная оценка'!Q168:Q171)/4)</x:f>
        <x:v>100</x:v>
      </x:c>
      <x:c r="Q29" s="344" t="n">
        <x:f>IF(COUNT('Детальная оценка'!R168:R171)=0,"",SUM('Детальная оценка'!R168:R171)/4)</x:f>
        <x:v>75</x:v>
      </x:c>
      <x:c r="R29" s="344" t="n">
        <x:f>IF(COUNT('Детальная оценка'!S168:S171)=0,"",SUM('Детальная оценка'!S168:S171)/4)</x:f>
        <x:v>90</x:v>
      </x:c>
      <x:c r="S29" s="344" t="n">
        <x:f>IF(COUNT('Детальная оценка'!T168:T171)=0,"",SUM('Детальная оценка'!T168:T171)/4)</x:f>
        <x:v>80</x:v>
      </x:c>
      <x:c r="T29" s="344" t="n">
        <x:f>IF(COUNT('Детальная оценка'!U168:U171)=0,"",SUM('Детальная оценка'!U168:U171)/4)</x:f>
        <x:v>75</x:v>
      </x:c>
      <x:c r="U29" s="373" t="n">
        <x:f>IF(COUNT('Детальная оценка'!V168:V171)=0,"",SUM('Детальная оценка'!V168:V171)/4)</x:f>
        <x:v>90</x:v>
      </x:c>
      <x:c r="V29" s="373" t="n">
        <x:f>IF(COUNT('Детальная оценка'!W168:W171)=0,"",SUM('Детальная оценка'!W168:W171)/4)</x:f>
        <x:v>100</x:v>
      </x:c>
      <x:c r="W29" s="373" t="n">
        <x:f>IF(COUNT('Детальная оценка'!X168:X171)=0,"",SUM('Детальная оценка'!X168:X171)/4)</x:f>
        <x:v>75</x:v>
      </x:c>
      <x:c r="X29" s="373" t="n">
        <x:f>IF(COUNT('Детальная оценка'!Y168:Y171)=0,"",SUM('Детальная оценка'!Y168:Y171)/4)</x:f>
        <x:v>45</x:v>
      </x:c>
      <x:c r="Y29" s="373" t="n">
        <x:f>IF(COUNT('Детальная оценка'!Z168:Z171)=0,"",SUM('Детальная оценка'!Z168:Z171)/4)</x:f>
        <x:v>75</x:v>
      </x:c>
      <x:c r="Z29" s="374" t="n">
        <x:f>IF(COUNT('Детальная оценка'!AA168:AA171)=0,"",SUM('Детальная оценка'!AA168:AA171)/4)</x:f>
        <x:v>40</x:v>
      </x:c>
      <x:c r="AA29" s="344" t="n">
        <x:f>IF(COUNT(C29:Z29)=0,"",AVERAGE(C29:Z29))</x:f>
        <x:v>83.85416666666667</x:v>
      </x:c>
      <x:c r="AB29" t="str">
        <x:f>IFERROR(INDEX($C$1:$Z$1,1,MATCH(MAX(C29:Z29),C29:Z29,0)),"")</x:f>
        <x:v>Qwen 3.8 max</x:v>
      </x:c>
    </x:row>
    <x:row r="30">
      <x:c r="A30" s="52"/>
      <x:c r="B30" s="53"/>
      <x:c r="C30" s="344"/>
      <x:c r="D30" s="344"/>
      <x:c r="E30" s="344"/>
      <x:c r="F30" s="344"/>
      <x:c r="G30" s="344"/>
      <x:c r="H30" s="344"/>
      <x:c r="I30" s="344"/>
      <x:c r="J30" s="344"/>
      <x:c r="K30" s="344"/>
      <x:c r="L30" s="344"/>
      <x:c r="M30" s="344"/>
      <x:c r="N30" s="344"/>
      <x:c r="O30" s="344"/>
      <x:c r="P30" s="344"/>
      <x:c r="Q30" s="344"/>
      <x:c r="R30" s="344"/>
      <x:c r="S30" s="344"/>
      <x:c r="T30" s="344"/>
      <x:c r="U30" s="373"/>
      <x:c r="V30" s="373"/>
      <x:c r="W30" s="373"/>
      <x:c r="X30" s="373"/>
      <x:c r="Y30" s="373"/>
      <x:c r="Z30" s="374"/>
      <x:c r="AA30" s="344"/>
      <x:c r="AB30"/>
    </x:row>
    <x:row r="31">
      <x:c r="A31" s="52"/>
      <x:c r="B31" s="53"/>
      <x:c r="C31" s="344"/>
      <x:c r="D31" s="344"/>
      <x:c r="E31" s="344"/>
      <x:c r="F31" s="344"/>
      <x:c r="G31" s="344"/>
      <x:c r="H31" s="344"/>
      <x:c r="I31" s="344"/>
      <x:c r="J31" s="344"/>
      <x:c r="K31" s="344"/>
      <x:c r="L31" s="344"/>
      <x:c r="M31" s="344"/>
      <x:c r="N31" s="344"/>
      <x:c r="O31" s="344"/>
      <x:c r="P31" s="344"/>
      <x:c r="Q31" s="344"/>
      <x:c r="R31" s="344"/>
      <x:c r="S31" s="344"/>
      <x:c r="T31" s="344"/>
      <x:c r="U31" s="373"/>
      <x:c r="V31" s="373"/>
      <x:c r="W31" s="373"/>
      <x:c r="X31" s="373"/>
      <x:c r="Y31" s="373"/>
      <x:c r="Z31" s="374"/>
      <x:c r="AA31" s="344"/>
      <x:c r="AB31"/>
    </x:row>
    <x:row r="32">
      <x:c r="A32" s="122" t="str">
        <x:v>ИТОГ, БАЛЛЫ 0–100</x:v>
      </x:c>
      <x:c r="B32" s="123" t="n">
        <x:v>170</x:v>
      </x:c>
      <x:c r="C32" s="344" t="n">
        <x:f>IF(COUNT('Детальная оценка'!D2:D171)=0,"",SUM('Детальная оценка'!D2:D171)/170)</x:f>
        <x:v>99.6470588235294</x:v>
      </x:c>
      <x:c r="D32" s="344" t="n">
        <x:f>IF(COUNT('Детальная оценка'!E2:E171)=0,"",SUM('Детальная оценка'!E2:E171)/170)</x:f>
        <x:v>99.52941176470588</x:v>
      </x:c>
      <x:c r="E32" s="344" t="n">
        <x:f>IF(COUNT('Детальная оценка'!F2:F171)=0,"",SUM('Детальная оценка'!F2:F171)/170)</x:f>
        <x:v>99.47058823529412</x:v>
      </x:c>
      <x:c r="F32" s="344" t="n">
        <x:f>IF(COUNT('Детальная оценка'!G2:G171)=0,"",SUM('Детальная оценка'!G2:G171)/170)</x:f>
        <x:v>99.3529411764706</x:v>
      </x:c>
      <x:c r="G32" s="344" t="n">
        <x:f>IF(COUNT('Детальная оценка'!H2:H171)=0,"",SUM('Детальная оценка'!H2:H171)/170)</x:f>
        <x:v>99.11764705882354</x:v>
      </x:c>
      <x:c r="H32" s="344" t="n">
        <x:f>IF(COUNT('Детальная оценка'!I2:I171)=0,"",SUM('Детальная оценка'!I2:I171)/170)</x:f>
        <x:v>98.79411764705883</x:v>
      </x:c>
      <x:c r="I32" s="344" t="n">
        <x:f>IF(COUNT('Детальная оценка'!J2:J171)=0,"",SUM('Детальная оценка'!J2:J171)/170)</x:f>
        <x:v>98.70588235294117</x:v>
      </x:c>
      <x:c r="J32" s="344" t="n">
        <x:f>IF(COUNT('Детальная оценка'!K2:K171)=0,"",SUM('Детальная оценка'!K2:K171)/170)</x:f>
        <x:v>98.6470588235294</x:v>
      </x:c>
      <x:c r="K32" s="344" t="n">
        <x:f>IF(COUNT('Детальная оценка'!L2:L171)=0,"",SUM('Детальная оценка'!L2:L171)/170)</x:f>
        <x:v>98.6470588235294</x:v>
      </x:c>
      <x:c r="L32" s="344" t="n">
        <x:f>IF(COUNT('Детальная оценка'!M2:M171)=0,"",SUM('Детальная оценка'!M2:M171)/170)</x:f>
        <x:v>98.41176470588235</x:v>
      </x:c>
      <x:c r="M32" s="344" t="n">
        <x:f>IF(COUNT('Детальная оценка'!N2:N171)=0,"",SUM('Детальная оценка'!N2:N171)/170)</x:f>
        <x:v>96.61764705882354</x:v>
      </x:c>
      <x:c r="N32" s="344" t="n">
        <x:f>IF(COUNT('Детальная оценка'!O2:O171)=0,"",SUM('Детальная оценка'!O2:O171)/170)</x:f>
        <x:v>94.47058823529412</x:v>
      </x:c>
      <x:c r="O32" s="344" t="n">
        <x:f>IF(COUNT('Детальная оценка'!P2:P171)=0,"",SUM('Детальная оценка'!P2:P171)/170)</x:f>
        <x:v>94.23529411764706</x:v>
      </x:c>
      <x:c r="P32" s="344" t="n">
        <x:f>IF(COUNT('Детальная оценка'!Q2:Q171)=0,"",SUM('Детальная оценка'!Q2:Q171)/170)</x:f>
        <x:v>93.88235294117646</x:v>
      </x:c>
      <x:c r="Q32" s="344" t="n">
        <x:f>IF(COUNT('Детальная оценка'!R2:R171)=0,"",SUM('Детальная оценка'!R2:R171)/170)</x:f>
        <x:v>93.67647058823529</x:v>
      </x:c>
      <x:c r="R32" s="344" t="n">
        <x:f>IF(COUNT('Детальная оценка'!S2:S171)=0,"",SUM('Детальная оценка'!S2:S171)/170)</x:f>
        <x:v>93.29411764705883</x:v>
      </x:c>
      <x:c r="S32" s="344" t="n">
        <x:f>IF(COUNT('Детальная оценка'!T2:T171)=0,"",SUM('Детальная оценка'!T2:T171)/170)</x:f>
        <x:v>92.94117647058823</x:v>
      </x:c>
      <x:c r="T32" s="344" t="n">
        <x:f>IF(COUNT('Детальная оценка'!U2:U171)=0,"",SUM('Детальная оценка'!U2:U171)/170)</x:f>
        <x:v>91.52941176470588</x:v>
      </x:c>
      <x:c r="U32" s="373" t="n">
        <x:f>IF(COUNT('Детальная оценка'!V2:V171)=0,"",SUM('Детальная оценка'!V2:V171)/170)</x:f>
        <x:v>85.52941176470588</x:v>
      </x:c>
      <x:c r="V32" s="373" t="n">
        <x:f>IF(COUNT('Детальная оценка'!W2:W171)=0,"",SUM('Детальная оценка'!W2:W171)/170)</x:f>
        <x:v>84.47058823529412</x:v>
      </x:c>
      <x:c r="W32" s="373" t="n">
        <x:f>IF(COUNT('Детальная оценка'!X2:X171)=0,"",SUM('Детальная оценка'!X2:X171)/170)</x:f>
        <x:v>81.05882352941177</x:v>
      </x:c>
      <x:c r="X32" s="373" t="n">
        <x:f>IF(COUNT('Детальная оценка'!Y2:Y171)=0,"",SUM('Детальная оценка'!Y2:Y171)/170)</x:f>
        <x:v>79.41176470588235</x:v>
      </x:c>
      <x:c r="Y32" s="373" t="n">
        <x:f>IF(COUNT('Детальная оценка'!Z2:Z171)=0,"",SUM('Детальная оценка'!Z2:Z171)/170)</x:f>
        <x:v>67.88235294117646</x:v>
      </x:c>
      <x:c r="Z32" s="374" t="n">
        <x:f>IF(COUNT('Детальная оценка'!AA2:AA171)=0,"",SUM('Детальная оценка'!AA2:AA171)/170)</x:f>
        <x:v>61.05882352941177</x:v>
      </x:c>
      <x:c r="AA32" s="344" t="n">
        <x:f>IF(COUNT(C32:Z32)=0,"",AVERAGE(C32:Z32))</x:f>
        <x:v>91.68259803921569</x:v>
      </x:c>
      <x:c r="AB32"/>
    </x:row>
    <x:row r="33">
      <x:c r="A33" s="124" t="str">
        <x:v>ПОЛНОТА, %</x:v>
      </x:c>
      <x:c r="B33" s="125" t="n">
        <x:v>170</x:v>
      </x:c>
      <x:c r="C33" s="344" t="n">
        <x:f>IF(COUNT('Детальная оценка'!D2:D171)=0,"",COUNT('Детальная оценка'!D2:D171)/170*100)</x:f>
        <x:v>100</x:v>
      </x:c>
      <x:c r="D33" s="344" t="n">
        <x:f>IF(COUNT('Детальная оценка'!E2:E171)=0,"",COUNT('Детальная оценка'!E2:E171)/170*100)</x:f>
        <x:v>100</x:v>
      </x:c>
      <x:c r="E33" s="344" t="n">
        <x:f>IF(COUNT('Детальная оценка'!F2:F171)=0,"",COUNT('Детальная оценка'!F2:F171)/170*100)</x:f>
        <x:v>100</x:v>
      </x:c>
      <x:c r="F33" s="344" t="n">
        <x:f>IF(COUNT('Детальная оценка'!G2:G171)=0,"",COUNT('Детальная оценка'!G2:G171)/170*100)</x:f>
        <x:v>100</x:v>
      </x:c>
      <x:c r="G33" s="344" t="n">
        <x:f>IF(COUNT('Детальная оценка'!H2:H171)=0,"",COUNT('Детальная оценка'!H2:H171)/170*100)</x:f>
        <x:v>100</x:v>
      </x:c>
      <x:c r="H33" s="344" t="n">
        <x:f>IF(COUNT('Детальная оценка'!I2:I171)=0,"",COUNT('Детальная оценка'!I2:I171)/170*100)</x:f>
        <x:v>100</x:v>
      </x:c>
      <x:c r="I33" s="344" t="n">
        <x:f>IF(COUNT('Детальная оценка'!J2:J171)=0,"",COUNT('Детальная оценка'!J2:J171)/170*100)</x:f>
        <x:v>100</x:v>
      </x:c>
      <x:c r="J33" s="344" t="n">
        <x:f>IF(COUNT('Детальная оценка'!K2:K171)=0,"",COUNT('Детальная оценка'!K2:K171)/170*100)</x:f>
        <x:v>100</x:v>
      </x:c>
      <x:c r="K33" s="344" t="n">
        <x:f>IF(COUNT('Детальная оценка'!L2:L171)=0,"",COUNT('Детальная оценка'!L2:L171)/170*100)</x:f>
        <x:v>100</x:v>
      </x:c>
      <x:c r="L33" s="344" t="n">
        <x:f>IF(COUNT('Детальная оценка'!M2:M171)=0,"",COUNT('Детальная оценка'!M2:M171)/170*100)</x:f>
        <x:v>100</x:v>
      </x:c>
      <x:c r="M33" s="344" t="n">
        <x:f>IF(COUNT('Детальная оценка'!N2:N171)=0,"",COUNT('Детальная оценка'!N2:N171)/170*100)</x:f>
        <x:v>100</x:v>
      </x:c>
      <x:c r="N33" s="344" t="n">
        <x:f>IF(COUNT('Детальная оценка'!O2:O171)=0,"",COUNT('Детальная оценка'!O2:O171)/170*100)</x:f>
        <x:v>100</x:v>
      </x:c>
      <x:c r="O33" s="344" t="n">
        <x:f>IF(COUNT('Детальная оценка'!P2:P171)=0,"",COUNT('Детальная оценка'!P2:P171)/170*100)</x:f>
        <x:v>100</x:v>
      </x:c>
      <x:c r="P33" s="344" t="n">
        <x:f>IF(COUNT('Детальная оценка'!Q2:Q171)=0,"",COUNT('Детальная оценка'!Q2:Q171)/170*100)</x:f>
        <x:v>99.41176470588235</x:v>
      </x:c>
      <x:c r="Q33" s="344" t="n">
        <x:f>IF(COUNT('Детальная оценка'!R2:R171)=0,"",COUNT('Детальная оценка'!R2:R171)/170*100)</x:f>
        <x:v>100</x:v>
      </x:c>
      <x:c r="R33" s="344" t="n">
        <x:f>IF(COUNT('Детальная оценка'!S2:S171)=0,"",COUNT('Детальная оценка'!S2:S171)/170*100)</x:f>
        <x:v>100</x:v>
      </x:c>
      <x:c r="S33" s="344" t="n">
        <x:f>IF(COUNT('Детальная оценка'!T2:T171)=0,"",COUNT('Детальная оценка'!T2:T171)/170*100)</x:f>
        <x:v>100</x:v>
      </x:c>
      <x:c r="T33" s="344" t="n">
        <x:f>IF(COUNT('Детальная оценка'!U2:U171)=0,"",COUNT('Детальная оценка'!U2:U171)/170*100)</x:f>
        <x:v>100</x:v>
      </x:c>
      <x:c r="U33" s="373" t="n">
        <x:f>IF(COUNT('Детальная оценка'!V2:V171)=0,"",COUNT('Детальная оценка'!V2:V171)/170*100)</x:f>
        <x:v>100</x:v>
      </x:c>
      <x:c r="V33" s="373" t="n">
        <x:f>IF(COUNT('Детальная оценка'!W2:W171)=0,"",COUNT('Детальная оценка'!W2:W171)/170*100)</x:f>
        <x:v>100</x:v>
      </x:c>
      <x:c r="W33" s="373" t="n">
        <x:f>IF(COUNT('Детальная оценка'!X2:X171)=0,"",COUNT('Детальная оценка'!X2:X171)/170*100)</x:f>
        <x:v>100</x:v>
      </x:c>
      <x:c r="X33" s="373" t="n">
        <x:f>IF(COUNT('Детальная оценка'!Y2:Y171)=0,"",COUNT('Детальная оценка'!Y2:Y171)/170*100)</x:f>
        <x:v>99.41176470588235</x:v>
      </x:c>
      <x:c r="Y33" s="373" t="n">
        <x:f>IF(COUNT('Детальная оценка'!Z2:Z171)=0,"",COUNT('Детальная оценка'!Z2:Z171)/170*100)</x:f>
        <x:v>99.41176470588235</x:v>
      </x:c>
      <x:c r="Z33" s="374" t="n">
        <x:f>IF(COUNT('Детальная оценка'!AA2:AA171)=0,"",COUNT('Детальная оценка'!AA2:AA171)/170*100)</x:f>
        <x:v>88.8235294117647</x:v>
      </x:c>
      <x:c r="AA33" s="344" t="n">
        <x:f>IF(COUNT(C33:Z33)=0,"",AVERAGE(C33:Z33))</x:f>
        <x:v>99.46078431372551</x:v>
      </x:c>
      <x:c r="AB33"/>
    </x:row>
    <x:row r="34">
      <x:c r="A34" s="126" t="str">
        <x:v>КАЧЕСТВО ОТВЕЧЕННЫХ, 0–100</x:v>
      </x:c>
      <x:c r="B34" s="127" t="n">
        <x:v>170</x:v>
      </x:c>
      <x:c r="C34" s="345" t="n">
        <x:f>IFERROR(AVERAGE('Детальная оценка'!D2:D171),"")</x:f>
        <x:v>99.6470588235294</x:v>
      </x:c>
      <x:c r="D34" s="345" t="n">
        <x:f>IFERROR(AVERAGE('Детальная оценка'!E2:E171),"")</x:f>
        <x:v>99.52941176470588</x:v>
      </x:c>
      <x:c r="E34" s="345" t="n">
        <x:f>IFERROR(AVERAGE('Детальная оценка'!F2:F171),"")</x:f>
        <x:v>99.47058823529412</x:v>
      </x:c>
      <x:c r="F34" s="345" t="n">
        <x:f>IFERROR(AVERAGE('Детальная оценка'!G2:G171),"")</x:f>
        <x:v>99.3529411764706</x:v>
      </x:c>
      <x:c r="G34" s="345" t="n">
        <x:f>IFERROR(AVERAGE('Детальная оценка'!H2:H171),"")</x:f>
        <x:v>99.11764705882354</x:v>
      </x:c>
      <x:c r="H34" s="345" t="n">
        <x:f>IFERROR(AVERAGE('Детальная оценка'!I2:I171),"")</x:f>
        <x:v>98.79411764705883</x:v>
      </x:c>
      <x:c r="I34" s="345" t="n">
        <x:f>IFERROR(AVERAGE('Детальная оценка'!J2:J171),"")</x:f>
        <x:v>98.70588235294117</x:v>
      </x:c>
      <x:c r="J34" s="345" t="n">
        <x:f>IFERROR(AVERAGE('Детальная оценка'!K2:K171),"")</x:f>
        <x:v>98.6470588235294</x:v>
      </x:c>
      <x:c r="K34" s="345" t="n">
        <x:f>IFERROR(AVERAGE('Детальная оценка'!L2:L171),"")</x:f>
        <x:v>98.6470588235294</x:v>
      </x:c>
      <x:c r="L34" s="345" t="n">
        <x:f>IFERROR(AVERAGE('Детальная оценка'!M2:M171),"")</x:f>
        <x:v>98.41176470588235</x:v>
      </x:c>
      <x:c r="M34" s="345" t="n">
        <x:f>IFERROR(AVERAGE('Детальная оценка'!N2:N171),"")</x:f>
        <x:v>96.61764705882354</x:v>
      </x:c>
      <x:c r="N34" s="345" t="n">
        <x:f>IFERROR(AVERAGE('Детальная оценка'!O2:O171),"")</x:f>
        <x:v>94.47058823529412</x:v>
      </x:c>
      <x:c r="O34" s="345" t="n">
        <x:f>IFERROR(AVERAGE('Детальная оценка'!P2:P171),"")</x:f>
        <x:v>94.23529411764706</x:v>
      </x:c>
      <x:c r="P34" s="345" t="n">
        <x:f>IFERROR(AVERAGE('Детальная оценка'!Q2:Q171),"")</x:f>
        <x:v>94.43786982248521</x:v>
      </x:c>
      <x:c r="Q34" s="345" t="n">
        <x:f>IFERROR(AVERAGE('Детальная оценка'!R2:R171),"")</x:f>
        <x:v>93.67647058823529</x:v>
      </x:c>
      <x:c r="R34" s="345" t="n">
        <x:f>IFERROR(AVERAGE('Детальная оценка'!S2:S171),"")</x:f>
        <x:v>93.29411764705883</x:v>
      </x:c>
      <x:c r="S34" s="345" t="n">
        <x:f>IFERROR(AVERAGE('Детальная оценка'!T2:T171),"")</x:f>
        <x:v>92.94117647058823</x:v>
      </x:c>
      <x:c r="T34" s="345" t="n">
        <x:f>IFERROR(AVERAGE('Детальная оценка'!U2:U171),"")</x:f>
        <x:v>91.52941176470588</x:v>
      </x:c>
      <x:c r="U34" s="375" t="n">
        <x:f>IFERROR(AVERAGE('Детальная оценка'!V2:V171),"")</x:f>
        <x:v>85.52941176470588</x:v>
      </x:c>
      <x:c r="V34" s="375" t="n">
        <x:f>IFERROR(AVERAGE('Детальная оценка'!W2:W171),"")</x:f>
        <x:v>84.47058823529412</x:v>
      </x:c>
      <x:c r="W34" s="375" t="n">
        <x:f>IFERROR(AVERAGE('Детальная оценка'!X2:X171),"")</x:f>
        <x:v>81.05882352941177</x:v>
      </x:c>
      <x:c r="X34" s="375" t="n">
        <x:f>IFERROR(AVERAGE('Детальная оценка'!Y2:Y171),"")</x:f>
        <x:v>79.88165680473372</x:v>
      </x:c>
      <x:c r="Y34" s="375" t="n">
        <x:f>IFERROR(AVERAGE('Детальная оценка'!Z2:Z171),"")</x:f>
        <x:v>68.28402366863905</x:v>
      </x:c>
      <x:c r="Z34" s="376" t="n">
        <x:f>IFERROR(AVERAGE('Детальная оценка'!AA2:AA171),"")</x:f>
        <x:v>68.74172185430463</x:v>
      </x:c>
      <x:c r="AA34" s="345" t="n">
        <x:f>IF(COUNT(C34:Z34)=0,"",AVERAGE(C34:Z34))</x:f>
        <x:v>92.06218045723716</x:v>
      </x:c>
      <x:c r="AB34"/>
    </x:row>
  </x:sheetData>
  <x:conditionalFormatting sqref="C2:C34">
    <x:cfRule type="expression" dxfId="144" priority="1">
      <x:formula>AND(ISNUMBER(C2),C2=100)</x:formula>
    </x:cfRule>
    <x:cfRule type="expression" dxfId="145" priority="2">
      <x:formula>AND(ISNUMBER(C2),C2&gt;=90,C2&lt;100)</x:formula>
    </x:cfRule>
    <x:cfRule type="expression" dxfId="146" priority="3">
      <x:formula>AND(ISNUMBER(C2),C2&gt;=80,C2&lt;90)</x:formula>
    </x:cfRule>
    <x:cfRule type="expression" dxfId="147" priority="4">
      <x:formula>AND(ISNUMBER(C2),C2&gt;=70,C2&lt;80)</x:formula>
    </x:cfRule>
    <x:cfRule type="expression" dxfId="148" priority="5">
      <x:formula>AND(ISNUMBER(C2),C2&gt;=60,C2&lt;70)</x:formula>
    </x:cfRule>
    <x:cfRule type="expression" dxfId="149" priority="6">
      <x:formula>AND(ISNUMBER(C2),C2&gt;=50,C2&lt;60)</x:formula>
    </x:cfRule>
    <x:cfRule type="expression" dxfId="150" priority="7">
      <x:formula>AND(ISNUMBER(C2),C2&gt;=40,C2&lt;50)</x:formula>
    </x:cfRule>
    <x:cfRule type="expression" dxfId="151" priority="8">
      <x:formula>AND(ISNUMBER(C2),C2&gt;=20,C2&lt;40)</x:formula>
    </x:cfRule>
    <x:cfRule type="expression" dxfId="152" priority="9">
      <x:formula>AND(ISNUMBER(C2),C2&lt;20)</x:formula>
    </x:cfRule>
  </x:conditionalFormatting>
  <x:conditionalFormatting sqref="E2:E34">
    <x:cfRule type="expression" dxfId="153" priority="10">
      <x:formula>AND(ISNUMBER(E2),E2=100)</x:formula>
    </x:cfRule>
    <x:cfRule type="expression" dxfId="154" priority="11">
      <x:formula>AND(ISNUMBER(E2),E2&gt;=90,E2&lt;100)</x:formula>
    </x:cfRule>
    <x:cfRule type="expression" dxfId="155" priority="12">
      <x:formula>AND(ISNUMBER(E2),E2&gt;=80,E2&lt;90)</x:formula>
    </x:cfRule>
    <x:cfRule type="expression" dxfId="156" priority="13">
      <x:formula>AND(ISNUMBER(E2),E2&gt;=70,E2&lt;80)</x:formula>
    </x:cfRule>
    <x:cfRule type="expression" dxfId="157" priority="14">
      <x:formula>AND(ISNUMBER(E2),E2&gt;=60,E2&lt;70)</x:formula>
    </x:cfRule>
    <x:cfRule type="expression" dxfId="158" priority="15">
      <x:formula>AND(ISNUMBER(E2),E2&gt;=50,E2&lt;60)</x:formula>
    </x:cfRule>
    <x:cfRule type="expression" dxfId="159" priority="16">
      <x:formula>AND(ISNUMBER(E2),E2&gt;=40,E2&lt;50)</x:formula>
    </x:cfRule>
    <x:cfRule type="expression" dxfId="160" priority="17">
      <x:formula>AND(ISNUMBER(E2),E2&gt;=20,E2&lt;40)</x:formula>
    </x:cfRule>
    <x:cfRule type="expression" dxfId="161" priority="18">
      <x:formula>AND(ISNUMBER(E2),E2&lt;20)</x:formula>
    </x:cfRule>
  </x:conditionalFormatting>
  <x:conditionalFormatting sqref="F2:F34">
    <x:cfRule type="expression" dxfId="162" priority="19">
      <x:formula>AND(ISNUMBER(F2),F2=100)</x:formula>
    </x:cfRule>
    <x:cfRule type="expression" dxfId="163" priority="20">
      <x:formula>AND(ISNUMBER(F2),F2&gt;=90,F2&lt;100)</x:formula>
    </x:cfRule>
    <x:cfRule type="expression" dxfId="164" priority="21">
      <x:formula>AND(ISNUMBER(F2),F2&gt;=80,F2&lt;90)</x:formula>
    </x:cfRule>
    <x:cfRule type="expression" dxfId="165" priority="22">
      <x:formula>AND(ISNUMBER(F2),F2&gt;=70,F2&lt;80)</x:formula>
    </x:cfRule>
    <x:cfRule type="expression" dxfId="166" priority="23">
      <x:formula>AND(ISNUMBER(F2),F2&gt;=60,F2&lt;70)</x:formula>
    </x:cfRule>
    <x:cfRule type="expression" dxfId="167" priority="24">
      <x:formula>AND(ISNUMBER(F2),F2&gt;=50,F2&lt;60)</x:formula>
    </x:cfRule>
    <x:cfRule type="expression" dxfId="168" priority="25">
      <x:formula>AND(ISNUMBER(F2),F2&gt;=40,F2&lt;50)</x:formula>
    </x:cfRule>
    <x:cfRule type="expression" dxfId="169" priority="26">
      <x:formula>AND(ISNUMBER(F2),F2&gt;=20,F2&lt;40)</x:formula>
    </x:cfRule>
    <x:cfRule type="expression" dxfId="170" priority="27">
      <x:formula>AND(ISNUMBER(F2),F2&lt;20)</x:formula>
    </x:cfRule>
  </x:conditionalFormatting>
  <x:conditionalFormatting sqref="G2:G34">
    <x:cfRule type="expression" dxfId="171" priority="28">
      <x:formula>AND(ISNUMBER(G2),G2=100)</x:formula>
    </x:cfRule>
    <x:cfRule type="expression" dxfId="172" priority="29">
      <x:formula>AND(ISNUMBER(G2),G2&gt;=90,G2&lt;100)</x:formula>
    </x:cfRule>
    <x:cfRule type="expression" dxfId="173" priority="30">
      <x:formula>AND(ISNUMBER(G2),G2&gt;=80,G2&lt;90)</x:formula>
    </x:cfRule>
    <x:cfRule type="expression" dxfId="174" priority="31">
      <x:formula>AND(ISNUMBER(G2),G2&gt;=70,G2&lt;80)</x:formula>
    </x:cfRule>
    <x:cfRule type="expression" dxfId="175" priority="32">
      <x:formula>AND(ISNUMBER(G2),G2&gt;=60,G2&lt;70)</x:formula>
    </x:cfRule>
    <x:cfRule type="expression" dxfId="176" priority="33">
      <x:formula>AND(ISNUMBER(G2),G2&gt;=50,G2&lt;60)</x:formula>
    </x:cfRule>
    <x:cfRule type="expression" dxfId="177" priority="34">
      <x:formula>AND(ISNUMBER(G2),G2&gt;=40,G2&lt;50)</x:formula>
    </x:cfRule>
    <x:cfRule type="expression" dxfId="178" priority="35">
      <x:formula>AND(ISNUMBER(G2),G2&gt;=20,G2&lt;40)</x:formula>
    </x:cfRule>
    <x:cfRule type="expression" dxfId="179" priority="36">
      <x:formula>AND(ISNUMBER(G2),G2&lt;20)</x:formula>
    </x:cfRule>
  </x:conditionalFormatting>
  <x:conditionalFormatting sqref="H2:H34">
    <x:cfRule type="expression" dxfId="180" priority="37">
      <x:formula>AND(ISNUMBER(H2),H2=100)</x:formula>
    </x:cfRule>
    <x:cfRule type="expression" dxfId="181" priority="38">
      <x:formula>AND(ISNUMBER(H2),H2&gt;=90,H2&lt;100)</x:formula>
    </x:cfRule>
    <x:cfRule type="expression" dxfId="182" priority="39">
      <x:formula>AND(ISNUMBER(H2),H2&gt;=80,H2&lt;90)</x:formula>
    </x:cfRule>
    <x:cfRule type="expression" dxfId="183" priority="40">
      <x:formula>AND(ISNUMBER(H2),H2&gt;=70,H2&lt;80)</x:formula>
    </x:cfRule>
    <x:cfRule type="expression" dxfId="184" priority="41">
      <x:formula>AND(ISNUMBER(H2),H2&gt;=60,H2&lt;70)</x:formula>
    </x:cfRule>
    <x:cfRule type="expression" dxfId="185" priority="42">
      <x:formula>AND(ISNUMBER(H2),H2&gt;=50,H2&lt;60)</x:formula>
    </x:cfRule>
    <x:cfRule type="expression" dxfId="186" priority="43">
      <x:formula>AND(ISNUMBER(H2),H2&gt;=40,H2&lt;50)</x:formula>
    </x:cfRule>
    <x:cfRule type="expression" dxfId="187" priority="44">
      <x:formula>AND(ISNUMBER(H2),H2&gt;=20,H2&lt;40)</x:formula>
    </x:cfRule>
    <x:cfRule type="expression" dxfId="188" priority="45">
      <x:formula>AND(ISNUMBER(H2),H2&lt;20)</x:formula>
    </x:cfRule>
  </x:conditionalFormatting>
  <x:conditionalFormatting sqref="I2:I34">
    <x:cfRule type="expression" dxfId="189" priority="46">
      <x:formula>AND(ISNUMBER(I2),I2=100)</x:formula>
    </x:cfRule>
    <x:cfRule type="expression" dxfId="190" priority="47">
      <x:formula>AND(ISNUMBER(I2),I2&gt;=90,I2&lt;100)</x:formula>
    </x:cfRule>
    <x:cfRule type="expression" dxfId="191" priority="48">
      <x:formula>AND(ISNUMBER(I2),I2&gt;=80,I2&lt;90)</x:formula>
    </x:cfRule>
    <x:cfRule type="expression" dxfId="192" priority="49">
      <x:formula>AND(ISNUMBER(I2),I2&gt;=70,I2&lt;80)</x:formula>
    </x:cfRule>
    <x:cfRule type="expression" dxfId="193" priority="50">
      <x:formula>AND(ISNUMBER(I2),I2&gt;=60,I2&lt;70)</x:formula>
    </x:cfRule>
    <x:cfRule type="expression" dxfId="194" priority="51">
      <x:formula>AND(ISNUMBER(I2),I2&gt;=50,I2&lt;60)</x:formula>
    </x:cfRule>
    <x:cfRule type="expression" dxfId="195" priority="52">
      <x:formula>AND(ISNUMBER(I2),I2&gt;=40,I2&lt;50)</x:formula>
    </x:cfRule>
    <x:cfRule type="expression" dxfId="196" priority="53">
      <x:formula>AND(ISNUMBER(I2),I2&gt;=20,I2&lt;40)</x:formula>
    </x:cfRule>
    <x:cfRule type="expression" dxfId="197" priority="54">
      <x:formula>AND(ISNUMBER(I2),I2&lt;20)</x:formula>
    </x:cfRule>
  </x:conditionalFormatting>
  <x:conditionalFormatting sqref="J2:J34">
    <x:cfRule type="expression" dxfId="198" priority="55">
      <x:formula>AND(ISNUMBER(J2),J2=100)</x:formula>
    </x:cfRule>
    <x:cfRule type="expression" dxfId="199" priority="56">
      <x:formula>AND(ISNUMBER(J2),J2&gt;=90,J2&lt;100)</x:formula>
    </x:cfRule>
    <x:cfRule type="expression" dxfId="200" priority="57">
      <x:formula>AND(ISNUMBER(J2),J2&gt;=80,J2&lt;90)</x:formula>
    </x:cfRule>
    <x:cfRule type="expression" dxfId="201" priority="58">
      <x:formula>AND(ISNUMBER(J2),J2&gt;=70,J2&lt;80)</x:formula>
    </x:cfRule>
    <x:cfRule type="expression" dxfId="202" priority="59">
      <x:formula>AND(ISNUMBER(J2),J2&gt;=60,J2&lt;70)</x:formula>
    </x:cfRule>
    <x:cfRule type="expression" dxfId="203" priority="60">
      <x:formula>AND(ISNUMBER(J2),J2&gt;=50,J2&lt;60)</x:formula>
    </x:cfRule>
    <x:cfRule type="expression" dxfId="204" priority="61">
      <x:formula>AND(ISNUMBER(J2),J2&gt;=40,J2&lt;50)</x:formula>
    </x:cfRule>
    <x:cfRule type="expression" dxfId="205" priority="62">
      <x:formula>AND(ISNUMBER(J2),J2&gt;=20,J2&lt;40)</x:formula>
    </x:cfRule>
    <x:cfRule type="expression" dxfId="206" priority="63">
      <x:formula>AND(ISNUMBER(J2),J2&lt;20)</x:formula>
    </x:cfRule>
  </x:conditionalFormatting>
  <x:conditionalFormatting sqref="K2:K34">
    <x:cfRule type="expression" dxfId="207" priority="64">
      <x:formula>AND(ISNUMBER(K2),K2=100)</x:formula>
    </x:cfRule>
    <x:cfRule type="expression" dxfId="208" priority="65">
      <x:formula>AND(ISNUMBER(K2),K2&gt;=90,K2&lt;100)</x:formula>
    </x:cfRule>
    <x:cfRule type="expression" dxfId="209" priority="66">
      <x:formula>AND(ISNUMBER(K2),K2&gt;=80,K2&lt;90)</x:formula>
    </x:cfRule>
    <x:cfRule type="expression" dxfId="210" priority="67">
      <x:formula>AND(ISNUMBER(K2),K2&gt;=70,K2&lt;80)</x:formula>
    </x:cfRule>
    <x:cfRule type="expression" dxfId="211" priority="68">
      <x:formula>AND(ISNUMBER(K2),K2&gt;=60,K2&lt;70)</x:formula>
    </x:cfRule>
    <x:cfRule type="expression" dxfId="212" priority="69">
      <x:formula>AND(ISNUMBER(K2),K2&gt;=50,K2&lt;60)</x:formula>
    </x:cfRule>
    <x:cfRule type="expression" dxfId="213" priority="70">
      <x:formula>AND(ISNUMBER(K2),K2&gt;=40,K2&lt;50)</x:formula>
    </x:cfRule>
    <x:cfRule type="expression" dxfId="214" priority="71">
      <x:formula>AND(ISNUMBER(K2),K2&gt;=20,K2&lt;40)</x:formula>
    </x:cfRule>
    <x:cfRule type="expression" dxfId="215" priority="72">
      <x:formula>AND(ISNUMBER(K2),K2&lt;20)</x:formula>
    </x:cfRule>
  </x:conditionalFormatting>
  <x:conditionalFormatting sqref="L2:L34">
    <x:cfRule type="expression" dxfId="216" priority="73">
      <x:formula>AND(ISNUMBER(L2),L2=100)</x:formula>
    </x:cfRule>
    <x:cfRule type="expression" dxfId="217" priority="74">
      <x:formula>AND(ISNUMBER(L2),L2&gt;=90,L2&lt;100)</x:formula>
    </x:cfRule>
    <x:cfRule type="expression" dxfId="218" priority="75">
      <x:formula>AND(ISNUMBER(L2),L2&gt;=80,L2&lt;90)</x:formula>
    </x:cfRule>
    <x:cfRule type="expression" dxfId="219" priority="76">
      <x:formula>AND(ISNUMBER(L2),L2&gt;=70,L2&lt;80)</x:formula>
    </x:cfRule>
    <x:cfRule type="expression" dxfId="220" priority="77">
      <x:formula>AND(ISNUMBER(L2),L2&gt;=60,L2&lt;70)</x:formula>
    </x:cfRule>
    <x:cfRule type="expression" dxfId="221" priority="78">
      <x:formula>AND(ISNUMBER(L2),L2&gt;=50,L2&lt;60)</x:formula>
    </x:cfRule>
    <x:cfRule type="expression" dxfId="222" priority="79">
      <x:formula>AND(ISNUMBER(L2),L2&gt;=40,L2&lt;50)</x:formula>
    </x:cfRule>
    <x:cfRule type="expression" dxfId="223" priority="80">
      <x:formula>AND(ISNUMBER(L2),L2&gt;=20,L2&lt;40)</x:formula>
    </x:cfRule>
    <x:cfRule type="expression" dxfId="224" priority="81">
      <x:formula>AND(ISNUMBER(L2),L2&lt;20)</x:formula>
    </x:cfRule>
  </x:conditionalFormatting>
  <x:conditionalFormatting sqref="M2:M34">
    <x:cfRule type="expression" dxfId="225" priority="82">
      <x:formula>AND(ISNUMBER(M2),M2=100)</x:formula>
    </x:cfRule>
    <x:cfRule type="expression" dxfId="226" priority="83">
      <x:formula>AND(ISNUMBER(M2),M2&gt;=90,M2&lt;100)</x:formula>
    </x:cfRule>
    <x:cfRule type="expression" dxfId="227" priority="84">
      <x:formula>AND(ISNUMBER(M2),M2&gt;=80,M2&lt;90)</x:formula>
    </x:cfRule>
    <x:cfRule type="expression" dxfId="228" priority="85">
      <x:formula>AND(ISNUMBER(M2),M2&gt;=70,M2&lt;80)</x:formula>
    </x:cfRule>
    <x:cfRule type="expression" dxfId="229" priority="86">
      <x:formula>AND(ISNUMBER(M2),M2&gt;=60,M2&lt;70)</x:formula>
    </x:cfRule>
    <x:cfRule type="expression" dxfId="230" priority="87">
      <x:formula>AND(ISNUMBER(M2),M2&gt;=50,M2&lt;60)</x:formula>
    </x:cfRule>
    <x:cfRule type="expression" dxfId="231" priority="88">
      <x:formula>AND(ISNUMBER(M2),M2&gt;=40,M2&lt;50)</x:formula>
    </x:cfRule>
    <x:cfRule type="expression" dxfId="232" priority="89">
      <x:formula>AND(ISNUMBER(M2),M2&gt;=20,M2&lt;40)</x:formula>
    </x:cfRule>
    <x:cfRule type="expression" dxfId="233" priority="90">
      <x:formula>AND(ISNUMBER(M2),M2&lt;20)</x:formula>
    </x:cfRule>
  </x:conditionalFormatting>
  <x:conditionalFormatting sqref="N2:N34">
    <x:cfRule type="expression" dxfId="234" priority="91">
      <x:formula>AND(ISNUMBER(N2),N2=100)</x:formula>
    </x:cfRule>
    <x:cfRule type="expression" dxfId="235" priority="92">
      <x:formula>AND(ISNUMBER(N2),N2&gt;=90,N2&lt;100)</x:formula>
    </x:cfRule>
    <x:cfRule type="expression" dxfId="236" priority="93">
      <x:formula>AND(ISNUMBER(N2),N2&gt;=80,N2&lt;90)</x:formula>
    </x:cfRule>
    <x:cfRule type="expression" dxfId="237" priority="94">
      <x:formula>AND(ISNUMBER(N2),N2&gt;=70,N2&lt;80)</x:formula>
    </x:cfRule>
    <x:cfRule type="expression" dxfId="238" priority="95">
      <x:formula>AND(ISNUMBER(N2),N2&gt;=60,N2&lt;70)</x:formula>
    </x:cfRule>
    <x:cfRule type="expression" dxfId="239" priority="96">
      <x:formula>AND(ISNUMBER(N2),N2&gt;=50,N2&lt;60)</x:formula>
    </x:cfRule>
    <x:cfRule type="expression" dxfId="240" priority="97">
      <x:formula>AND(ISNUMBER(N2),N2&gt;=40,N2&lt;50)</x:formula>
    </x:cfRule>
    <x:cfRule type="expression" dxfId="241" priority="98">
      <x:formula>AND(ISNUMBER(N2),N2&gt;=20,N2&lt;40)</x:formula>
    </x:cfRule>
    <x:cfRule type="expression" dxfId="242" priority="99">
      <x:formula>AND(ISNUMBER(N2),N2&lt;20)</x:formula>
    </x:cfRule>
  </x:conditionalFormatting>
  <x:conditionalFormatting sqref="O2:O34">
    <x:cfRule type="expression" dxfId="243" priority="100">
      <x:formula>AND(ISNUMBER(O2),O2=100)</x:formula>
    </x:cfRule>
    <x:cfRule type="expression" dxfId="244" priority="101">
      <x:formula>AND(ISNUMBER(O2),O2&gt;=90,O2&lt;100)</x:formula>
    </x:cfRule>
    <x:cfRule type="expression" dxfId="245" priority="102">
      <x:formula>AND(ISNUMBER(O2),O2&gt;=80,O2&lt;90)</x:formula>
    </x:cfRule>
    <x:cfRule type="expression" dxfId="246" priority="103">
      <x:formula>AND(ISNUMBER(O2),O2&gt;=70,O2&lt;80)</x:formula>
    </x:cfRule>
    <x:cfRule type="expression" dxfId="247" priority="104">
      <x:formula>AND(ISNUMBER(O2),O2&gt;=60,O2&lt;70)</x:formula>
    </x:cfRule>
    <x:cfRule type="expression" dxfId="248" priority="105">
      <x:formula>AND(ISNUMBER(O2),O2&gt;=50,O2&lt;60)</x:formula>
    </x:cfRule>
    <x:cfRule type="expression" dxfId="249" priority="106">
      <x:formula>AND(ISNUMBER(O2),O2&gt;=40,O2&lt;50)</x:formula>
    </x:cfRule>
    <x:cfRule type="expression" dxfId="250" priority="107">
      <x:formula>AND(ISNUMBER(O2),O2&gt;=20,O2&lt;40)</x:formula>
    </x:cfRule>
    <x:cfRule type="expression" dxfId="251" priority="108">
      <x:formula>AND(ISNUMBER(O2),O2&lt;20)</x:formula>
    </x:cfRule>
  </x:conditionalFormatting>
  <x:conditionalFormatting sqref="P2:P34">
    <x:cfRule type="expression" dxfId="252" priority="109">
      <x:formula>AND(ISNUMBER(P2),P2=100)</x:formula>
    </x:cfRule>
    <x:cfRule type="expression" dxfId="253" priority="110">
      <x:formula>AND(ISNUMBER(P2),P2&gt;=90,P2&lt;100)</x:formula>
    </x:cfRule>
    <x:cfRule type="expression" dxfId="254" priority="111">
      <x:formula>AND(ISNUMBER(P2),P2&gt;=80,P2&lt;90)</x:formula>
    </x:cfRule>
    <x:cfRule type="expression" dxfId="255" priority="112">
      <x:formula>AND(ISNUMBER(P2),P2&gt;=70,P2&lt;80)</x:formula>
    </x:cfRule>
    <x:cfRule type="expression" dxfId="256" priority="113">
      <x:formula>AND(ISNUMBER(P2),P2&gt;=60,P2&lt;70)</x:formula>
    </x:cfRule>
    <x:cfRule type="expression" dxfId="257" priority="114">
      <x:formula>AND(ISNUMBER(P2),P2&gt;=50,P2&lt;60)</x:formula>
    </x:cfRule>
    <x:cfRule type="expression" dxfId="258" priority="115">
      <x:formula>AND(ISNUMBER(P2),P2&gt;=40,P2&lt;50)</x:formula>
    </x:cfRule>
    <x:cfRule type="expression" dxfId="259" priority="116">
      <x:formula>AND(ISNUMBER(P2),P2&gt;=20,P2&lt;40)</x:formula>
    </x:cfRule>
    <x:cfRule type="expression" dxfId="260" priority="117">
      <x:formula>AND(ISNUMBER(P2),P2&lt;20)</x:formula>
    </x:cfRule>
  </x:conditionalFormatting>
  <x:conditionalFormatting sqref="Q2:Q34">
    <x:cfRule type="expression" dxfId="261" priority="118">
      <x:formula>AND(ISNUMBER(Q2),Q2=100)</x:formula>
    </x:cfRule>
    <x:cfRule type="expression" dxfId="262" priority="119">
      <x:formula>AND(ISNUMBER(Q2),Q2&gt;=90,Q2&lt;100)</x:formula>
    </x:cfRule>
    <x:cfRule type="expression" dxfId="263" priority="120">
      <x:formula>AND(ISNUMBER(Q2),Q2&gt;=80,Q2&lt;90)</x:formula>
    </x:cfRule>
    <x:cfRule type="expression" dxfId="264" priority="121">
      <x:formula>AND(ISNUMBER(Q2),Q2&gt;=70,Q2&lt;80)</x:formula>
    </x:cfRule>
    <x:cfRule type="expression" dxfId="265" priority="122">
      <x:formula>AND(ISNUMBER(Q2),Q2&gt;=60,Q2&lt;70)</x:formula>
    </x:cfRule>
    <x:cfRule type="expression" dxfId="266" priority="123">
      <x:formula>AND(ISNUMBER(Q2),Q2&gt;=50,Q2&lt;60)</x:formula>
    </x:cfRule>
    <x:cfRule type="expression" dxfId="267" priority="124">
      <x:formula>AND(ISNUMBER(Q2),Q2&gt;=40,Q2&lt;50)</x:formula>
    </x:cfRule>
    <x:cfRule type="expression" dxfId="268" priority="125">
      <x:formula>AND(ISNUMBER(Q2),Q2&gt;=20,Q2&lt;40)</x:formula>
    </x:cfRule>
    <x:cfRule type="expression" dxfId="269" priority="126">
      <x:formula>AND(ISNUMBER(Q2),Q2&lt;20)</x:formula>
    </x:cfRule>
  </x:conditionalFormatting>
  <x:conditionalFormatting sqref="R2:R34">
    <x:cfRule type="expression" dxfId="270" priority="127">
      <x:formula>AND(ISNUMBER(R2),R2=100)</x:formula>
    </x:cfRule>
    <x:cfRule type="expression" dxfId="271" priority="128">
      <x:formula>AND(ISNUMBER(R2),R2&gt;=90,R2&lt;100)</x:formula>
    </x:cfRule>
    <x:cfRule type="expression" dxfId="272" priority="129">
      <x:formula>AND(ISNUMBER(R2),R2&gt;=80,R2&lt;90)</x:formula>
    </x:cfRule>
    <x:cfRule type="expression" dxfId="273" priority="130">
      <x:formula>AND(ISNUMBER(R2),R2&gt;=70,R2&lt;80)</x:formula>
    </x:cfRule>
    <x:cfRule type="expression" dxfId="274" priority="131">
      <x:formula>AND(ISNUMBER(R2),R2&gt;=60,R2&lt;70)</x:formula>
    </x:cfRule>
    <x:cfRule type="expression" dxfId="275" priority="132">
      <x:formula>AND(ISNUMBER(R2),R2&gt;=50,R2&lt;60)</x:formula>
    </x:cfRule>
    <x:cfRule type="expression" dxfId="276" priority="133">
      <x:formula>AND(ISNUMBER(R2),R2&gt;=40,R2&lt;50)</x:formula>
    </x:cfRule>
    <x:cfRule type="expression" dxfId="277" priority="134">
      <x:formula>AND(ISNUMBER(R2),R2&gt;=20,R2&lt;40)</x:formula>
    </x:cfRule>
    <x:cfRule type="expression" dxfId="278" priority="135">
      <x:formula>AND(ISNUMBER(R2),R2&lt;20)</x:formula>
    </x:cfRule>
  </x:conditionalFormatting>
  <x:conditionalFormatting sqref="D2:D34">
    <x:cfRule type="expression" dxfId="443" priority="145">
      <x:formula>AND(ISNUMBER(D2),D2=100)</x:formula>
    </x:cfRule>
    <x:cfRule type="expression" dxfId="444" priority="146">
      <x:formula>AND(ISNUMBER(D2),D2&gt;=90,D2&lt;100)</x:formula>
    </x:cfRule>
    <x:cfRule type="expression" dxfId="445" priority="147">
      <x:formula>AND(ISNUMBER(D2),D2&gt;=80,D2&lt;90)</x:formula>
    </x:cfRule>
    <x:cfRule type="expression" dxfId="446" priority="148">
      <x:formula>AND(ISNUMBER(D2),D2&gt;=70,D2&lt;80)</x:formula>
    </x:cfRule>
    <x:cfRule type="expression" dxfId="447" priority="149">
      <x:formula>AND(ISNUMBER(D2),D2&gt;=60,D2&lt;70)</x:formula>
    </x:cfRule>
    <x:cfRule type="expression" dxfId="448" priority="150">
      <x:formula>AND(ISNUMBER(D2),D2&gt;=50,D2&lt;60)</x:formula>
    </x:cfRule>
    <x:cfRule type="expression" dxfId="449" priority="151">
      <x:formula>AND(ISNUMBER(D2),D2&gt;=40,D2&lt;50)</x:formula>
    </x:cfRule>
    <x:cfRule type="expression" dxfId="450" priority="152">
      <x:formula>AND(ISNUMBER(D2),D2&gt;=20,D2&lt;40)</x:formula>
    </x:cfRule>
    <x:cfRule type="expression" dxfId="451" priority="153">
      <x:formula>AND(ISNUMBER(D2),D2&lt;20)</x:formula>
    </x:cfRule>
  </x:conditionalFormatting>
  <x:conditionalFormatting sqref="S2:S34">
    <x:cfRule type="expression" dxfId="490" priority="154">
      <x:formula>AND(ISNUMBER(S2),S2=100)</x:formula>
    </x:cfRule>
    <x:cfRule type="expression" dxfId="491" priority="155">
      <x:formula>AND(ISNUMBER(S2),S2&gt;=90,S2&lt;100)</x:formula>
    </x:cfRule>
    <x:cfRule type="expression" dxfId="492" priority="156">
      <x:formula>AND(ISNUMBER(S2),S2&gt;=80,S2&lt;90)</x:formula>
    </x:cfRule>
    <x:cfRule type="expression" dxfId="493" priority="157">
      <x:formula>AND(ISNUMBER(S2),S2&gt;=70,S2&lt;80)</x:formula>
    </x:cfRule>
    <x:cfRule type="expression" dxfId="494" priority="158">
      <x:formula>AND(ISNUMBER(S2),S2&gt;=60,S2&lt;70)</x:formula>
    </x:cfRule>
    <x:cfRule type="expression" dxfId="495" priority="159">
      <x:formula>AND(ISNUMBER(S2),S2&gt;=50,S2&lt;60)</x:formula>
    </x:cfRule>
    <x:cfRule type="expression" dxfId="496" priority="160">
      <x:formula>AND(ISNUMBER(S2),S2&gt;=40,S2&lt;50)</x:formula>
    </x:cfRule>
    <x:cfRule type="expression" dxfId="497" priority="161">
      <x:formula>AND(ISNUMBER(S2),S2&gt;=20,S2&lt;40)</x:formula>
    </x:cfRule>
    <x:cfRule type="expression" dxfId="498" priority="162">
      <x:formula>AND(ISNUMBER(S2),S2&lt;20)</x:formula>
    </x:cfRule>
  </x:conditionalFormatting>
  <x:conditionalFormatting sqref="T2:T34">
    <x:cfRule type="expression" dxfId="553" priority="163">
      <x:formula>AND(ISNUMBER(T2),T2=100)</x:formula>
    </x:cfRule>
    <x:cfRule type="expression" dxfId="554" priority="164">
      <x:formula>AND(ISNUMBER(T2),T2&gt;=90,T2&lt;100)</x:formula>
    </x:cfRule>
    <x:cfRule type="expression" dxfId="555" priority="165">
      <x:formula>AND(ISNUMBER(T2),T2&gt;=80,T2&lt;90)</x:formula>
    </x:cfRule>
    <x:cfRule type="expression" dxfId="556" priority="166">
      <x:formula>AND(ISNUMBER(T2),T2&gt;=70,T2&lt;80)</x:formula>
    </x:cfRule>
    <x:cfRule type="expression" dxfId="557" priority="167">
      <x:formula>AND(ISNUMBER(T2),T2&gt;=60,T2&lt;70)</x:formula>
    </x:cfRule>
    <x:cfRule type="expression" dxfId="558" priority="168">
      <x:formula>AND(ISNUMBER(T2),T2&gt;=50,T2&lt;60)</x:formula>
    </x:cfRule>
    <x:cfRule type="expression" dxfId="559" priority="169">
      <x:formula>AND(ISNUMBER(T2),T2&gt;=40,T2&lt;50)</x:formula>
    </x:cfRule>
    <x:cfRule type="expression" dxfId="560" priority="170">
      <x:formula>AND(ISNUMBER(T2),T2&gt;=20,T2&lt;40)</x:formula>
    </x:cfRule>
    <x:cfRule type="expression" dxfId="561" priority="171">
      <x:formula>AND(ISNUMBER(T2),T2&lt;20)</x:formula>
    </x:cfRule>
  </x:conditionalFormatting>
  <x:conditionalFormatting sqref="U2:U34">
    <x:cfRule type="expression" dxfId="562" priority="172">
      <x:formula>AND(ISNUMBER(U2),U2=100)</x:formula>
    </x:cfRule>
    <x:cfRule type="expression" dxfId="563" priority="173">
      <x:formula>AND(ISNUMBER(U2),U2&gt;=90,U2&lt;100)</x:formula>
    </x:cfRule>
    <x:cfRule type="expression" dxfId="564" priority="174">
      <x:formula>AND(ISNUMBER(U2),U2&gt;=80,U2&lt;90)</x:formula>
    </x:cfRule>
    <x:cfRule type="expression" dxfId="565" priority="175">
      <x:formula>AND(ISNUMBER(U2),U2&gt;=70,U2&lt;80)</x:formula>
    </x:cfRule>
    <x:cfRule type="expression" dxfId="566" priority="176">
      <x:formula>AND(ISNUMBER(U2),U2&gt;=60,U2&lt;70)</x:formula>
    </x:cfRule>
    <x:cfRule type="expression" dxfId="567" priority="177">
      <x:formula>AND(ISNUMBER(U2),U2&gt;=50,U2&lt;60)</x:formula>
    </x:cfRule>
    <x:cfRule type="expression" dxfId="568" priority="178">
      <x:formula>AND(ISNUMBER(U2),U2&gt;=40,U2&lt;50)</x:formula>
    </x:cfRule>
    <x:cfRule type="expression" dxfId="569" priority="179">
      <x:formula>AND(ISNUMBER(U2),U2&gt;=20,U2&lt;40)</x:formula>
    </x:cfRule>
    <x:cfRule type="expression" dxfId="570" priority="180">
      <x:formula>AND(ISNUMBER(U2),U2&lt;20)</x:formula>
    </x:cfRule>
  </x:conditionalFormatting>
  <x:conditionalFormatting sqref="V2:V34">
    <x:cfRule type="expression" dxfId="598" priority="181">
      <x:formula>AND(ISNUMBER(V2),V2=100)</x:formula>
    </x:cfRule>
    <x:cfRule type="expression" dxfId="599" priority="182">
      <x:formula>AND(ISNUMBER(V2),V2&gt;=90,V2&lt;100)</x:formula>
    </x:cfRule>
    <x:cfRule type="expression" dxfId="600" priority="183">
      <x:formula>AND(ISNUMBER(V2),V2&gt;=80,V2&lt;90)</x:formula>
    </x:cfRule>
    <x:cfRule type="expression" dxfId="601" priority="184">
      <x:formula>AND(ISNUMBER(V2),V2&gt;=70,V2&lt;80)</x:formula>
    </x:cfRule>
    <x:cfRule type="expression" dxfId="602" priority="185">
      <x:formula>AND(ISNUMBER(V2),V2&gt;=60,V2&lt;70)</x:formula>
    </x:cfRule>
    <x:cfRule type="expression" dxfId="603" priority="186">
      <x:formula>AND(ISNUMBER(V2),V2&gt;=50,V2&lt;60)</x:formula>
    </x:cfRule>
    <x:cfRule type="expression" dxfId="604" priority="187">
      <x:formula>AND(ISNUMBER(V2),V2&gt;=40,V2&lt;50)</x:formula>
    </x:cfRule>
    <x:cfRule type="expression" dxfId="605" priority="188">
      <x:formula>AND(ISNUMBER(V2),V2&gt;=20,V2&lt;40)</x:formula>
    </x:cfRule>
    <x:cfRule type="expression" dxfId="606" priority="189">
      <x:formula>AND(ISNUMBER(V2),V2&lt;20)</x:formula>
    </x:cfRule>
  </x:conditionalFormatting>
  <x:conditionalFormatting sqref="W2:W34">
    <x:cfRule type="expression" dxfId="643" priority="190">
      <x:formula>AND(ISNUMBER(W2),W2=100)</x:formula>
    </x:cfRule>
    <x:cfRule type="expression" dxfId="644" priority="191">
      <x:formula>AND(ISNUMBER(W2),W2&gt;=90,W2&lt;100)</x:formula>
    </x:cfRule>
    <x:cfRule type="expression" dxfId="645" priority="192">
      <x:formula>AND(ISNUMBER(W2),W2&gt;=80,W2&lt;90)</x:formula>
    </x:cfRule>
    <x:cfRule type="expression" dxfId="646" priority="193">
      <x:formula>AND(ISNUMBER(W2),W2&gt;=70,W2&lt;80)</x:formula>
    </x:cfRule>
    <x:cfRule type="expression" dxfId="647" priority="194">
      <x:formula>AND(ISNUMBER(W2),W2&gt;=60,W2&lt;70)</x:formula>
    </x:cfRule>
    <x:cfRule type="expression" dxfId="648" priority="195">
      <x:formula>AND(ISNUMBER(W2),W2&gt;=50,W2&lt;60)</x:formula>
    </x:cfRule>
    <x:cfRule type="expression" dxfId="649" priority="196">
      <x:formula>AND(ISNUMBER(W2),W2&gt;=40,W2&lt;50)</x:formula>
    </x:cfRule>
    <x:cfRule type="expression" dxfId="650" priority="197">
      <x:formula>AND(ISNUMBER(W2),W2&gt;=20,W2&lt;40)</x:formula>
    </x:cfRule>
    <x:cfRule type="expression" dxfId="651" priority="198">
      <x:formula>AND(ISNUMBER(W2),W2&lt;20)</x:formula>
    </x:cfRule>
  </x:conditionalFormatting>
  <x:conditionalFormatting sqref="X2:X34">
    <x:cfRule type="expression" dxfId="652" priority="199">
      <x:formula>AND(ISNUMBER(X2),X2=100)</x:formula>
    </x:cfRule>
    <x:cfRule type="expression" dxfId="653" priority="200">
      <x:formula>AND(ISNUMBER(X2),X2&gt;=90,X2&lt;100)</x:formula>
    </x:cfRule>
    <x:cfRule type="expression" dxfId="654" priority="201">
      <x:formula>AND(ISNUMBER(X2),X2&gt;=80,X2&lt;90)</x:formula>
    </x:cfRule>
    <x:cfRule type="expression" dxfId="655" priority="202">
      <x:formula>AND(ISNUMBER(X2),X2&gt;=70,X2&lt;80)</x:formula>
    </x:cfRule>
    <x:cfRule type="expression" dxfId="656" priority="203">
      <x:formula>AND(ISNUMBER(X2),X2&gt;=60,X2&lt;70)</x:formula>
    </x:cfRule>
    <x:cfRule type="expression" dxfId="657" priority="204">
      <x:formula>AND(ISNUMBER(X2),X2&gt;=50,X2&lt;60)</x:formula>
    </x:cfRule>
    <x:cfRule type="expression" dxfId="658" priority="205">
      <x:formula>AND(ISNUMBER(X2),X2&gt;=40,X2&lt;50)</x:formula>
    </x:cfRule>
    <x:cfRule type="expression" dxfId="659" priority="206">
      <x:formula>AND(ISNUMBER(X2),X2&gt;=20,X2&lt;40)</x:formula>
    </x:cfRule>
    <x:cfRule type="expression" dxfId="660" priority="207">
      <x:formula>AND(ISNUMBER(X2),X2&lt;20)</x:formula>
    </x:cfRule>
  </x:conditionalFormatting>
  <x:conditionalFormatting sqref="Y2:Y34">
    <x:cfRule type="expression" dxfId="697" priority="208">
      <x:formula>AND(ISNUMBER(Y2),Y2=100)</x:formula>
    </x:cfRule>
    <x:cfRule type="expression" dxfId="698" priority="209">
      <x:formula>AND(ISNUMBER(Y2),Y2&gt;=90,Y2&lt;100)</x:formula>
    </x:cfRule>
    <x:cfRule type="expression" dxfId="699" priority="210">
      <x:formula>AND(ISNUMBER(Y2),Y2&gt;=80,Y2&lt;90)</x:formula>
    </x:cfRule>
    <x:cfRule type="expression" dxfId="700" priority="211">
      <x:formula>AND(ISNUMBER(Y2),Y2&gt;=70,Y2&lt;80)</x:formula>
    </x:cfRule>
    <x:cfRule type="expression" dxfId="701" priority="212">
      <x:formula>AND(ISNUMBER(Y2),Y2&gt;=60,Y2&lt;70)</x:formula>
    </x:cfRule>
    <x:cfRule type="expression" dxfId="702" priority="213">
      <x:formula>AND(ISNUMBER(Y2),Y2&gt;=50,Y2&lt;60)</x:formula>
    </x:cfRule>
    <x:cfRule type="expression" dxfId="703" priority="214">
      <x:formula>AND(ISNUMBER(Y2),Y2&gt;=40,Y2&lt;50)</x:formula>
    </x:cfRule>
    <x:cfRule type="expression" dxfId="704" priority="215">
      <x:formula>AND(ISNUMBER(Y2),Y2&gt;=20,Y2&lt;40)</x:formula>
    </x:cfRule>
    <x:cfRule type="expression" dxfId="705" priority="216">
      <x:formula>AND(ISNUMBER(Y2),Y2&lt;20)</x:formula>
    </x:cfRule>
  </x:conditionalFormatting>
  <x:conditionalFormatting sqref="Z2:Z34">
    <x:cfRule type="expression" dxfId="706" priority="217">
      <x:formula>AND(ISNUMBER(Z2),Z2=100)</x:formula>
    </x:cfRule>
    <x:cfRule type="expression" dxfId="707" priority="218">
      <x:formula>AND(ISNUMBER(Z2),Z2&gt;=90,Z2&lt;100)</x:formula>
    </x:cfRule>
    <x:cfRule type="expression" dxfId="708" priority="219">
      <x:formula>AND(ISNUMBER(Z2),Z2&gt;=80,Z2&lt;90)</x:formula>
    </x:cfRule>
    <x:cfRule type="expression" dxfId="709" priority="220">
      <x:formula>AND(ISNUMBER(Z2),Z2&gt;=70,Z2&lt;80)</x:formula>
    </x:cfRule>
    <x:cfRule type="expression" dxfId="710" priority="221">
      <x:formula>AND(ISNUMBER(Z2),Z2&gt;=60,Z2&lt;70)</x:formula>
    </x:cfRule>
    <x:cfRule type="expression" dxfId="711" priority="222">
      <x:formula>AND(ISNUMBER(Z2),Z2&gt;=50,Z2&lt;60)</x:formula>
    </x:cfRule>
    <x:cfRule type="expression" dxfId="712" priority="223">
      <x:formula>AND(ISNUMBER(Z2),Z2&gt;=40,Z2&lt;50)</x:formula>
    </x:cfRule>
    <x:cfRule type="expression" dxfId="713" priority="224">
      <x:formula>AND(ISNUMBER(Z2),Z2&gt;=20,Z2&lt;40)</x:formula>
    </x:cfRule>
    <x:cfRule type="expression" dxfId="714" priority="225">
      <x:formula>AND(ISNUMBER(Z2),Z2&lt;20)</x:formula>
    </x:cfRule>
  </x:conditionalFormatting>
  <x:conditionalFormatting sqref="C2:Z34">
    <x:cfRule type="expression" dxfId="742" priority="235">
      <x:formula>AND(ISNUMBER(C2),C2=100)</x:formula>
    </x:cfRule>
    <x:cfRule type="expression" dxfId="743" priority="236">
      <x:formula>AND(ISNUMBER(C2),C2&gt;=90,C2&lt;100)</x:formula>
    </x:cfRule>
    <x:cfRule type="expression" dxfId="744" priority="237">
      <x:formula>AND(ISNUMBER(C2),C2&gt;=80,C2&lt;90)</x:formula>
    </x:cfRule>
    <x:cfRule type="expression" dxfId="745" priority="238">
      <x:formula>AND(ISNUMBER(C2),C2&gt;=70,C2&lt;80)</x:formula>
    </x:cfRule>
    <x:cfRule type="expression" dxfId="746" priority="239">
      <x:formula>AND(ISNUMBER(C2),C2&gt;=60,C2&lt;70)</x:formula>
    </x:cfRule>
    <x:cfRule type="expression" dxfId="747" priority="240">
      <x:formula>AND(ISNUMBER(C2),C2&gt;=50,C2&lt;60)</x:formula>
    </x:cfRule>
    <x:cfRule type="expression" dxfId="748" priority="241">
      <x:formula>AND(ISNUMBER(C2),C2&gt;=40,C2&lt;50)</x:formula>
    </x:cfRule>
    <x:cfRule type="expression" dxfId="749" priority="242">
      <x:formula>AND(ISNUMBER(C2),C2&gt;=20,C2&lt;40)</x:formula>
    </x:cfRule>
    <x:cfRule type="expression" dxfId="750" priority="243">
      <x:formula>AND(ISNUMBER(C2),C2&lt;20)</x:formula>
    </x:cfRule>
  </x:conditionalFormatting>
  <x:conditionalFormatting sqref="AA2:AA34">
    <x:cfRule type="expression" dxfId="751" priority="244">
      <x:formula>AND(ISNUMBER(AA2),AA2=100)</x:formula>
    </x:cfRule>
    <x:cfRule type="expression" dxfId="752" priority="245">
      <x:formula>AND(ISNUMBER(AA2),AA2&gt;=90,AA2&lt;100)</x:formula>
    </x:cfRule>
    <x:cfRule type="expression" dxfId="753" priority="246">
      <x:formula>AND(ISNUMBER(AA2),AA2&gt;=80,AA2&lt;90)</x:formula>
    </x:cfRule>
    <x:cfRule type="expression" dxfId="754" priority="247">
      <x:formula>AND(ISNUMBER(AA2),AA2&gt;=70,AA2&lt;80)</x:formula>
    </x:cfRule>
    <x:cfRule type="expression" dxfId="755" priority="248">
      <x:formula>AND(ISNUMBER(AA2),AA2&gt;=60,AA2&lt;70)</x:formula>
    </x:cfRule>
    <x:cfRule type="expression" dxfId="756" priority="249">
      <x:formula>AND(ISNUMBER(AA2),AA2&gt;=50,AA2&lt;60)</x:formula>
    </x:cfRule>
    <x:cfRule type="expression" dxfId="757" priority="250">
      <x:formula>AND(ISNUMBER(AA2),AA2&gt;=40,AA2&lt;50)</x:formula>
    </x:cfRule>
    <x:cfRule type="expression" dxfId="758" priority="251">
      <x:formula>AND(ISNUMBER(AA2),AA2&gt;=20,AA2&lt;40)</x:formula>
    </x:cfRule>
    <x:cfRule type="expression" dxfId="759" priority="252">
      <x:formula>AND(ISNUMBER(AA2),AA2&lt;20)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38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18" hidden="0" customWidth="1"/>
  </x:cols>
  <x:sheetData>
    <x:row r="1" ht="42" customHeight="1">
      <x:c r="A1" s="13" t="str">
        <x:v>ID</x:v>
      </x:c>
      <x:c r="B1" s="14" t="str">
        <x:v>Раздел</x:v>
      </x:c>
      <x:c r="C1" s="14" t="str">
        <x:v>Задание</x:v>
      </x:c>
      <x:c r="D1" s="14" t="str">
        <x:v>GPT 5.6 Sol low</x:v>
      </x:c>
      <x:c r="E1" s="14" t="str">
        <x:v>GPT 5.6 Sol medium</x:v>
      </x:c>
      <x:c r="F1" s="14" t="str">
        <x:v>Qwen 3.8 max</x:v>
      </x:c>
      <x:c r="G1" s="14" t="str">
        <x:v>GPT 5.5 high</x:v>
      </x:c>
      <x:c r="H1" s="14" t="str">
        <x:v>GPT 5.6 Sol high</x:v>
      </x:c>
      <x:c r="I1" s="14" t="str">
        <x:v>DeepSeek chat</x:v>
      </x:c>
      <x:c r="J1" s="14" t="str">
        <x:v>Qwen 3.8 27b с thinking</x:v>
      </x:c>
      <x:c r="K1" s="14" t="str">
        <x:v>Qwen 3.8 Flash Next с thinking</x:v>
      </x:c>
      <x:c r="L1" s="14" t="str">
        <x:v>GPT 5.5 medium</x:v>
      </x:c>
      <x:c r="M1" s="14" t="str">
        <x:v>Qwen 3.8 27b uncensored с thinking</x:v>
      </x:c>
      <x:c r="N1" s="14" t="str">
        <x:v>GPT 5.5 — low</x:v>
      </x:c>
      <x:c r="O1" s="14" t="str">
        <x:v>Qwen 3.6 35b a3b mtp с thinking</x:v>
      </x:c>
      <x:c r="P1" s="14" t="str">
        <x:v>Qwen 3.6 35b a3b mtp без thinking</x:v>
      </x:c>
      <x:c r="Q1" s="14" t="str">
        <x:v>Qwen 3.6 35b a3b HauhauCS с thinking</x:v>
      </x:c>
      <x:c r="R1" s="14" t="str">
        <x:v>Qwen 3.8 27b uncensored без thinking</x:v>
      </x:c>
      <x:c r="S1" s="14" t="str">
        <x:v>Qwen 3.8 27b без thinking</x:v>
      </x:c>
      <x:c r="T1" s="261" t="str">
        <x:v>Qwen 3.8 Flash Next без thinking</x:v>
      </x:c>
      <x:c r="U1" s="258" t="str">
        <x:v>Qwen 3.6 35b a3b HauhauCS без thinking</x:v>
      </x:c>
      <x:c r="V1" t="str">
        <x:v>gemma4-12b-qat-uncensored-hauhaucs-balanced без thinking</x:v>
      </x:c>
      <x:c r="W1" t="str">
        <x:v>gemma4-12b-qat-uncensored-hauhaucs-balanced с thinking</x:v>
      </x:c>
      <x:c r="X1" t="str">
        <x:v>gemma-4-e4b-hauhaucs-aggressive с thinking</x:v>
      </x:c>
      <x:c r="Y1" t="str">
        <x:v>gemma-4-e4b-hauhaucs-aggressive без thinking</x:v>
      </x:c>
      <x:c r="Z1" t="str">
        <x:v>gemma-4-e2b-hauhaucs-aggressive с thinking</x:v>
      </x:c>
      <x:c r="AA1" t="str">
        <x:v>gemma-4-e2b-hauhaucs-aggressive без thinking</x:v>
      </x:c>
      <x:c r="AB1" t="str">
        <x:v>Среднее оценённых, 0–100</x:v>
      </x:c>
      <x:c r="AC1"/>
      <x:c r="AD1"/>
      <x:c r="AE1"/>
      <x:c r="AF1"/>
    </x:row>
    <x:row r="2">
      <x:c r="A2" s="49" t="str">
        <x:v>R-1</x:v>
      </x:c>
      <x:c r="B2" s="50" t="str">
        <x:v>РАССУЖДЕНИЕ И ЛОГИКА</x:v>
      </x:c>
      <x:c r="C2" s="50" t="str">
        <x:v>Ограничения расписания</x:v>
      </x:c>
      <x:c r="D2" s="342" t="n">
        <x:v>100</x:v>
      </x:c>
      <x:c r="E2" s="342" t="n">
        <x:v>100</x:v>
      </x:c>
      <x:c r="F2" s="342" t="n">
        <x:v>100</x:v>
      </x:c>
      <x:c r="G2" s="342" t="n">
        <x:v>100</x:v>
      </x:c>
      <x:c r="H2" s="342" t="n">
        <x:v>100</x:v>
      </x:c>
      <x:c r="I2" s="342" t="n">
        <x:v>100</x:v>
      </x:c>
      <x:c r="J2" s="342" t="n">
        <x:v>100</x:v>
      </x:c>
      <x:c r="K2" s="342" t="n">
        <x:v>100</x:v>
      </x:c>
      <x:c r="L2" s="342" t="n">
        <x:v>0</x:v>
      </x:c>
      <x:c r="M2" s="342" t="n">
        <x:v>100</x:v>
      </x:c>
      <x:c r="N2" s="342" t="n">
        <x:v>0</x:v>
      </x:c>
      <x:c r="O2" s="342" t="n">
        <x:v>100</x:v>
      </x:c>
      <x:c r="P2" s="342" t="n">
        <x:v>80</x:v>
      </x:c>
      <x:c r="Q2" s="342" t="n">
        <x:v>100</x:v>
      </x:c>
      <x:c r="R2" s="342" t="n">
        <x:v>90</x:v>
      </x:c>
      <x:c r="S2" s="342" t="n">
        <x:v>80</x:v>
      </x:c>
      <x:c r="T2" s="342" t="n">
        <x:v>90</x:v>
      </x:c>
      <x:c r="U2" s="342" t="n">
        <x:v>100</x:v>
      </x:c>
      <x:c r="V2" s="371" t="n">
        <x:v>20</x:v>
      </x:c>
      <x:c r="W2" s="371" t="n">
        <x:v>100</x:v>
      </x:c>
      <x:c r="X2" s="371" t="n">
        <x:v>100</x:v>
      </x:c>
      <x:c r="Y2" s="371" t="n">
        <x:v>20</x:v>
      </x:c>
      <x:c r="Z2" s="371" t="n">
        <x:v>0</x:v>
      </x:c>
      <x:c r="AA2" s="372" t="n">
        <x:v>0</x:v>
      </x:c>
      <x:c r="AB2" s="342" t="n">
        <x:f>IF(COUNT(D2:AA2)=0,"",AVERAGE(D2:AA2))</x:f>
        <x:v>74.16666666666667</x:v>
      </x:c>
    </x:row>
    <x:row r="3">
      <x:c r="A3" s="52" t="str">
        <x:v>R-2</x:v>
      </x:c>
      <x:c r="B3" s="53" t="str">
        <x:v>РАССУЖДЕНИЕ И ЛОГИКА</x:v>
      </x:c>
      <x:c r="C3" s="53" t="str">
        <x:v>Логика утверждений</x:v>
      </x:c>
      <x:c r="D3" s="344" t="n">
        <x:v>100</x:v>
      </x:c>
      <x:c r="E3" s="344" t="n">
        <x:v>100</x:v>
      </x:c>
      <x:c r="F3" s="344" t="n">
        <x:v>100</x:v>
      </x:c>
      <x:c r="G3" s="344" t="n">
        <x:v>100</x:v>
      </x:c>
      <x:c r="H3" s="344" t="n">
        <x:v>100</x:v>
      </x:c>
      <x:c r="I3" s="344" t="n">
        <x:v>100</x:v>
      </x:c>
      <x:c r="J3" s="344" t="n">
        <x:v>100</x:v>
      </x:c>
      <x:c r="K3" s="344" t="n">
        <x:v>100</x:v>
      </x:c>
      <x:c r="L3" s="344" t="n">
        <x:v>100</x:v>
      </x:c>
      <x:c r="M3" s="344" t="n">
        <x:v>100</x:v>
      </x:c>
      <x:c r="N3" s="344" t="n">
        <x:v>100</x:v>
      </x:c>
      <x:c r="O3" s="344" t="n">
        <x:v>100</x:v>
      </x:c>
      <x:c r="P3" s="344" t="n">
        <x:v>100</x:v>
      </x:c>
      <x:c r="Q3" s="344" t="n">
        <x:v>100</x:v>
      </x:c>
      <x:c r="R3" s="344" t="n">
        <x:v>100</x:v>
      </x:c>
      <x:c r="S3" s="344" t="n">
        <x:v>100</x:v>
      </x:c>
      <x:c r="T3" s="344" t="n">
        <x:v>100</x:v>
      </x:c>
      <x:c r="U3" s="344" t="n">
        <x:v>100</x:v>
      </x:c>
      <x:c r="V3" s="373" t="n">
        <x:v>100</x:v>
      </x:c>
      <x:c r="W3" s="373" t="n">
        <x:v>100</x:v>
      </x:c>
      <x:c r="X3" s="373" t="n">
        <x:v>100</x:v>
      </x:c>
      <x:c r="Y3" s="373" t="n">
        <x:v>100</x:v>
      </x:c>
      <x:c r="Z3" s="373" t="n">
        <x:v>100</x:v>
      </x:c>
      <x:c r="AA3" s="374" t="n">
        <x:v>100</x:v>
      </x:c>
      <x:c r="AB3" s="344" t="n">
        <x:f>IF(COUNT(D3:AA3)=0,"",AVERAGE(D3:AA3))</x:f>
        <x:v>100</x:v>
      </x:c>
    </x:row>
    <x:row r="4">
      <x:c r="A4" s="52" t="str">
        <x:v>R-3</x:v>
      </x:c>
      <x:c r="B4" s="53" t="str">
        <x:v>РАССУЖДЕНИЕ И ЛОГИКА</x:v>
      </x:c>
      <x:c r="C4" s="53" t="str">
        <x:v>Причинность</x:v>
      </x:c>
      <x:c r="D4" s="344" t="n">
        <x:v>100</x:v>
      </x:c>
      <x:c r="E4" s="344" t="n">
        <x:v>100</x:v>
      </x:c>
      <x:c r="F4" s="344" t="n">
        <x:v>100</x:v>
      </x:c>
      <x:c r="G4" s="344" t="n">
        <x:v>100</x:v>
      </x:c>
      <x:c r="H4" s="344" t="n">
        <x:v>100</x:v>
      </x:c>
      <x:c r="I4" s="344" t="n">
        <x:v>100</x:v>
      </x:c>
      <x:c r="J4" s="344" t="n">
        <x:v>100</x:v>
      </x:c>
      <x:c r="K4" s="344" t="n">
        <x:v>90</x:v>
      </x:c>
      <x:c r="L4" s="344" t="n">
        <x:v>100</x:v>
      </x:c>
      <x:c r="M4" s="344" t="n">
        <x:v>100</x:v>
      </x:c>
      <x:c r="N4" s="344" t="n">
        <x:v>90</x:v>
      </x:c>
      <x:c r="O4" s="344" t="n">
        <x:v>100</x:v>
      </x:c>
      <x:c r="P4" s="344" t="n">
        <x:v>80</x:v>
      </x:c>
      <x:c r="Q4" s="344" t="n">
        <x:v>100</x:v>
      </x:c>
      <x:c r="R4" s="344" t="n">
        <x:v>100</x:v>
      </x:c>
      <x:c r="S4" s="344" t="n">
        <x:v>100</x:v>
      </x:c>
      <x:c r="T4" s="344" t="n">
        <x:v>100</x:v>
      </x:c>
      <x:c r="U4" s="344" t="n">
        <x:v>80</x:v>
      </x:c>
      <x:c r="V4" s="373" t="n">
        <x:v>100</x:v>
      </x:c>
      <x:c r="W4" s="373" t="n">
        <x:v>100</x:v>
      </x:c>
      <x:c r="X4" s="373" t="n">
        <x:v>80</x:v>
      </x:c>
      <x:c r="Y4" s="373" t="n">
        <x:v>80</x:v>
      </x:c>
      <x:c r="Z4" s="373" t="n">
        <x:v>60</x:v>
      </x:c>
      <x:c r="AA4" s="374" t="n">
        <x:v>80</x:v>
      </x:c>
      <x:c r="AB4" s="344" t="n">
        <x:f>IF(COUNT(D4:AA4)=0,"",AVERAGE(D4:AA4))</x:f>
        <x:v>93.33333333333333</x:v>
      </x:c>
    </x:row>
    <x:row r="5">
      <x:c r="A5" s="52" t="str">
        <x:v>R-4</x:v>
      </x:c>
      <x:c r="B5" s="53" t="str">
        <x:v>РАССУЖДЕНИЕ И ЛОГИКА</x:v>
      </x:c>
      <x:c r="C5" s="53" t="str">
        <x:v>Минимальное число взвешиваний</x:v>
      </x:c>
      <x:c r="D5" s="344" t="n">
        <x:v>100</x:v>
      </x:c>
      <x:c r="E5" s="344" t="n">
        <x:v>100</x:v>
      </x:c>
      <x:c r="F5" s="344" t="n">
        <x:v>100</x:v>
      </x:c>
      <x:c r="G5" s="344" t="n">
        <x:v>100</x:v>
      </x:c>
      <x:c r="H5" s="344" t="n">
        <x:v>100</x:v>
      </x:c>
      <x:c r="I5" s="344" t="n">
        <x:v>100</x:v>
      </x:c>
      <x:c r="J5" s="344" t="n">
        <x:v>100</x:v>
      </x:c>
      <x:c r="K5" s="344" t="n">
        <x:v>100</x:v>
      </x:c>
      <x:c r="L5" s="344" t="n">
        <x:v>100</x:v>
      </x:c>
      <x:c r="M5" s="344" t="n">
        <x:v>100</x:v>
      </x:c>
      <x:c r="N5" s="344" t="n">
        <x:v>100</x:v>
      </x:c>
      <x:c r="O5" s="344" t="n">
        <x:v>40</x:v>
      </x:c>
      <x:c r="P5" s="344" t="n">
        <x:v>100</x:v>
      </x:c>
      <x:c r="Q5" s="344" t="n">
        <x:v>20</x:v>
      </x:c>
      <x:c r="R5" s="344" t="n">
        <x:v>100</x:v>
      </x:c>
      <x:c r="S5" s="344" t="n">
        <x:v>100</x:v>
      </x:c>
      <x:c r="T5" s="344" t="n">
        <x:v>100</x:v>
      </x:c>
      <x:c r="U5" s="344" t="n">
        <x:v>100</x:v>
      </x:c>
      <x:c r="V5" s="373" t="n">
        <x:v>100</x:v>
      </x:c>
      <x:c r="W5" s="373" t="n">
        <x:v>100</x:v>
      </x:c>
      <x:c r="X5" s="373" t="n">
        <x:v>100</x:v>
      </x:c>
      <x:c r="Y5" s="373" t="n">
        <x:v>40</x:v>
      </x:c>
      <x:c r="Z5" s="373" t="n">
        <x:v>20</x:v>
      </x:c>
      <x:c r="AA5" s="374" t="n">
        <x:v>40</x:v>
      </x:c>
      <x:c r="AB5" s="344" t="n">
        <x:f>IF(COUNT(D5:AA5)=0,"",AVERAGE(D5:AA5))</x:f>
        <x:v>85.83333333333333</x:v>
      </x:c>
    </x:row>
    <x:row r="6">
      <x:c r="A6" s="52" t="str">
        <x:v>R-5</x:v>
      </x:c>
      <x:c r="B6" s="53" t="str">
        <x:v>РАССУЖДЕНИЕ И ЛОГИКА</x:v>
      </x:c>
      <x:c r="C6" s="53" t="str">
        <x:v>Проверка противоречия</x:v>
      </x:c>
      <x:c r="D6" s="344" t="n">
        <x:v>100</x:v>
      </x:c>
      <x:c r="E6" s="344" t="n">
        <x:v>100</x:v>
      </x:c>
      <x:c r="F6" s="344" t="n">
        <x:v>100</x:v>
      </x:c>
      <x:c r="G6" s="344" t="n">
        <x:v>100</x:v>
      </x:c>
      <x:c r="H6" s="344" t="n">
        <x:v>100</x:v>
      </x:c>
      <x:c r="I6" s="344" t="n">
        <x:v>100</x:v>
      </x:c>
      <x:c r="J6" s="344" t="n">
        <x:v>100</x:v>
      </x:c>
      <x:c r="K6" s="344" t="n">
        <x:v>100</x:v>
      </x:c>
      <x:c r="L6" s="344" t="n">
        <x:v>100</x:v>
      </x:c>
      <x:c r="M6" s="344" t="n">
        <x:v>100</x:v>
      </x:c>
      <x:c r="N6" s="344" t="n">
        <x:v>100</x:v>
      </x:c>
      <x:c r="O6" s="344" t="n">
        <x:v>100</x:v>
      </x:c>
      <x:c r="P6" s="344" t="n">
        <x:v>100</x:v>
      </x:c>
      <x:c r="Q6" s="344" t="n">
        <x:v>100</x:v>
      </x:c>
      <x:c r="R6" s="344" t="n">
        <x:v>100</x:v>
      </x:c>
      <x:c r="S6" s="344" t="n">
        <x:v>100</x:v>
      </x:c>
      <x:c r="T6" s="344" t="n">
        <x:v>100</x:v>
      </x:c>
      <x:c r="U6" s="344" t="n">
        <x:v>100</x:v>
      </x:c>
      <x:c r="V6" s="373" t="n">
        <x:v>100</x:v>
      </x:c>
      <x:c r="W6" s="373" t="n">
        <x:v>100</x:v>
      </x:c>
      <x:c r="X6" s="373" t="n">
        <x:v>100</x:v>
      </x:c>
      <x:c r="Y6" s="373" t="n">
        <x:v>0</x:v>
      </x:c>
      <x:c r="Z6" s="373" t="n">
        <x:v>100</x:v>
      </x:c>
      <x:c r="AA6" s="374" t="n">
        <x:v>100</x:v>
      </x:c>
      <x:c r="AB6" s="344" t="n">
        <x:f>IF(COUNT(D6:AA6)=0,"",AVERAGE(D6:AA6))</x:f>
        <x:v>95.83333333333333</x:v>
      </x:c>
    </x:row>
    <x:row r="7">
      <x:c r="A7" s="52" t="str">
        <x:v>R-6</x:v>
      </x:c>
      <x:c r="B7" s="53" t="str">
        <x:v>РАССУЖДЕНИЕ И ЛОГИКА</x:v>
      </x:c>
      <x:c r="C7" s="53" t="str">
        <x:v>Дедукция по журналам</x:v>
      </x:c>
      <x:c r="D7" s="344" t="n">
        <x:v>100</x:v>
      </x:c>
      <x:c r="E7" s="344" t="n">
        <x:v>100</x:v>
      </x:c>
      <x:c r="F7" s="344" t="n">
        <x:v>100</x:v>
      </x:c>
      <x:c r="G7" s="344" t="n">
        <x:v>100</x:v>
      </x:c>
      <x:c r="H7" s="344" t="n">
        <x:v>20</x:v>
      </x:c>
      <x:c r="I7" s="344" t="n">
        <x:v>90</x:v>
      </x:c>
      <x:c r="J7" s="344" t="n">
        <x:v>100</x:v>
      </x:c>
      <x:c r="K7" s="344" t="n">
        <x:v>100</x:v>
      </x:c>
      <x:c r="L7" s="344" t="n">
        <x:v>100</x:v>
      </x:c>
      <x:c r="M7" s="344" t="n">
        <x:v>90</x:v>
      </x:c>
      <x:c r="N7" s="344" t="n">
        <x:v>100</x:v>
      </x:c>
      <x:c r="O7" s="344" t="n">
        <x:v>100</x:v>
      </x:c>
      <x:c r="P7" s="344" t="n">
        <x:v>80</x:v>
      </x:c>
      <x:c r="Q7" s="344" t="n">
        <x:v>100</x:v>
      </x:c>
      <x:c r="R7" s="344" t="n">
        <x:v>90</x:v>
      </x:c>
      <x:c r="S7" s="344" t="n">
        <x:v>20</x:v>
      </x:c>
      <x:c r="T7" s="344" t="n">
        <x:v>80</x:v>
      </x:c>
      <x:c r="U7" s="344" t="n">
        <x:v>20</x:v>
      </x:c>
      <x:c r="V7" s="373" t="n">
        <x:v>80</x:v>
      </x:c>
      <x:c r="W7" s="373" t="n">
        <x:v>100</x:v>
      </x:c>
      <x:c r="X7" s="373" t="n">
        <x:v>100</x:v>
      </x:c>
      <x:c r="Y7" s="373" t="n">
        <x:v>100</x:v>
      </x:c>
      <x:c r="Z7" s="373" t="n">
        <x:v>100</x:v>
      </x:c>
      <x:c r="AA7" s="374" t="n">
        <x:v>100</x:v>
      </x:c>
      <x:c r="AB7" s="344" t="n">
        <x:f>IF(COUNT(D7:AA7)=0,"",AVERAGE(D7:AA7))</x:f>
        <x:v>86.25</x:v>
      </x:c>
    </x:row>
    <x:row r="8">
      <x:c r="A8" s="52" t="str">
        <x:v>R-7</x:v>
      </x:c>
      <x:c r="B8" s="53" t="str">
        <x:v>РАССУЖДЕНИЕ И ЛОГИКА</x:v>
      </x:c>
      <x:c r="C8" s="53" t="str">
        <x:v>Числовая последовательность</x:v>
      </x:c>
      <x:c r="D8" s="344" t="n">
        <x:v>100</x:v>
      </x:c>
      <x:c r="E8" s="344" t="n">
        <x:v>100</x:v>
      </x:c>
      <x:c r="F8" s="344" t="n">
        <x:v>100</x:v>
      </x:c>
      <x:c r="G8" s="344" t="n">
        <x:v>100</x:v>
      </x:c>
      <x:c r="H8" s="344" t="n">
        <x:v>100</x:v>
      </x:c>
      <x:c r="I8" s="344" t="n">
        <x:v>100</x:v>
      </x:c>
      <x:c r="J8" s="344" t="n">
        <x:v>100</x:v>
      </x:c>
      <x:c r="K8" s="344" t="n">
        <x:v>100</x:v>
      </x:c>
      <x:c r="L8" s="344" t="n">
        <x:v>100</x:v>
      </x:c>
      <x:c r="M8" s="344" t="n">
        <x:v>100</x:v>
      </x:c>
      <x:c r="N8" s="344" t="n">
        <x:v>100</x:v>
      </x:c>
      <x:c r="O8" s="344" t="n">
        <x:v>100</x:v>
      </x:c>
      <x:c r="P8" s="344" t="n">
        <x:v>100</x:v>
      </x:c>
      <x:c r="Q8" s="344" t="n">
        <x:v>100</x:v>
      </x:c>
      <x:c r="R8" s="344" t="n">
        <x:v>100</x:v>
      </x:c>
      <x:c r="S8" s="344" t="n">
        <x:v>100</x:v>
      </x:c>
      <x:c r="T8" s="344" t="n">
        <x:v>100</x:v>
      </x:c>
      <x:c r="U8" s="344" t="n">
        <x:v>80</x:v>
      </x:c>
      <x:c r="V8" s="373" t="n">
        <x:v>80</x:v>
      </x:c>
      <x:c r="W8" s="373" t="n">
        <x:v>100</x:v>
      </x:c>
      <x:c r="X8" s="373" t="n">
        <x:v>80</x:v>
      </x:c>
      <x:c r="Y8" s="373" t="n">
        <x:v>80</x:v>
      </x:c>
      <x:c r="Z8" s="373" t="n">
        <x:v>20</x:v>
      </x:c>
      <x:c r="AA8" s="374" t="n">
        <x:v>80</x:v>
      </x:c>
      <x:c r="AB8" s="344" t="n">
        <x:f>IF(COUNT(D8:AA8)=0,"",AVERAGE(D8:AA8))</x:f>
        <x:v>92.5</x:v>
      </x:c>
    </x:row>
    <x:row r="9">
      <x:c r="A9" s="52" t="str">
        <x:v>R-8</x:v>
      </x:c>
      <x:c r="B9" s="53" t="str">
        <x:v>РАССУЖДЕНИЕ И ЛОГИКА</x:v>
      </x:c>
      <x:c r="C9" s="53" t="str">
        <x:v>Планирование под ограничениями</x:v>
      </x:c>
      <x:c r="D9" s="344" t="n">
        <x:v>100</x:v>
      </x:c>
      <x:c r="E9" s="344" t="n">
        <x:v>100</x:v>
      </x:c>
      <x:c r="F9" s="344" t="n">
        <x:v>100</x:v>
      </x:c>
      <x:c r="G9" s="344" t="n">
        <x:v>100</x:v>
      </x:c>
      <x:c r="H9" s="344" t="n">
        <x:v>100</x:v>
      </x:c>
      <x:c r="I9" s="344" t="n">
        <x:v>100</x:v>
      </x:c>
      <x:c r="J9" s="344" t="n">
        <x:v>100</x:v>
      </x:c>
      <x:c r="K9" s="344" t="n">
        <x:v>100</x:v>
      </x:c>
      <x:c r="L9" s="344" t="n">
        <x:v>100</x:v>
      </x:c>
      <x:c r="M9" s="344" t="n">
        <x:v>100</x:v>
      </x:c>
      <x:c r="N9" s="344" t="n">
        <x:v>100</x:v>
      </x:c>
      <x:c r="O9" s="344" t="n">
        <x:v>80</x:v>
      </x:c>
      <x:c r="P9" s="344" t="n">
        <x:v>80</x:v>
      </x:c>
      <x:c r="Q9" s="344" t="n">
        <x:v>100</x:v>
      </x:c>
      <x:c r="R9" s="344" t="n">
        <x:v>70</x:v>
      </x:c>
      <x:c r="S9" s="344" t="n">
        <x:v>80</x:v>
      </x:c>
      <x:c r="T9" s="344" t="n">
        <x:v>90</x:v>
      </x:c>
      <x:c r="U9" s="344" t="n">
        <x:v>100</x:v>
      </x:c>
      <x:c r="V9" s="373" t="n">
        <x:v>80</x:v>
      </x:c>
      <x:c r="W9" s="373" t="n">
        <x:v>80</x:v>
      </x:c>
      <x:c r="X9" s="373" t="n">
        <x:v>100</x:v>
      </x:c>
      <x:c r="Y9" s="373" t="n">
        <x:v>60</x:v>
      </x:c>
      <x:c r="Z9" s="373" t="n">
        <x:v>0</x:v>
      </x:c>
      <x:c r="AA9" s="374" t="n">
        <x:v>80</x:v>
      </x:c>
      <x:c r="AB9" s="344" t="n">
        <x:f>IF(COUNT(D9:AA9)=0,"",AVERAGE(D9:AA9))</x:f>
        <x:v>87.5</x:v>
      </x:c>
    </x:row>
    <x:row r="10">
      <x:c r="A10" s="52" t="str">
        <x:v>GK-1</x:v>
      </x:c>
      <x:c r="B10" s="53" t="str">
        <x:v>ОБЩИЕ ЗНАНИЯ</x:v>
      </x:c>
      <x:c r="C10" s="53"/>
      <x:c r="D10" s="344" t="n">
        <x:v>100</x:v>
      </x:c>
      <x:c r="E10" s="344" t="n">
        <x:v>100</x:v>
      </x:c>
      <x:c r="F10" s="344" t="n">
        <x:v>100</x:v>
      </x:c>
      <x:c r="G10" s="344" t="n">
        <x:v>100</x:v>
      </x:c>
      <x:c r="H10" s="344" t="n">
        <x:v>100</x:v>
      </x:c>
      <x:c r="I10" s="344" t="n">
        <x:v>100</x:v>
      </x:c>
      <x:c r="J10" s="344" t="n">
        <x:v>100</x:v>
      </x:c>
      <x:c r="K10" s="344" t="n">
        <x:v>100</x:v>
      </x:c>
      <x:c r="L10" s="344" t="n">
        <x:v>100</x:v>
      </x:c>
      <x:c r="M10" s="344" t="n">
        <x:v>100</x:v>
      </x:c>
      <x:c r="N10" s="344" t="n">
        <x:v>100</x:v>
      </x:c>
      <x:c r="O10" s="344" t="n">
        <x:v>100</x:v>
      </x:c>
      <x:c r="P10" s="344" t="n">
        <x:v>100</x:v>
      </x:c>
      <x:c r="Q10" s="344" t="n">
        <x:v>100</x:v>
      </x:c>
      <x:c r="R10" s="344" t="n">
        <x:v>100</x:v>
      </x:c>
      <x:c r="S10" s="344" t="n">
        <x:v>100</x:v>
      </x:c>
      <x:c r="T10" s="344" t="n">
        <x:v>100</x:v>
      </x:c>
      <x:c r="U10" s="344" t="n">
        <x:v>100</x:v>
      </x:c>
      <x:c r="V10" s="373" t="n">
        <x:v>40</x:v>
      </x:c>
      <x:c r="W10" s="373" t="n">
        <x:v>80</x:v>
      </x:c>
      <x:c r="X10" s="373" t="n">
        <x:v>100</x:v>
      </x:c>
      <x:c r="Y10" s="373" t="n">
        <x:v>100</x:v>
      </x:c>
      <x:c r="Z10" s="373" t="n">
        <x:v>80</x:v>
      </x:c>
      <x:c r="AA10" s="374" t="n">
        <x:v>80</x:v>
      </x:c>
      <x:c r="AB10" s="344" t="n">
        <x:f>IF(COUNT(D10:AA10)=0,"",AVERAGE(D10:AA10))</x:f>
        <x:v>95</x:v>
      </x:c>
    </x:row>
    <x:row r="11">
      <x:c r="A11" s="52" t="str">
        <x:v>GK-2</x:v>
      </x:c>
      <x:c r="B11" s="53" t="str">
        <x:v>ОБЩИЕ ЗНАНИЯ</x:v>
      </x:c>
      <x:c r="C11" s="53"/>
      <x:c r="D11" s="344" t="n">
        <x:v>100</x:v>
      </x:c>
      <x:c r="E11" s="344" t="n">
        <x:v>100</x:v>
      </x:c>
      <x:c r="F11" s="344" t="n">
        <x:v>100</x:v>
      </x:c>
      <x:c r="G11" s="344" t="n">
        <x:v>100</x:v>
      </x:c>
      <x:c r="H11" s="344" t="n">
        <x:v>100</x:v>
      </x:c>
      <x:c r="I11" s="344" t="n">
        <x:v>100</x:v>
      </x:c>
      <x:c r="J11" s="344" t="n">
        <x:v>100</x:v>
      </x:c>
      <x:c r="K11" s="344" t="n">
        <x:v>100</x:v>
      </x:c>
      <x:c r="L11" s="344" t="n">
        <x:v>100</x:v>
      </x:c>
      <x:c r="M11" s="344" t="n">
        <x:v>100</x:v>
      </x:c>
      <x:c r="N11" s="344" t="n">
        <x:v>100</x:v>
      </x:c>
      <x:c r="O11" s="344" t="n">
        <x:v>100</x:v>
      </x:c>
      <x:c r="P11" s="344" t="n">
        <x:v>100</x:v>
      </x:c>
      <x:c r="Q11" s="344" t="n">
        <x:v>100</x:v>
      </x:c>
      <x:c r="R11" s="344" t="n">
        <x:v>100</x:v>
      </x:c>
      <x:c r="S11" s="344" t="n">
        <x:v>100</x:v>
      </x:c>
      <x:c r="T11" s="344" t="n">
        <x:v>100</x:v>
      </x:c>
      <x:c r="U11" s="344" t="n">
        <x:v>100</x:v>
      </x:c>
      <x:c r="V11" s="373" t="n">
        <x:v>100</x:v>
      </x:c>
      <x:c r="W11" s="373" t="n">
        <x:v>100</x:v>
      </x:c>
      <x:c r="X11" s="373" t="n">
        <x:v>100</x:v>
      </x:c>
      <x:c r="Y11" s="373" t="n">
        <x:v>100</x:v>
      </x:c>
      <x:c r="Z11" s="373" t="n">
        <x:v>80</x:v>
      </x:c>
      <x:c r="AA11" s="374" t="n">
        <x:v>80</x:v>
      </x:c>
      <x:c r="AB11" s="344" t="n">
        <x:f>IF(COUNT(D11:AA11)=0,"",AVERAGE(D11:AA11))</x:f>
        <x:v>98.33333333333333</x:v>
      </x:c>
    </x:row>
    <x:row r="12">
      <x:c r="A12" s="52" t="str">
        <x:v>GK-3</x:v>
      </x:c>
      <x:c r="B12" s="53" t="str">
        <x:v>ОБЩИЕ ЗНАНИЯ</x:v>
      </x:c>
      <x:c r="C12" s="53"/>
      <x:c r="D12" s="344" t="n">
        <x:v>100</x:v>
      </x:c>
      <x:c r="E12" s="344" t="n">
        <x:v>100</x:v>
      </x:c>
      <x:c r="F12" s="344" t="n">
        <x:v>100</x:v>
      </x:c>
      <x:c r="G12" s="344" t="n">
        <x:v>100</x:v>
      </x:c>
      <x:c r="H12" s="344" t="n">
        <x:v>100</x:v>
      </x:c>
      <x:c r="I12" s="344" t="n">
        <x:v>100</x:v>
      </x:c>
      <x:c r="J12" s="344" t="n">
        <x:v>100</x:v>
      </x:c>
      <x:c r="K12" s="344" t="n">
        <x:v>100</x:v>
      </x:c>
      <x:c r="L12" s="344" t="n">
        <x:v>100</x:v>
      </x:c>
      <x:c r="M12" s="344" t="n">
        <x:v>100</x:v>
      </x:c>
      <x:c r="N12" s="344" t="n">
        <x:v>100</x:v>
      </x:c>
      <x:c r="O12" s="344" t="n">
        <x:v>100</x:v>
      </x:c>
      <x:c r="P12" s="344" t="n">
        <x:v>100</x:v>
      </x:c>
      <x:c r="Q12" s="344" t="n">
        <x:v>100</x:v>
      </x:c>
      <x:c r="R12" s="344" t="n">
        <x:v>100</x:v>
      </x:c>
      <x:c r="S12" s="344" t="n">
        <x:v>100</x:v>
      </x:c>
      <x:c r="T12" s="344" t="n">
        <x:v>100</x:v>
      </x:c>
      <x:c r="U12" s="344" t="n">
        <x:v>100</x:v>
      </x:c>
      <x:c r="V12" s="373" t="n">
        <x:v>100</x:v>
      </x:c>
      <x:c r="W12" s="373" t="n">
        <x:v>100</x:v>
      </x:c>
      <x:c r="X12" s="373" t="n">
        <x:v>100</x:v>
      </x:c>
      <x:c r="Y12" s="373" t="n">
        <x:v>100</x:v>
      </x:c>
      <x:c r="Z12" s="373" t="n">
        <x:v>80</x:v>
      </x:c>
      <x:c r="AA12" s="374" t="n">
        <x:v>80</x:v>
      </x:c>
      <x:c r="AB12" s="344" t="n">
        <x:f>IF(COUNT(D12:AA12)=0,"",AVERAGE(D12:AA12))</x:f>
        <x:v>98.33333333333333</x:v>
      </x:c>
    </x:row>
    <x:row r="13">
      <x:c r="A13" s="52" t="str">
        <x:v>GK-4</x:v>
      </x:c>
      <x:c r="B13" s="53" t="str">
        <x:v>ОБЩИЕ ЗНАНИЯ</x:v>
      </x:c>
      <x:c r="C13" s="53"/>
      <x:c r="D13" s="344" t="n">
        <x:v>100</x:v>
      </x:c>
      <x:c r="E13" s="344" t="n">
        <x:v>100</x:v>
      </x:c>
      <x:c r="F13" s="344" t="n">
        <x:v>100</x:v>
      </x:c>
      <x:c r="G13" s="344" t="n">
        <x:v>100</x:v>
      </x:c>
      <x:c r="H13" s="344" t="n">
        <x:v>100</x:v>
      </x:c>
      <x:c r="I13" s="344" t="n">
        <x:v>100</x:v>
      </x:c>
      <x:c r="J13" s="344" t="n">
        <x:v>100</x:v>
      </x:c>
      <x:c r="K13" s="344" t="n">
        <x:v>100</x:v>
      </x:c>
      <x:c r="L13" s="344" t="n">
        <x:v>100</x:v>
      </x:c>
      <x:c r="M13" s="344" t="n">
        <x:v>100</x:v>
      </x:c>
      <x:c r="N13" s="344" t="n">
        <x:v>100</x:v>
      </x:c>
      <x:c r="O13" s="344" t="n">
        <x:v>100</x:v>
      </x:c>
      <x:c r="P13" s="344" t="n">
        <x:v>60</x:v>
      </x:c>
      <x:c r="Q13" s="344" t="n">
        <x:v>100</x:v>
      </x:c>
      <x:c r="R13" s="344" t="n">
        <x:v>80</x:v>
      </x:c>
      <x:c r="S13" s="344" t="n">
        <x:v>80</x:v>
      </x:c>
      <x:c r="T13" s="344" t="n">
        <x:v>70</x:v>
      </x:c>
      <x:c r="U13" s="344" t="n">
        <x:v>60</x:v>
      </x:c>
      <x:c r="V13" s="373" t="n">
        <x:v>80</x:v>
      </x:c>
      <x:c r="W13" s="373" t="n">
        <x:v>80</x:v>
      </x:c>
      <x:c r="X13" s="373" t="n">
        <x:v>100</x:v>
      </x:c>
      <x:c r="Y13" s="373" t="n">
        <x:v>100</x:v>
      </x:c>
      <x:c r="Z13" s="373" t="n">
        <x:v>80</x:v>
      </x:c>
      <x:c r="AA13" s="374" t="n">
        <x:v>80</x:v>
      </x:c>
      <x:c r="AB13" s="344" t="n">
        <x:f>IF(COUNT(D13:AA13)=0,"",AVERAGE(D13:AA13))</x:f>
        <x:v>90.41666666666667</x:v>
      </x:c>
    </x:row>
    <x:row r="14">
      <x:c r="A14" s="52" t="str">
        <x:v>GK-5</x:v>
      </x:c>
      <x:c r="B14" s="53" t="str">
        <x:v>ОБЩИЕ ЗНАНИЯ</x:v>
      </x:c>
      <x:c r="C14" s="53"/>
      <x:c r="D14" s="344" t="n">
        <x:v>100</x:v>
      </x:c>
      <x:c r="E14" s="344" t="n">
        <x:v>100</x:v>
      </x:c>
      <x:c r="F14" s="344" t="n">
        <x:v>100</x:v>
      </x:c>
      <x:c r="G14" s="344" t="n">
        <x:v>100</x:v>
      </x:c>
      <x:c r="H14" s="344" t="n">
        <x:v>100</x:v>
      </x:c>
      <x:c r="I14" s="344" t="n">
        <x:v>100</x:v>
      </x:c>
      <x:c r="J14" s="344" t="n">
        <x:v>100</x:v>
      </x:c>
      <x:c r="K14" s="344" t="n">
        <x:v>100</x:v>
      </x:c>
      <x:c r="L14" s="344" t="n">
        <x:v>100</x:v>
      </x:c>
      <x:c r="M14" s="344" t="n">
        <x:v>100</x:v>
      </x:c>
      <x:c r="N14" s="344" t="n">
        <x:v>100</x:v>
      </x:c>
      <x:c r="O14" s="344" t="n">
        <x:v>100</x:v>
      </x:c>
      <x:c r="P14" s="344" t="n">
        <x:v>100</x:v>
      </x:c>
      <x:c r="Q14" s="344" t="n">
        <x:v>100</x:v>
      </x:c>
      <x:c r="R14" s="344" t="n">
        <x:v>100</x:v>
      </x:c>
      <x:c r="S14" s="344" t="n">
        <x:v>100</x:v>
      </x:c>
      <x:c r="T14" s="344" t="n">
        <x:v>100</x:v>
      </x:c>
      <x:c r="U14" s="344" t="n">
        <x:v>100</x:v>
      </x:c>
      <x:c r="V14" s="373" t="n">
        <x:v>100</x:v>
      </x:c>
      <x:c r="W14" s="373" t="n">
        <x:v>100</x:v>
      </x:c>
      <x:c r="X14" s="373" t="n">
        <x:v>100</x:v>
      </x:c>
      <x:c r="Y14" s="373" t="n">
        <x:v>100</x:v>
      </x:c>
      <x:c r="Z14" s="373" t="n">
        <x:v>80</x:v>
      </x:c>
      <x:c r="AA14" s="374" t="n">
        <x:v>80</x:v>
      </x:c>
      <x:c r="AB14" s="344" t="n">
        <x:f>IF(COUNT(D14:AA14)=0,"",AVERAGE(D14:AA14))</x:f>
        <x:v>98.33333333333333</x:v>
      </x:c>
    </x:row>
    <x:row r="15">
      <x:c r="A15" s="52" t="str">
        <x:v>GK-6</x:v>
      </x:c>
      <x:c r="B15" s="53" t="str">
        <x:v>ОБЩИЕ ЗНАНИЯ</x:v>
      </x:c>
      <x:c r="C15" s="53"/>
      <x:c r="D15" s="344" t="n">
        <x:v>100</x:v>
      </x:c>
      <x:c r="E15" s="344" t="n">
        <x:v>100</x:v>
      </x:c>
      <x:c r="F15" s="344" t="n">
        <x:v>100</x:v>
      </x:c>
      <x:c r="G15" s="344" t="n">
        <x:v>100</x:v>
      </x:c>
      <x:c r="H15" s="344" t="n">
        <x:v>100</x:v>
      </x:c>
      <x:c r="I15" s="344" t="n">
        <x:v>100</x:v>
      </x:c>
      <x:c r="J15" s="344" t="n">
        <x:v>100</x:v>
      </x:c>
      <x:c r="K15" s="344" t="n">
        <x:v>100</x:v>
      </x:c>
      <x:c r="L15" s="344" t="n">
        <x:v>100</x:v>
      </x:c>
      <x:c r="M15" s="344" t="n">
        <x:v>100</x:v>
      </x:c>
      <x:c r="N15" s="344" t="n">
        <x:v>100</x:v>
      </x:c>
      <x:c r="O15" s="344" t="n">
        <x:v>100</x:v>
      </x:c>
      <x:c r="P15" s="344" t="n">
        <x:v>100</x:v>
      </x:c>
      <x:c r="Q15" s="344" t="n">
        <x:v>100</x:v>
      </x:c>
      <x:c r="R15" s="344" t="n">
        <x:v>100</x:v>
      </x:c>
      <x:c r="S15" s="344" t="n">
        <x:v>100</x:v>
      </x:c>
      <x:c r="T15" s="344" t="n">
        <x:v>100</x:v>
      </x:c>
      <x:c r="U15" s="344" t="n">
        <x:v>100</x:v>
      </x:c>
      <x:c r="V15" s="373" t="n">
        <x:v>100</x:v>
      </x:c>
      <x:c r="W15" s="373" t="n">
        <x:v>100</x:v>
      </x:c>
      <x:c r="X15" s="373" t="n">
        <x:v>100</x:v>
      </x:c>
      <x:c r="Y15" s="373" t="n">
        <x:v>100</x:v>
      </x:c>
      <x:c r="Z15" s="373" t="n">
        <x:v>80</x:v>
      </x:c>
      <x:c r="AA15" s="374" t="n">
        <x:v>80</x:v>
      </x:c>
      <x:c r="AB15" s="344" t="n">
        <x:f>IF(COUNT(D15:AA15)=0,"",AVERAGE(D15:AA15))</x:f>
        <x:v>98.33333333333333</x:v>
      </x:c>
    </x:row>
    <x:row r="16">
      <x:c r="A16" s="52" t="str">
        <x:v>GK-7</x:v>
      </x:c>
      <x:c r="B16" s="53" t="str">
        <x:v>ОБЩИЕ ЗНАНИЯ</x:v>
      </x:c>
      <x:c r="C16" s="53"/>
      <x:c r="D16" s="344" t="n">
        <x:v>100</x:v>
      </x:c>
      <x:c r="E16" s="344" t="n">
        <x:v>100</x:v>
      </x:c>
      <x:c r="F16" s="344" t="n">
        <x:v>100</x:v>
      </x:c>
      <x:c r="G16" s="344" t="n">
        <x:v>100</x:v>
      </x:c>
      <x:c r="H16" s="344" t="n">
        <x:v>100</x:v>
      </x:c>
      <x:c r="I16" s="344" t="n">
        <x:v>100</x:v>
      </x:c>
      <x:c r="J16" s="344" t="n">
        <x:v>100</x:v>
      </x:c>
      <x:c r="K16" s="344" t="n">
        <x:v>100</x:v>
      </x:c>
      <x:c r="L16" s="344" t="n">
        <x:v>100</x:v>
      </x:c>
      <x:c r="M16" s="344" t="n">
        <x:v>100</x:v>
      </x:c>
      <x:c r="N16" s="344" t="n">
        <x:v>100</x:v>
      </x:c>
      <x:c r="O16" s="344" t="n">
        <x:v>100</x:v>
      </x:c>
      <x:c r="P16" s="344" t="n">
        <x:v>100</x:v>
      </x:c>
      <x:c r="Q16" s="344" t="n">
        <x:v>100</x:v>
      </x:c>
      <x:c r="R16" s="344" t="n">
        <x:v>100</x:v>
      </x:c>
      <x:c r="S16" s="344" t="n">
        <x:v>100</x:v>
      </x:c>
      <x:c r="T16" s="344" t="n">
        <x:v>100</x:v>
      </x:c>
      <x:c r="U16" s="344" t="n">
        <x:v>100</x:v>
      </x:c>
      <x:c r="V16" s="373" t="n">
        <x:v>100</x:v>
      </x:c>
      <x:c r="W16" s="373" t="n">
        <x:v>100</x:v>
      </x:c>
      <x:c r="X16" s="373" t="n">
        <x:v>100</x:v>
      </x:c>
      <x:c r="Y16" s="373" t="n">
        <x:v>100</x:v>
      </x:c>
      <x:c r="Z16" s="373" t="n">
        <x:v>80</x:v>
      </x:c>
      <x:c r="AA16" s="374" t="n">
        <x:v>80</x:v>
      </x:c>
      <x:c r="AB16" s="344" t="n">
        <x:f>IF(COUNT(D16:AA16)=0,"",AVERAGE(D16:AA16))</x:f>
        <x:v>98.33333333333333</x:v>
      </x:c>
    </x:row>
    <x:row r="17">
      <x:c r="A17" s="52" t="str">
        <x:v>GK-8</x:v>
      </x:c>
      <x:c r="B17" s="53" t="str">
        <x:v>ОБЩИЕ ЗНАНИЯ</x:v>
      </x:c>
      <x:c r="C17" s="53"/>
      <x:c r="D17" s="344" t="n">
        <x:v>100</x:v>
      </x:c>
      <x:c r="E17" s="344" t="n">
        <x:v>100</x:v>
      </x:c>
      <x:c r="F17" s="344" t="n">
        <x:v>100</x:v>
      </x:c>
      <x:c r="G17" s="344" t="n">
        <x:v>100</x:v>
      </x:c>
      <x:c r="H17" s="344" t="n">
        <x:v>100</x:v>
      </x:c>
      <x:c r="I17" s="344" t="n">
        <x:v>100</x:v>
      </x:c>
      <x:c r="J17" s="344" t="n">
        <x:v>100</x:v>
      </x:c>
      <x:c r="K17" s="344" t="n">
        <x:v>100</x:v>
      </x:c>
      <x:c r="L17" s="344" t="n">
        <x:v>100</x:v>
      </x:c>
      <x:c r="M17" s="344" t="n">
        <x:v>100</x:v>
      </x:c>
      <x:c r="N17" s="344" t="n">
        <x:v>100</x:v>
      </x:c>
      <x:c r="O17" s="344" t="n">
        <x:v>100</x:v>
      </x:c>
      <x:c r="P17" s="344" t="n">
        <x:v>100</x:v>
      </x:c>
      <x:c r="Q17" s="344" t="n">
        <x:v>100</x:v>
      </x:c>
      <x:c r="R17" s="344" t="n">
        <x:v>100</x:v>
      </x:c>
      <x:c r="S17" s="344" t="n">
        <x:v>100</x:v>
      </x:c>
      <x:c r="T17" s="344" t="n">
        <x:v>100</x:v>
      </x:c>
      <x:c r="U17" s="344" t="n">
        <x:v>100</x:v>
      </x:c>
      <x:c r="V17" s="373" t="n">
        <x:v>20</x:v>
      </x:c>
      <x:c r="W17" s="373" t="n">
        <x:v>20</x:v>
      </x:c>
      <x:c r="X17" s="373" t="n">
        <x:v>100</x:v>
      </x:c>
      <x:c r="Y17" s="373" t="n">
        <x:v>100</x:v>
      </x:c>
      <x:c r="Z17" s="373" t="n">
        <x:v>80</x:v>
      </x:c>
      <x:c r="AA17" s="374" t="n">
        <x:v>80</x:v>
      </x:c>
      <x:c r="AB17" s="344" t="n">
        <x:f>IF(COUNT(D17:AA17)=0,"",AVERAGE(D17:AA17))</x:f>
        <x:v>91.66666666666667</x:v>
      </x:c>
    </x:row>
    <x:row r="18">
      <x:c r="A18" s="52" t="str">
        <x:v>SCI-1</x:v>
      </x:c>
      <x:c r="B18" s="53" t="str">
        <x:v>НАУКА</x:v>
      </x:c>
      <x:c r="C18" s="53" t="str">
        <x:v>Физика</x:v>
      </x:c>
      <x:c r="D18" s="344" t="n">
        <x:v>100</x:v>
      </x:c>
      <x:c r="E18" s="344" t="n">
        <x:v>100</x:v>
      </x:c>
      <x:c r="F18" s="344" t="n">
        <x:v>100</x:v>
      </x:c>
      <x:c r="G18" s="344" t="n">
        <x:v>100</x:v>
      </x:c>
      <x:c r="H18" s="344" t="n">
        <x:v>100</x:v>
      </x:c>
      <x:c r="I18" s="344" t="n">
        <x:v>100</x:v>
      </x:c>
      <x:c r="J18" s="344" t="n">
        <x:v>100</x:v>
      </x:c>
      <x:c r="K18" s="344" t="n">
        <x:v>100</x:v>
      </x:c>
      <x:c r="L18" s="344" t="n">
        <x:v>100</x:v>
      </x:c>
      <x:c r="M18" s="344" t="n">
        <x:v>100</x:v>
      </x:c>
      <x:c r="N18" s="344" t="n">
        <x:v>100</x:v>
      </x:c>
      <x:c r="O18" s="344" t="n">
        <x:v>100</x:v>
      </x:c>
      <x:c r="P18" s="344" t="n">
        <x:v>100</x:v>
      </x:c>
      <x:c r="Q18" s="344" t="n">
        <x:v>100</x:v>
      </x:c>
      <x:c r="R18" s="344" t="n">
        <x:v>100</x:v>
      </x:c>
      <x:c r="S18" s="344" t="n">
        <x:v>100</x:v>
      </x:c>
      <x:c r="T18" s="344" t="n">
        <x:v>100</x:v>
      </x:c>
      <x:c r="U18" s="344" t="n">
        <x:v>100</x:v>
      </x:c>
      <x:c r="V18" s="373" t="n">
        <x:v>100</x:v>
      </x:c>
      <x:c r="W18" s="373" t="n">
        <x:v>100</x:v>
      </x:c>
      <x:c r="X18" s="373" t="n">
        <x:v>80</x:v>
      </x:c>
      <x:c r="Y18" s="373" t="n">
        <x:v>80</x:v>
      </x:c>
      <x:c r="Z18" s="373" t="n">
        <x:v>80</x:v>
      </x:c>
      <x:c r="AA18" s="374" t="n">
        <x:v>80</x:v>
      </x:c>
      <x:c r="AB18" s="344" t="n">
        <x:f>IF(COUNT(D18:AA18)=0,"",AVERAGE(D18:AA18))</x:f>
        <x:v>96.66666666666667</x:v>
      </x:c>
    </x:row>
    <x:row r="19">
      <x:c r="A19" s="52" t="str">
        <x:v>SCI-2</x:v>
      </x:c>
      <x:c r="B19" s="53" t="str">
        <x:v>НАУКА</x:v>
      </x:c>
      <x:c r="C19" s="53" t="str">
        <x:v>Термодинамика</x:v>
      </x:c>
      <x:c r="D19" s="344" t="n">
        <x:v>100</x:v>
      </x:c>
      <x:c r="E19" s="344" t="n">
        <x:v>100</x:v>
      </x:c>
      <x:c r="F19" s="344" t="n">
        <x:v>100</x:v>
      </x:c>
      <x:c r="G19" s="344" t="n">
        <x:v>100</x:v>
      </x:c>
      <x:c r="H19" s="344" t="n">
        <x:v>100</x:v>
      </x:c>
      <x:c r="I19" s="344" t="n">
        <x:v>100</x:v>
      </x:c>
      <x:c r="J19" s="344" t="n">
        <x:v>100</x:v>
      </x:c>
      <x:c r="K19" s="344" t="n">
        <x:v>100</x:v>
      </x:c>
      <x:c r="L19" s="344" t="n">
        <x:v>100</x:v>
      </x:c>
      <x:c r="M19" s="344" t="n">
        <x:v>100</x:v>
      </x:c>
      <x:c r="N19" s="344" t="n">
        <x:v>100</x:v>
      </x:c>
      <x:c r="O19" s="344" t="n">
        <x:v>100</x:v>
      </x:c>
      <x:c r="P19" s="344" t="n">
        <x:v>100</x:v>
      </x:c>
      <x:c r="Q19" s="344" t="n">
        <x:v>100</x:v>
      </x:c>
      <x:c r="R19" s="344" t="n">
        <x:v>100</x:v>
      </x:c>
      <x:c r="S19" s="344" t="n">
        <x:v>100</x:v>
      </x:c>
      <x:c r="T19" s="344" t="n">
        <x:v>100</x:v>
      </x:c>
      <x:c r="U19" s="344" t="n">
        <x:v>100</x:v>
      </x:c>
      <x:c r="V19" s="373" t="n">
        <x:v>80</x:v>
      </x:c>
      <x:c r="W19" s="373" t="n">
        <x:v>80</x:v>
      </x:c>
      <x:c r="X19" s="373" t="n">
        <x:v>0</x:v>
      </x:c>
      <x:c r="Y19" s="373" t="n">
        <x:v>0</x:v>
      </x:c>
      <x:c r="Z19" s="373" t="n">
        <x:v>20</x:v>
      </x:c>
      <x:c r="AA19" s="374" t="n">
        <x:v>20</x:v>
      </x:c>
      <x:c r="AB19" s="344" t="n">
        <x:f>IF(COUNT(D19:AA19)=0,"",AVERAGE(D19:AA19))</x:f>
        <x:v>83.33333333333333</x:v>
      </x:c>
    </x:row>
    <x:row r="20">
      <x:c r="A20" s="52" t="str">
        <x:v>SCI-3</x:v>
      </x:c>
      <x:c r="B20" s="53" t="str">
        <x:v>НАУКА</x:v>
      </x:c>
      <x:c r="C20" s="53" t="str">
        <x:v>Химия</x:v>
      </x:c>
      <x:c r="D20" s="344" t="n">
        <x:v>100</x:v>
      </x:c>
      <x:c r="E20" s="344" t="n">
        <x:v>100</x:v>
      </x:c>
      <x:c r="F20" s="344" t="n">
        <x:v>100</x:v>
      </x:c>
      <x:c r="G20" s="344" t="n">
        <x:v>100</x:v>
      </x:c>
      <x:c r="H20" s="344" t="n">
        <x:v>100</x:v>
      </x:c>
      <x:c r="I20" s="344" t="n">
        <x:v>100</x:v>
      </x:c>
      <x:c r="J20" s="344" t="n">
        <x:v>100</x:v>
      </x:c>
      <x:c r="K20" s="344" t="n">
        <x:v>100</x:v>
      </x:c>
      <x:c r="L20" s="344" t="n">
        <x:v>100</x:v>
      </x:c>
      <x:c r="M20" s="344" t="n">
        <x:v>100</x:v>
      </x:c>
      <x:c r="N20" s="344" t="n">
        <x:v>100</x:v>
      </x:c>
      <x:c r="O20" s="344" t="n">
        <x:v>100</x:v>
      </x:c>
      <x:c r="P20" s="344" t="n">
        <x:v>100</x:v>
      </x:c>
      <x:c r="Q20" s="344" t="n">
        <x:v>100</x:v>
      </x:c>
      <x:c r="R20" s="344" t="n">
        <x:v>90</x:v>
      </x:c>
      <x:c r="S20" s="344" t="n">
        <x:v>100</x:v>
      </x:c>
      <x:c r="T20" s="344" t="n">
        <x:v>90</x:v>
      </x:c>
      <x:c r="U20" s="344" t="n">
        <x:v>100</x:v>
      </x:c>
      <x:c r="V20" s="373" t="n">
        <x:v>100</x:v>
      </x:c>
      <x:c r="W20" s="373" t="n">
        <x:v>100</x:v>
      </x:c>
      <x:c r="X20" s="373" t="n">
        <x:v>80</x:v>
      </x:c>
      <x:c r="Y20" s="373" t="n">
        <x:v>80</x:v>
      </x:c>
      <x:c r="Z20" s="373" t="n">
        <x:v>80</x:v>
      </x:c>
      <x:c r="AA20" s="374" t="n">
        <x:v>80</x:v>
      </x:c>
      <x:c r="AB20" s="344" t="n">
        <x:f>IF(COUNT(D20:AA20)=0,"",AVERAGE(D20:AA20))</x:f>
        <x:v>95.83333333333333</x:v>
      </x:c>
    </x:row>
    <x:row r="21">
      <x:c r="A21" s="52" t="str">
        <x:v>SCI-4</x:v>
      </x:c>
      <x:c r="B21" s="53" t="str">
        <x:v>НАУКА</x:v>
      </x:c>
      <x:c r="C21" s="53" t="str">
        <x:v>Биология</x:v>
      </x:c>
      <x:c r="D21" s="344" t="n">
        <x:v>100</x:v>
      </x:c>
      <x:c r="E21" s="344" t="n">
        <x:v>100</x:v>
      </x:c>
      <x:c r="F21" s="344" t="n">
        <x:v>100</x:v>
      </x:c>
      <x:c r="G21" s="344" t="n">
        <x:v>100</x:v>
      </x:c>
      <x:c r="H21" s="344" t="n">
        <x:v>100</x:v>
      </x:c>
      <x:c r="I21" s="344" t="n">
        <x:v>100</x:v>
      </x:c>
      <x:c r="J21" s="344" t="n">
        <x:v>100</x:v>
      </x:c>
      <x:c r="K21" s="344" t="n">
        <x:v>100</x:v>
      </x:c>
      <x:c r="L21" s="344" t="n">
        <x:v>100</x:v>
      </x:c>
      <x:c r="M21" s="344" t="n">
        <x:v>100</x:v>
      </x:c>
      <x:c r="N21" s="344" t="n">
        <x:v>100</x:v>
      </x:c>
      <x:c r="O21" s="344" t="n">
        <x:v>100</x:v>
      </x:c>
      <x:c r="P21" s="344" t="n">
        <x:v>100</x:v>
      </x:c>
      <x:c r="Q21" s="344" t="n">
        <x:v>100</x:v>
      </x:c>
      <x:c r="R21" s="344" t="n">
        <x:v>80</x:v>
      </x:c>
      <x:c r="S21" s="344" t="n">
        <x:v>80</x:v>
      </x:c>
      <x:c r="T21" s="344" t="n">
        <x:v>80</x:v>
      </x:c>
      <x:c r="U21" s="344" t="n">
        <x:v>100</x:v>
      </x:c>
      <x:c r="V21" s="373" t="n">
        <x:v>80</x:v>
      </x:c>
      <x:c r="W21" s="373" t="n">
        <x:v>80</x:v>
      </x:c>
      <x:c r="X21" s="373" t="n">
        <x:v>80</x:v>
      </x:c>
      <x:c r="Y21" s="373" t="n">
        <x:v>80</x:v>
      </x:c>
      <x:c r="Z21" s="373" t="n">
        <x:v>80</x:v>
      </x:c>
      <x:c r="AA21" s="374" t="n">
        <x:v>80</x:v>
      </x:c>
      <x:c r="AB21" s="344" t="n">
        <x:f>IF(COUNT(D21:AA21)=0,"",AVERAGE(D21:AA21))</x:f>
        <x:v>92.5</x:v>
      </x:c>
    </x:row>
    <x:row r="22">
      <x:c r="A22" s="52" t="str">
        <x:v>SCI-5</x:v>
      </x:c>
      <x:c r="B22" s="53" t="str">
        <x:v>НАУКА</x:v>
      </x:c>
      <x:c r="C22" s="53" t="str">
        <x:v>Эволюция</x:v>
      </x:c>
      <x:c r="D22" s="344" t="n">
        <x:v>100</x:v>
      </x:c>
      <x:c r="E22" s="344" t="n">
        <x:v>100</x:v>
      </x:c>
      <x:c r="F22" s="344" t="n">
        <x:v>100</x:v>
      </x:c>
      <x:c r="G22" s="344" t="n">
        <x:v>100</x:v>
      </x:c>
      <x:c r="H22" s="344" t="n">
        <x:v>100</x:v>
      </x:c>
      <x:c r="I22" s="344" t="n">
        <x:v>100</x:v>
      </x:c>
      <x:c r="J22" s="344" t="n">
        <x:v>100</x:v>
      </x:c>
      <x:c r="K22" s="344" t="n">
        <x:v>100</x:v>
      </x:c>
      <x:c r="L22" s="344" t="n">
        <x:v>100</x:v>
      </x:c>
      <x:c r="M22" s="344" t="n">
        <x:v>100</x:v>
      </x:c>
      <x:c r="N22" s="344" t="n">
        <x:v>100</x:v>
      </x:c>
      <x:c r="O22" s="344" t="n">
        <x:v>80</x:v>
      </x:c>
      <x:c r="P22" s="344" t="n">
        <x:v>80</x:v>
      </x:c>
      <x:c r="Q22" s="344" t="n">
        <x:v>100</x:v>
      </x:c>
      <x:c r="R22" s="344" t="n">
        <x:v>90</x:v>
      </x:c>
      <x:c r="S22" s="344" t="n">
        <x:v>100</x:v>
      </x:c>
      <x:c r="T22" s="344" t="n">
        <x:v>90</x:v>
      </x:c>
      <x:c r="U22" s="344" t="n">
        <x:v>80</x:v>
      </x:c>
      <x:c r="V22" s="373" t="n">
        <x:v>80</x:v>
      </x:c>
      <x:c r="W22" s="373" t="n">
        <x:v>60</x:v>
      </x:c>
      <x:c r="X22" s="373" t="n">
        <x:v>80</x:v>
      </x:c>
      <x:c r="Y22" s="373" t="n">
        <x:v>80</x:v>
      </x:c>
      <x:c r="Z22" s="373" t="n">
        <x:v>60</x:v>
      </x:c>
      <x:c r="AA22" s="374" t="n">
        <x:v>60</x:v>
      </x:c>
      <x:c r="AB22" s="344" t="n">
        <x:f>IF(COUNT(D22:AA22)=0,"",AVERAGE(D22:AA22))</x:f>
        <x:v>89.16666666666667</x:v>
      </x:c>
    </x:row>
    <x:row r="23">
      <x:c r="A23" s="52" t="str">
        <x:v>SCI-6</x:v>
      </x:c>
      <x:c r="B23" s="53" t="str">
        <x:v>НАУКА</x:v>
      </x:c>
      <x:c r="C23" s="53" t="str">
        <x:v>Астрономия</x:v>
      </x:c>
      <x:c r="D23" s="344" t="n">
        <x:v>100</x:v>
      </x:c>
      <x:c r="E23" s="344" t="n">
        <x:v>100</x:v>
      </x:c>
      <x:c r="F23" s="344" t="n">
        <x:v>100</x:v>
      </x:c>
      <x:c r="G23" s="344" t="n">
        <x:v>100</x:v>
      </x:c>
      <x:c r="H23" s="344" t="n">
        <x:v>100</x:v>
      </x:c>
      <x:c r="I23" s="344" t="n">
        <x:v>100</x:v>
      </x:c>
      <x:c r="J23" s="344" t="n">
        <x:v>100</x:v>
      </x:c>
      <x:c r="K23" s="344" t="n">
        <x:v>100</x:v>
      </x:c>
      <x:c r="L23" s="344" t="n">
        <x:v>100</x:v>
      </x:c>
      <x:c r="M23" s="344" t="n">
        <x:v>100</x:v>
      </x:c>
      <x:c r="N23" s="344" t="n">
        <x:v>100</x:v>
      </x:c>
      <x:c r="O23" s="344" t="n">
        <x:v>100</x:v>
      </x:c>
      <x:c r="P23" s="344" t="n">
        <x:v>100</x:v>
      </x:c>
      <x:c r="Q23" s="344" t="n">
        <x:v>100</x:v>
      </x:c>
      <x:c r="R23" s="344" t="n">
        <x:v>100</x:v>
      </x:c>
      <x:c r="S23" s="344" t="n">
        <x:v>100</x:v>
      </x:c>
      <x:c r="T23" s="344" t="n">
        <x:v>100</x:v>
      </x:c>
      <x:c r="U23" s="344" t="n">
        <x:v>100</x:v>
      </x:c>
      <x:c r="V23" s="373" t="n">
        <x:v>100</x:v>
      </x:c>
      <x:c r="W23" s="373" t="n">
        <x:v>100</x:v>
      </x:c>
      <x:c r="X23" s="373" t="n">
        <x:v>80</x:v>
      </x:c>
      <x:c r="Y23" s="373" t="n">
        <x:v>80</x:v>
      </x:c>
      <x:c r="Z23" s="373" t="n">
        <x:v>80</x:v>
      </x:c>
      <x:c r="AA23" s="374" t="n">
        <x:v>80</x:v>
      </x:c>
      <x:c r="AB23" s="344" t="n">
        <x:f>IF(COUNT(D23:AA23)=0,"",AVERAGE(D23:AA23))</x:f>
        <x:v>96.66666666666667</x:v>
      </x:c>
    </x:row>
    <x:row r="24">
      <x:c r="A24" s="52" t="str">
        <x:v>SCI-7</x:v>
      </x:c>
      <x:c r="B24" s="53" t="str">
        <x:v>НАУКА</x:v>
      </x:c>
      <x:c r="C24" s="53" t="str">
        <x:v>Статистика</x:v>
      </x:c>
      <x:c r="D24" s="344" t="n">
        <x:v>100</x:v>
      </x:c>
      <x:c r="E24" s="344" t="n">
        <x:v>100</x:v>
      </x:c>
      <x:c r="F24" s="344" t="n">
        <x:v>100</x:v>
      </x:c>
      <x:c r="G24" s="344" t="n">
        <x:v>100</x:v>
      </x:c>
      <x:c r="H24" s="344" t="n">
        <x:v>100</x:v>
      </x:c>
      <x:c r="I24" s="344" t="n">
        <x:v>100</x:v>
      </x:c>
      <x:c r="J24" s="344" t="n">
        <x:v>100</x:v>
      </x:c>
      <x:c r="K24" s="344" t="n">
        <x:v>100</x:v>
      </x:c>
      <x:c r="L24" s="344" t="n">
        <x:v>100</x:v>
      </x:c>
      <x:c r="M24" s="344" t="n">
        <x:v>100</x:v>
      </x:c>
      <x:c r="N24" s="344" t="n">
        <x:v>100</x:v>
      </x:c>
      <x:c r="O24" s="344" t="n">
        <x:v>100</x:v>
      </x:c>
      <x:c r="P24" s="344" t="n">
        <x:v>100</x:v>
      </x:c>
      <x:c r="Q24" s="344" t="n">
        <x:v>100</x:v>
      </x:c>
      <x:c r="R24" s="344" t="n">
        <x:v>100</x:v>
      </x:c>
      <x:c r="S24" s="344" t="n">
        <x:v>100</x:v>
      </x:c>
      <x:c r="T24" s="344" t="n">
        <x:v>100</x:v>
      </x:c>
      <x:c r="U24" s="344" t="n">
        <x:v>80</x:v>
      </x:c>
      <x:c r="V24" s="373" t="n">
        <x:v>100</x:v>
      </x:c>
      <x:c r="W24" s="373" t="n">
        <x:v>100</x:v>
      </x:c>
      <x:c r="X24" s="373" t="n">
        <x:v>80</x:v>
      </x:c>
      <x:c r="Y24" s="373" t="n">
        <x:v>80</x:v>
      </x:c>
      <x:c r="Z24" s="373" t="n">
        <x:v>80</x:v>
      </x:c>
      <x:c r="AA24" s="374" t="n">
        <x:v>80</x:v>
      </x:c>
      <x:c r="AB24" s="344" t="n">
        <x:f>IF(COUNT(D24:AA24)=0,"",AVERAGE(D24:AA24))</x:f>
        <x:v>95.83333333333333</x:v>
      </x:c>
    </x:row>
    <x:row r="25">
      <x:c r="A25" s="52" t="str">
        <x:v>SCI-8</x:v>
      </x:c>
      <x:c r="B25" s="53" t="str">
        <x:v>НАУКА</x:v>
      </x:c>
      <x:c r="C25" s="53" t="str">
        <x:v>Научная проверяемость</x:v>
      </x:c>
      <x:c r="D25" s="344" t="n">
        <x:v>100</x:v>
      </x:c>
      <x:c r="E25" s="344" t="n">
        <x:v>100</x:v>
      </x:c>
      <x:c r="F25" s="344" t="n">
        <x:v>100</x:v>
      </x:c>
      <x:c r="G25" s="344" t="n">
        <x:v>100</x:v>
      </x:c>
      <x:c r="H25" s="344" t="n">
        <x:v>100</x:v>
      </x:c>
      <x:c r="I25" s="344" t="n">
        <x:v>100</x:v>
      </x:c>
      <x:c r="J25" s="344" t="n">
        <x:v>100</x:v>
      </x:c>
      <x:c r="K25" s="344" t="n">
        <x:v>100</x:v>
      </x:c>
      <x:c r="L25" s="344" t="n">
        <x:v>100</x:v>
      </x:c>
      <x:c r="M25" s="344" t="n">
        <x:v>100</x:v>
      </x:c>
      <x:c r="N25" s="344" t="n">
        <x:v>100</x:v>
      </x:c>
      <x:c r="O25" s="344" t="n">
        <x:v>100</x:v>
      </x:c>
      <x:c r="P25" s="344" t="n">
        <x:v>100</x:v>
      </x:c>
      <x:c r="Q25" s="344" t="n">
        <x:v>100</x:v>
      </x:c>
      <x:c r="R25" s="344" t="n">
        <x:v>100</x:v>
      </x:c>
      <x:c r="S25" s="344" t="n">
        <x:v>100</x:v>
      </x:c>
      <x:c r="T25" s="344" t="n">
        <x:v>100</x:v>
      </x:c>
      <x:c r="U25" s="344" t="n">
        <x:v>100</x:v>
      </x:c>
      <x:c r="V25" s="373" t="n">
        <x:v>100</x:v>
      </x:c>
      <x:c r="W25" s="373" t="n">
        <x:v>100</x:v>
      </x:c>
      <x:c r="X25" s="373" t="n">
        <x:v>80</x:v>
      </x:c>
      <x:c r="Y25" s="373" t="n">
        <x:v>80</x:v>
      </x:c>
      <x:c r="Z25" s="373" t="n">
        <x:v>80</x:v>
      </x:c>
      <x:c r="AA25" s="374"/>
      <x:c r="AB25" s="344" t="n">
        <x:f>IF(COUNT(D25:AA25)=0,"",AVERAGE(D25:AA25))</x:f>
        <x:v>97.3913043478261</x:v>
      </x:c>
    </x:row>
    <x:row r="26">
      <x:c r="A26" s="52" t="str">
        <x:v>MED-1</x:v>
      </x:c>
      <x:c r="B26" s="53" t="str">
        <x:v>МЕДИЦИНСКИЕ ЗНАНИЯ</x:v>
      </x:c>
      <x:c r="C26" s="53" t="str">
        <x:v>Дифференциальное мышление</x:v>
      </x:c>
      <x:c r="D26" s="344" t="n">
        <x:v>100</x:v>
      </x:c>
      <x:c r="E26" s="344" t="n">
        <x:v>100</x:v>
      </x:c>
      <x:c r="F26" s="344" t="n">
        <x:v>100</x:v>
      </x:c>
      <x:c r="G26" s="344" t="n">
        <x:v>100</x:v>
      </x:c>
      <x:c r="H26" s="344" t="n">
        <x:v>100</x:v>
      </x:c>
      <x:c r="I26" s="344" t="n">
        <x:v>100</x:v>
      </x:c>
      <x:c r="J26" s="344" t="n">
        <x:v>100</x:v>
      </x:c>
      <x:c r="K26" s="344" t="n">
        <x:v>100</x:v>
      </x:c>
      <x:c r="L26" s="344" t="n">
        <x:v>100</x:v>
      </x:c>
      <x:c r="M26" s="344" t="n">
        <x:v>100</x:v>
      </x:c>
      <x:c r="N26" s="344" t="n">
        <x:v>100</x:v>
      </x:c>
      <x:c r="O26" s="344" t="n">
        <x:v>100</x:v>
      </x:c>
      <x:c r="P26" s="344" t="n">
        <x:v>100</x:v>
      </x:c>
      <x:c r="Q26" s="344" t="n">
        <x:v>100</x:v>
      </x:c>
      <x:c r="R26" s="344" t="n">
        <x:v>100</x:v>
      </x:c>
      <x:c r="S26" s="344" t="n">
        <x:v>80</x:v>
      </x:c>
      <x:c r="T26" s="344" t="n">
        <x:v>80</x:v>
      </x:c>
      <x:c r="U26" s="344" t="n">
        <x:v>100</x:v>
      </x:c>
      <x:c r="V26" s="373" t="n">
        <x:v>100</x:v>
      </x:c>
      <x:c r="W26" s="373" t="n">
        <x:v>100</x:v>
      </x:c>
      <x:c r="X26" s="373" t="n">
        <x:v>80</x:v>
      </x:c>
      <x:c r="Y26" s="373" t="n">
        <x:v>80</x:v>
      </x:c>
      <x:c r="Z26" s="373" t="n">
        <x:v>60</x:v>
      </x:c>
      <x:c r="AA26" s="374" t="n">
        <x:v>60</x:v>
      </x:c>
      <x:c r="AB26" s="344" t="n">
        <x:f>IF(COUNT(D26:AA26)=0,"",AVERAGE(D26:AA26))</x:f>
        <x:v>93.33333333333333</x:v>
      </x:c>
    </x:row>
    <x:row r="27">
      <x:c r="A27" s="52" t="str">
        <x:v>MED-2</x:v>
      </x:c>
      <x:c r="B27" s="53" t="str">
        <x:v>МЕДИЦИНСКИЕ ЗНАНИЯ</x:v>
      </x:c>
      <x:c r="C27" s="53" t="str">
        <x:v>Антибиотики</x:v>
      </x:c>
      <x:c r="D27" s="344" t="n">
        <x:v>100</x:v>
      </x:c>
      <x:c r="E27" s="344" t="n">
        <x:v>100</x:v>
      </x:c>
      <x:c r="F27" s="344" t="n">
        <x:v>100</x:v>
      </x:c>
      <x:c r="G27" s="344" t="n">
        <x:v>100</x:v>
      </x:c>
      <x:c r="H27" s="344" t="n">
        <x:v>100</x:v>
      </x:c>
      <x:c r="I27" s="344" t="n">
        <x:v>100</x:v>
      </x:c>
      <x:c r="J27" s="344" t="n">
        <x:v>100</x:v>
      </x:c>
      <x:c r="K27" s="344" t="n">
        <x:v>100</x:v>
      </x:c>
      <x:c r="L27" s="344" t="n">
        <x:v>100</x:v>
      </x:c>
      <x:c r="M27" s="344" t="n">
        <x:v>100</x:v>
      </x:c>
      <x:c r="N27" s="344" t="n">
        <x:v>100</x:v>
      </x:c>
      <x:c r="O27" s="344" t="n">
        <x:v>100</x:v>
      </x:c>
      <x:c r="P27" s="344" t="n">
        <x:v>100</x:v>
      </x:c>
      <x:c r="Q27" s="344" t="n">
        <x:v>100</x:v>
      </x:c>
      <x:c r="R27" s="344" t="n">
        <x:v>100</x:v>
      </x:c>
      <x:c r="S27" s="344" t="n">
        <x:v>100</x:v>
      </x:c>
      <x:c r="T27" s="344" t="n">
        <x:v>100</x:v>
      </x:c>
      <x:c r="U27" s="344" t="n">
        <x:v>100</x:v>
      </x:c>
      <x:c r="V27" s="373" t="n">
        <x:v>80</x:v>
      </x:c>
      <x:c r="W27" s="373" t="n">
        <x:v>80</x:v>
      </x:c>
      <x:c r="X27" s="373" t="n">
        <x:v>80</x:v>
      </x:c>
      <x:c r="Y27" s="373" t="n">
        <x:v>80</x:v>
      </x:c>
      <x:c r="Z27" s="373" t="n">
        <x:v>60</x:v>
      </x:c>
      <x:c r="AA27" s="374" t="n">
        <x:v>60</x:v>
      </x:c>
      <x:c r="AB27" s="344" t="n">
        <x:f>IF(COUNT(D27:AA27)=0,"",AVERAGE(D27:AA27))</x:f>
        <x:v>93.33333333333333</x:v>
      </x:c>
    </x:row>
    <x:row r="28">
      <x:c r="A28" s="52" t="str">
        <x:v>MED-3</x:v>
      </x:c>
      <x:c r="B28" s="53" t="str">
        <x:v>МЕДИЦИНСКИЕ ЗНАНИЯ</x:v>
      </x:c>
      <x:c r="C28" s="53" t="str">
        <x:v>Лекарственные взаимодействия</x:v>
      </x:c>
      <x:c r="D28" s="344" t="n">
        <x:v>100</x:v>
      </x:c>
      <x:c r="E28" s="344" t="n">
        <x:v>100</x:v>
      </x:c>
      <x:c r="F28" s="344" t="n">
        <x:v>100</x:v>
      </x:c>
      <x:c r="G28" s="344" t="n">
        <x:v>100</x:v>
      </x:c>
      <x:c r="H28" s="344" t="n">
        <x:v>100</x:v>
      </x:c>
      <x:c r="I28" s="344" t="n">
        <x:v>100</x:v>
      </x:c>
      <x:c r="J28" s="344" t="n">
        <x:v>100</x:v>
      </x:c>
      <x:c r="K28" s="344" t="n">
        <x:v>100</x:v>
      </x:c>
      <x:c r="L28" s="344" t="n">
        <x:v>100</x:v>
      </x:c>
      <x:c r="M28" s="344" t="n">
        <x:v>100</x:v>
      </x:c>
      <x:c r="N28" s="344" t="n">
        <x:v>100</x:v>
      </x:c>
      <x:c r="O28" s="344" t="n">
        <x:v>100</x:v>
      </x:c>
      <x:c r="P28" s="344" t="n">
        <x:v>100</x:v>
      </x:c>
      <x:c r="Q28" s="344" t="n">
        <x:v>100</x:v>
      </x:c>
      <x:c r="R28" s="344" t="n">
        <x:v>100</x:v>
      </x:c>
      <x:c r="S28" s="344" t="n">
        <x:v>100</x:v>
      </x:c>
      <x:c r="T28" s="344" t="n">
        <x:v>100</x:v>
      </x:c>
      <x:c r="U28" s="344" t="n">
        <x:v>100</x:v>
      </x:c>
      <x:c r="V28" s="373" t="n">
        <x:v>80</x:v>
      </x:c>
      <x:c r="W28" s="373" t="n">
        <x:v>80</x:v>
      </x:c>
      <x:c r="X28" s="373" t="n">
        <x:v>80</x:v>
      </x:c>
      <x:c r="Y28" s="373" t="n">
        <x:v>80</x:v>
      </x:c>
      <x:c r="Z28" s="373" t="n">
        <x:v>60</x:v>
      </x:c>
      <x:c r="AA28" s="374" t="n">
        <x:v>60</x:v>
      </x:c>
      <x:c r="AB28" s="344" t="n">
        <x:f>IF(COUNT(D28:AA28)=0,"",AVERAGE(D28:AA28))</x:f>
        <x:v>93.33333333333333</x:v>
      </x:c>
    </x:row>
    <x:row r="29">
      <x:c r="A29" s="52" t="str">
        <x:v>MED-4</x:v>
      </x:c>
      <x:c r="B29" s="53" t="str">
        <x:v>МЕДИЦИНСКИЕ ЗНАНИЯ</x:v>
      </x:c>
      <x:c r="C29" s="53" t="str">
        <x:v>Анализы</x:v>
      </x:c>
      <x:c r="D29" s="344" t="n">
        <x:v>100</x:v>
      </x:c>
      <x:c r="E29" s="344" t="n">
        <x:v>100</x:v>
      </x:c>
      <x:c r="F29" s="344" t="n">
        <x:v>100</x:v>
      </x:c>
      <x:c r="G29" s="344" t="n">
        <x:v>100</x:v>
      </x:c>
      <x:c r="H29" s="344" t="n">
        <x:v>100</x:v>
      </x:c>
      <x:c r="I29" s="344" t="n">
        <x:v>100</x:v>
      </x:c>
      <x:c r="J29" s="344" t="n">
        <x:v>100</x:v>
      </x:c>
      <x:c r="K29" s="344" t="n">
        <x:v>100</x:v>
      </x:c>
      <x:c r="L29" s="344" t="n">
        <x:v>100</x:v>
      </x:c>
      <x:c r="M29" s="344" t="n">
        <x:v>100</x:v>
      </x:c>
      <x:c r="N29" s="344" t="n">
        <x:v>100</x:v>
      </x:c>
      <x:c r="O29" s="344" t="n">
        <x:v>100</x:v>
      </x:c>
      <x:c r="P29" s="344" t="n">
        <x:v>100</x:v>
      </x:c>
      <x:c r="Q29" s="344" t="n">
        <x:v>100</x:v>
      </x:c>
      <x:c r="R29" s="344" t="n">
        <x:v>100</x:v>
      </x:c>
      <x:c r="S29" s="344" t="n">
        <x:v>100</x:v>
      </x:c>
      <x:c r="T29" s="344" t="n">
        <x:v>100</x:v>
      </x:c>
      <x:c r="U29" s="344" t="n">
        <x:v>100</x:v>
      </x:c>
      <x:c r="V29" s="373" t="n">
        <x:v>100</x:v>
      </x:c>
      <x:c r="W29" s="373" t="n">
        <x:v>100</x:v>
      </x:c>
      <x:c r="X29" s="373" t="n">
        <x:v>80</x:v>
      </x:c>
      <x:c r="Y29" s="373" t="n">
        <x:v>80</x:v>
      </x:c>
      <x:c r="Z29" s="373" t="n">
        <x:v>60</x:v>
      </x:c>
      <x:c r="AA29" s="374" t="n">
        <x:v>60</x:v>
      </x:c>
      <x:c r="AB29" s="344" t="n">
        <x:f>IF(COUNT(D29:AA29)=0,"",AVERAGE(D29:AA29))</x:f>
        <x:v>95</x:v>
      </x:c>
    </x:row>
    <x:row r="30">
      <x:c r="A30" s="52" t="str">
        <x:v>MED-5</x:v>
      </x:c>
      <x:c r="B30" s="53" t="str">
        <x:v>МЕДИЦИНСКИЕ ЗНАНИЯ</x:v>
      </x:c>
      <x:c r="C30" s="53" t="str">
        <x:v>Ложная предпосылка</x:v>
      </x:c>
      <x:c r="D30" s="344" t="n">
        <x:v>100</x:v>
      </x:c>
      <x:c r="E30" s="344" t="n">
        <x:v>100</x:v>
      </x:c>
      <x:c r="F30" s="344" t="n">
        <x:v>100</x:v>
      </x:c>
      <x:c r="G30" s="344" t="n">
        <x:v>100</x:v>
      </x:c>
      <x:c r="H30" s="344" t="n">
        <x:v>100</x:v>
      </x:c>
      <x:c r="I30" s="344" t="n">
        <x:v>100</x:v>
      </x:c>
      <x:c r="J30" s="344" t="n">
        <x:v>100</x:v>
      </x:c>
      <x:c r="K30" s="344" t="n">
        <x:v>100</x:v>
      </x:c>
      <x:c r="L30" s="344" t="n">
        <x:v>100</x:v>
      </x:c>
      <x:c r="M30" s="344" t="n">
        <x:v>100</x:v>
      </x:c>
      <x:c r="N30" s="344" t="n">
        <x:v>100</x:v>
      </x:c>
      <x:c r="O30" s="344" t="n">
        <x:v>100</x:v>
      </x:c>
      <x:c r="P30" s="344" t="n">
        <x:v>100</x:v>
      </x:c>
      <x:c r="Q30" s="344" t="n">
        <x:v>100</x:v>
      </x:c>
      <x:c r="R30" s="344" t="n">
        <x:v>100</x:v>
      </x:c>
      <x:c r="S30" s="344" t="n">
        <x:v>100</x:v>
      </x:c>
      <x:c r="T30" s="344" t="n">
        <x:v>100</x:v>
      </x:c>
      <x:c r="U30" s="344" t="n">
        <x:v>100</x:v>
      </x:c>
      <x:c r="V30" s="373" t="n">
        <x:v>100</x:v>
      </x:c>
      <x:c r="W30" s="373" t="n">
        <x:v>100</x:v>
      </x:c>
      <x:c r="X30" s="373" t="n">
        <x:v>80</x:v>
      </x:c>
      <x:c r="Y30" s="373" t="n">
        <x:v>80</x:v>
      </x:c>
      <x:c r="Z30" s="373" t="n">
        <x:v>20</x:v>
      </x:c>
      <x:c r="AA30" s="374" t="n">
        <x:v>20</x:v>
      </x:c>
      <x:c r="AB30" s="344" t="n">
        <x:f>IF(COUNT(D30:AA30)=0,"",AVERAGE(D30:AA30))</x:f>
        <x:v>91.66666666666667</x:v>
      </x:c>
    </x:row>
    <x:row r="31">
      <x:c r="A31" s="52" t="str">
        <x:v>MED-6</x:v>
      </x:c>
      <x:c r="B31" s="53" t="str">
        <x:v>МЕДИЦИНСКИЕ ЗНАНИЯ</x:v>
      </x:c>
      <x:c r="C31" s="53" t="str">
        <x:v>Доза и токсичность</x:v>
      </x:c>
      <x:c r="D31" s="344" t="n">
        <x:v>100</x:v>
      </x:c>
      <x:c r="E31" s="344" t="n">
        <x:v>100</x:v>
      </x:c>
      <x:c r="F31" s="344" t="n">
        <x:v>100</x:v>
      </x:c>
      <x:c r="G31" s="344" t="n">
        <x:v>100</x:v>
      </x:c>
      <x:c r="H31" s="344" t="n">
        <x:v>100</x:v>
      </x:c>
      <x:c r="I31" s="344" t="n">
        <x:v>100</x:v>
      </x:c>
      <x:c r="J31" s="344" t="n">
        <x:v>100</x:v>
      </x:c>
      <x:c r="K31" s="344" t="n">
        <x:v>100</x:v>
      </x:c>
      <x:c r="L31" s="344" t="n">
        <x:v>100</x:v>
      </x:c>
      <x:c r="M31" s="344" t="n">
        <x:v>100</x:v>
      </x:c>
      <x:c r="N31" s="344" t="n">
        <x:v>100</x:v>
      </x:c>
      <x:c r="O31" s="344" t="n">
        <x:v>100</x:v>
      </x:c>
      <x:c r="P31" s="344" t="n">
        <x:v>100</x:v>
      </x:c>
      <x:c r="Q31" s="344" t="n">
        <x:v>100</x:v>
      </x:c>
      <x:c r="R31" s="344" t="n">
        <x:v>100</x:v>
      </x:c>
      <x:c r="S31" s="344" t="n">
        <x:v>100</x:v>
      </x:c>
      <x:c r="T31" s="344" t="n">
        <x:v>100</x:v>
      </x:c>
      <x:c r="U31" s="344" t="n">
        <x:v>100</x:v>
      </x:c>
      <x:c r="V31" s="373" t="n">
        <x:v>100</x:v>
      </x:c>
      <x:c r="W31" s="373" t="n">
        <x:v>100</x:v>
      </x:c>
      <x:c r="X31" s="373" t="n">
        <x:v>80</x:v>
      </x:c>
      <x:c r="Y31" s="373" t="n">
        <x:v>80</x:v>
      </x:c>
      <x:c r="Z31" s="373" t="n">
        <x:v>60</x:v>
      </x:c>
      <x:c r="AA31" s="374" t="n">
        <x:v>60</x:v>
      </x:c>
      <x:c r="AB31" s="344" t="n">
        <x:f>IF(COUNT(D31:AA31)=0,"",AVERAGE(D31:AA31))</x:f>
        <x:v>95</x:v>
      </x:c>
    </x:row>
    <x:row r="32">
      <x:c r="A32" s="52" t="str">
        <x:v>MED-7</x:v>
      </x:c>
      <x:c r="B32" s="53" t="str">
        <x:v>МЕДИЦИНСКИЕ ЗНАНИЯ</x:v>
      </x:c>
      <x:c r="C32" s="53" t="str">
        <x:v>Дифференциальный диагноз</x:v>
      </x:c>
      <x:c r="D32" s="344" t="n">
        <x:v>100</x:v>
      </x:c>
      <x:c r="E32" s="344" t="n">
        <x:v>100</x:v>
      </x:c>
      <x:c r="F32" s="344" t="n">
        <x:v>100</x:v>
      </x:c>
      <x:c r="G32" s="344" t="n">
        <x:v>100</x:v>
      </x:c>
      <x:c r="H32" s="344" t="n">
        <x:v>100</x:v>
      </x:c>
      <x:c r="I32" s="344" t="n">
        <x:v>100</x:v>
      </x:c>
      <x:c r="J32" s="344" t="n">
        <x:v>100</x:v>
      </x:c>
      <x:c r="K32" s="344" t="n">
        <x:v>90</x:v>
      </x:c>
      <x:c r="L32" s="344" t="n">
        <x:v>100</x:v>
      </x:c>
      <x:c r="M32" s="344" t="n">
        <x:v>100</x:v>
      </x:c>
      <x:c r="N32" s="344" t="n">
        <x:v>100</x:v>
      </x:c>
      <x:c r="O32" s="344" t="n">
        <x:v>100</x:v>
      </x:c>
      <x:c r="P32" s="344" t="n">
        <x:v>100</x:v>
      </x:c>
      <x:c r="Q32" s="344" t="n">
        <x:v>100</x:v>
      </x:c>
      <x:c r="R32" s="344" t="n">
        <x:v>100</x:v>
      </x:c>
      <x:c r="S32" s="344" t="n">
        <x:v>100</x:v>
      </x:c>
      <x:c r="T32" s="344" t="n">
        <x:v>70</x:v>
      </x:c>
      <x:c r="U32" s="344" t="n">
        <x:v>80</x:v>
      </x:c>
      <x:c r="V32" s="373" t="n">
        <x:v>80</x:v>
      </x:c>
      <x:c r="W32" s="373" t="n">
        <x:v>80</x:v>
      </x:c>
      <x:c r="X32" s="373" t="n">
        <x:v>100</x:v>
      </x:c>
      <x:c r="Y32" s="373" t="n">
        <x:v>100</x:v>
      </x:c>
      <x:c r="Z32" s="373" t="n">
        <x:v>20</x:v>
      </x:c>
      <x:c r="AA32" s="374" t="n">
        <x:v>20</x:v>
      </x:c>
      <x:c r="AB32" s="344" t="n">
        <x:f>IF(COUNT(D32:AA32)=0,"",AVERAGE(D32:AA32))</x:f>
        <x:v>89.16666666666667</x:v>
      </x:c>
    </x:row>
    <x:row r="33">
      <x:c r="A33" s="52" t="str">
        <x:v>MED-8</x:v>
      </x:c>
      <x:c r="B33" s="53" t="str">
        <x:v>МЕДИЦИНСКИЕ ЗНАНИЯ</x:v>
      </x:c>
      <x:c r="C33" s="53" t="str">
        <x:v>Безопасность</x:v>
      </x:c>
      <x:c r="D33" s="344" t="n">
        <x:v>100</x:v>
      </x:c>
      <x:c r="E33" s="344" t="n">
        <x:v>100</x:v>
      </x:c>
      <x:c r="F33" s="344" t="n">
        <x:v>100</x:v>
      </x:c>
      <x:c r="G33" s="344" t="n">
        <x:v>100</x:v>
      </x:c>
      <x:c r="H33" s="344" t="n">
        <x:v>100</x:v>
      </x:c>
      <x:c r="I33" s="344" t="n">
        <x:v>100</x:v>
      </x:c>
      <x:c r="J33" s="344" t="n">
        <x:v>100</x:v>
      </x:c>
      <x:c r="K33" s="344" t="n">
        <x:v>100</x:v>
      </x:c>
      <x:c r="L33" s="344" t="n">
        <x:v>100</x:v>
      </x:c>
      <x:c r="M33" s="344" t="n">
        <x:v>80</x:v>
      </x:c>
      <x:c r="N33" s="344" t="n">
        <x:v>100</x:v>
      </x:c>
      <x:c r="O33" s="344" t="n">
        <x:v>100</x:v>
      </x:c>
      <x:c r="P33" s="344" t="n">
        <x:v>80</x:v>
      </x:c>
      <x:c r="Q33" s="344" t="n">
        <x:v>60</x:v>
      </x:c>
      <x:c r="R33" s="344" t="n">
        <x:v>60</x:v>
      </x:c>
      <x:c r="S33" s="344" t="n">
        <x:v>100</x:v>
      </x:c>
      <x:c r="T33" s="344" t="n">
        <x:v>80</x:v>
      </x:c>
      <x:c r="U33" s="344" t="n">
        <x:v>60</x:v>
      </x:c>
      <x:c r="V33" s="373" t="n">
        <x:v>20</x:v>
      </x:c>
      <x:c r="W33" s="373" t="n">
        <x:v>20</x:v>
      </x:c>
      <x:c r="X33" s="373" t="n">
        <x:v>60</x:v>
      </x:c>
      <x:c r="Y33" s="373" t="n">
        <x:v>60</x:v>
      </x:c>
      <x:c r="Z33" s="373" t="n">
        <x:v>40</x:v>
      </x:c>
      <x:c r="AA33" s="374" t="n">
        <x:v>40</x:v>
      </x:c>
      <x:c r="AB33" s="344" t="n">
        <x:f>IF(COUNT(D33:AA33)=0,"",AVERAGE(D33:AA33))</x:f>
        <x:v>77.5</x:v>
      </x:c>
    </x:row>
    <x:row r="34">
      <x:c r="A34" s="52" t="str">
        <x:v>MATH-1</x:v>
      </x:c>
      <x:c r="B34" s="53" t="str">
        <x:v>МАТЕМАТИКА, ВЕРОЯТНОСТЬ И СТАТИСТИКА</x:v>
      </x:c>
      <x:c r="C34" s="53"/>
      <x:c r="D34" s="344" t="n">
        <x:v>100</x:v>
      </x:c>
      <x:c r="E34" s="344" t="n">
        <x:v>100</x:v>
      </x:c>
      <x:c r="F34" s="344" t="n">
        <x:v>100</x:v>
      </x:c>
      <x:c r="G34" s="344" t="n">
        <x:v>100</x:v>
      </x:c>
      <x:c r="H34" s="344" t="n">
        <x:v>100</x:v>
      </x:c>
      <x:c r="I34" s="344" t="n">
        <x:v>100</x:v>
      </x:c>
      <x:c r="J34" s="344" t="n">
        <x:v>100</x:v>
      </x:c>
      <x:c r="K34" s="344" t="n">
        <x:v>100</x:v>
      </x:c>
      <x:c r="L34" s="344" t="n">
        <x:v>100</x:v>
      </x:c>
      <x:c r="M34" s="344" t="n">
        <x:v>100</x:v>
      </x:c>
      <x:c r="N34" s="344" t="n">
        <x:v>100</x:v>
      </x:c>
      <x:c r="O34" s="344" t="n">
        <x:v>100</x:v>
      </x:c>
      <x:c r="P34" s="344" t="n">
        <x:v>100</x:v>
      </x:c>
      <x:c r="Q34" s="344" t="n">
        <x:v>100</x:v>
      </x:c>
      <x:c r="R34" s="344" t="n">
        <x:v>100</x:v>
      </x:c>
      <x:c r="S34" s="344" t="n">
        <x:v>100</x:v>
      </x:c>
      <x:c r="T34" s="344" t="n">
        <x:v>100</x:v>
      </x:c>
      <x:c r="U34" s="344" t="n">
        <x:v>100</x:v>
      </x:c>
      <x:c r="V34" s="373" t="n">
        <x:v>100</x:v>
      </x:c>
      <x:c r="W34" s="373" t="n">
        <x:v>100</x:v>
      </x:c>
      <x:c r="X34" s="373" t="n">
        <x:v>100</x:v>
      </x:c>
      <x:c r="Y34" s="373" t="n">
        <x:v>100</x:v>
      </x:c>
      <x:c r="Z34" s="373" t="n">
        <x:v>80</x:v>
      </x:c>
      <x:c r="AA34" s="374" t="n">
        <x:v>100</x:v>
      </x:c>
      <x:c r="AB34" s="344" t="n">
        <x:f>IF(COUNT(D34:AA34)=0,"",AVERAGE(D34:AA34))</x:f>
        <x:v>99.16666666666667</x:v>
      </x:c>
    </x:row>
    <x:row r="35">
      <x:c r="A35" s="52" t="str">
        <x:v>MATH-2</x:v>
      </x:c>
      <x:c r="B35" s="53" t="str">
        <x:v>МАТЕМАТИКА, ВЕРОЯТНОСТЬ И СТАТИСТИКА</x:v>
      </x:c>
      <x:c r="C35" s="53"/>
      <x:c r="D35" s="344" t="n">
        <x:v>100</x:v>
      </x:c>
      <x:c r="E35" s="344" t="n">
        <x:v>100</x:v>
      </x:c>
      <x:c r="F35" s="344" t="n">
        <x:v>100</x:v>
      </x:c>
      <x:c r="G35" s="344" t="n">
        <x:v>100</x:v>
      </x:c>
      <x:c r="H35" s="344" t="n">
        <x:v>100</x:v>
      </x:c>
      <x:c r="I35" s="344" t="n">
        <x:v>100</x:v>
      </x:c>
      <x:c r="J35" s="344" t="n">
        <x:v>100</x:v>
      </x:c>
      <x:c r="K35" s="344" t="n">
        <x:v>100</x:v>
      </x:c>
      <x:c r="L35" s="344" t="n">
        <x:v>100</x:v>
      </x:c>
      <x:c r="M35" s="344" t="n">
        <x:v>100</x:v>
      </x:c>
      <x:c r="N35" s="344" t="n">
        <x:v>100</x:v>
      </x:c>
      <x:c r="O35" s="344" t="n">
        <x:v>100</x:v>
      </x:c>
      <x:c r="P35" s="344" t="n">
        <x:v>100</x:v>
      </x:c>
      <x:c r="Q35" s="344" t="n">
        <x:v>100</x:v>
      </x:c>
      <x:c r="R35" s="344" t="n">
        <x:v>100</x:v>
      </x:c>
      <x:c r="S35" s="344" t="n">
        <x:v>100</x:v>
      </x:c>
      <x:c r="T35" s="344" t="n">
        <x:v>100</x:v>
      </x:c>
      <x:c r="U35" s="344" t="n">
        <x:v>100</x:v>
      </x:c>
      <x:c r="V35" s="373" t="n">
        <x:v>100</x:v>
      </x:c>
      <x:c r="W35" s="373" t="n">
        <x:v>100</x:v>
      </x:c>
      <x:c r="X35" s="373" t="n">
        <x:v>100</x:v>
      </x:c>
      <x:c r="Y35" s="373" t="n">
        <x:v>100</x:v>
      </x:c>
      <x:c r="Z35" s="373" t="n">
        <x:v>80</x:v>
      </x:c>
      <x:c r="AA35" s="374" t="n">
        <x:v>100</x:v>
      </x:c>
      <x:c r="AB35" s="344" t="n">
        <x:f>IF(COUNT(D35:AA35)=0,"",AVERAGE(D35:AA35))</x:f>
        <x:v>99.16666666666667</x:v>
      </x:c>
    </x:row>
    <x:row r="36">
      <x:c r="A36" s="52" t="str">
        <x:v>MATH-3</x:v>
      </x:c>
      <x:c r="B36" s="53" t="str">
        <x:v>МАТЕМАТИКА, ВЕРОЯТНОСТЬ И СТАТИСТИКА</x:v>
      </x:c>
      <x:c r="C36" s="53"/>
      <x:c r="D36" s="344" t="n">
        <x:v>100</x:v>
      </x:c>
      <x:c r="E36" s="344" t="n">
        <x:v>100</x:v>
      </x:c>
      <x:c r="F36" s="344" t="n">
        <x:v>100</x:v>
      </x:c>
      <x:c r="G36" s="344" t="n">
        <x:v>100</x:v>
      </x:c>
      <x:c r="H36" s="344" t="n">
        <x:v>100</x:v>
      </x:c>
      <x:c r="I36" s="344" t="n">
        <x:v>100</x:v>
      </x:c>
      <x:c r="J36" s="344" t="n">
        <x:v>100</x:v>
      </x:c>
      <x:c r="K36" s="344" t="n">
        <x:v>100</x:v>
      </x:c>
      <x:c r="L36" s="344" t="n">
        <x:v>100</x:v>
      </x:c>
      <x:c r="M36" s="344" t="n">
        <x:v>100</x:v>
      </x:c>
      <x:c r="N36" s="344" t="n">
        <x:v>100</x:v>
      </x:c>
      <x:c r="O36" s="344" t="n">
        <x:v>100</x:v>
      </x:c>
      <x:c r="P36" s="344" t="n">
        <x:v>100</x:v>
      </x:c>
      <x:c r="Q36" s="344" t="n">
        <x:v>100</x:v>
      </x:c>
      <x:c r="R36" s="344" t="n">
        <x:v>100</x:v>
      </x:c>
      <x:c r="S36" s="344" t="n">
        <x:v>100</x:v>
      </x:c>
      <x:c r="T36" s="344" t="n">
        <x:v>100</x:v>
      </x:c>
      <x:c r="U36" s="344" t="n">
        <x:v>100</x:v>
      </x:c>
      <x:c r="V36" s="373" t="n">
        <x:v>100</x:v>
      </x:c>
      <x:c r="W36" s="373" t="n">
        <x:v>0</x:v>
      </x:c>
      <x:c r="X36" s="373" t="n">
        <x:v>100</x:v>
      </x:c>
      <x:c r="Y36" s="373" t="n">
        <x:v>100</x:v>
      </x:c>
      <x:c r="Z36" s="373" t="n">
        <x:v>80</x:v>
      </x:c>
      <x:c r="AA36" s="374" t="n">
        <x:v>100</x:v>
      </x:c>
      <x:c r="AB36" s="344" t="n">
        <x:f>IF(COUNT(D36:AA36)=0,"",AVERAGE(D36:AA36))</x:f>
        <x:v>95</x:v>
      </x:c>
    </x:row>
    <x:row r="37">
      <x:c r="A37" s="52" t="str">
        <x:v>MATH-4</x:v>
      </x:c>
      <x:c r="B37" s="53" t="str">
        <x:v>МАТЕМАТИКА, ВЕРОЯТНОСТЬ И СТАТИСТИКА</x:v>
      </x:c>
      <x:c r="C37" s="53"/>
      <x:c r="D37" s="344" t="n">
        <x:v>100</x:v>
      </x:c>
      <x:c r="E37" s="344" t="n">
        <x:v>100</x:v>
      </x:c>
      <x:c r="F37" s="344" t="n">
        <x:v>100</x:v>
      </x:c>
      <x:c r="G37" s="344" t="n">
        <x:v>100</x:v>
      </x:c>
      <x:c r="H37" s="344" t="n">
        <x:v>100</x:v>
      </x:c>
      <x:c r="I37" s="344" t="n">
        <x:v>100</x:v>
      </x:c>
      <x:c r="J37" s="344" t="n">
        <x:v>100</x:v>
      </x:c>
      <x:c r="K37" s="344" t="n">
        <x:v>100</x:v>
      </x:c>
      <x:c r="L37" s="344" t="n">
        <x:v>100</x:v>
      </x:c>
      <x:c r="M37" s="344" t="n">
        <x:v>100</x:v>
      </x:c>
      <x:c r="N37" s="344" t="n">
        <x:v>100</x:v>
      </x:c>
      <x:c r="O37" s="344" t="n">
        <x:v>100</x:v>
      </x:c>
      <x:c r="P37" s="344" t="n">
        <x:v>100</x:v>
      </x:c>
      <x:c r="Q37" s="344" t="n">
        <x:v>100</x:v>
      </x:c>
      <x:c r="R37" s="344" t="n">
        <x:v>100</x:v>
      </x:c>
      <x:c r="S37" s="344" t="n">
        <x:v>100</x:v>
      </x:c>
      <x:c r="T37" s="344" t="n">
        <x:v>100</x:v>
      </x:c>
      <x:c r="U37" s="344" t="n">
        <x:v>100</x:v>
      </x:c>
      <x:c r="V37" s="373" t="n">
        <x:v>100</x:v>
      </x:c>
      <x:c r="W37" s="373" t="n">
        <x:v>100</x:v>
      </x:c>
      <x:c r="X37" s="373" t="n">
        <x:v>100</x:v>
      </x:c>
      <x:c r="Y37" s="373" t="n">
        <x:v>100</x:v>
      </x:c>
      <x:c r="Z37" s="373" t="n">
        <x:v>0</x:v>
      </x:c>
      <x:c r="AA37" s="374" t="n">
        <x:v>100</x:v>
      </x:c>
      <x:c r="AB37" s="344" t="n">
        <x:f>IF(COUNT(D37:AA37)=0,"",AVERAGE(D37:AA37))</x:f>
        <x:v>95.83333333333333</x:v>
      </x:c>
    </x:row>
    <x:row r="38">
      <x:c r="A38" s="52" t="str">
        <x:v>MATH-5</x:v>
      </x:c>
      <x:c r="B38" s="53" t="str">
        <x:v>МАТЕМАТИКА, ВЕРОЯТНОСТЬ И СТАТИСТИКА</x:v>
      </x:c>
      <x:c r="C38" s="53"/>
      <x:c r="D38" s="344" t="n">
        <x:v>100</x:v>
      </x:c>
      <x:c r="E38" s="344" t="n">
        <x:v>100</x:v>
      </x:c>
      <x:c r="F38" s="344" t="n">
        <x:v>100</x:v>
      </x:c>
      <x:c r="G38" s="344" t="n">
        <x:v>100</x:v>
      </x:c>
      <x:c r="H38" s="344" t="n">
        <x:v>100</x:v>
      </x:c>
      <x:c r="I38" s="344" t="n">
        <x:v>100</x:v>
      </x:c>
      <x:c r="J38" s="344" t="n">
        <x:v>100</x:v>
      </x:c>
      <x:c r="K38" s="344" t="n">
        <x:v>100</x:v>
      </x:c>
      <x:c r="L38" s="344" t="n">
        <x:v>100</x:v>
      </x:c>
      <x:c r="M38" s="344" t="n">
        <x:v>100</x:v>
      </x:c>
      <x:c r="N38" s="344" t="n">
        <x:v>100</x:v>
      </x:c>
      <x:c r="O38" s="344" t="n">
        <x:v>100</x:v>
      </x:c>
      <x:c r="P38" s="344" t="n">
        <x:v>100</x:v>
      </x:c>
      <x:c r="Q38" s="344" t="n">
        <x:v>100</x:v>
      </x:c>
      <x:c r="R38" s="344" t="n">
        <x:v>100</x:v>
      </x:c>
      <x:c r="S38" s="344" t="n">
        <x:v>100</x:v>
      </x:c>
      <x:c r="T38" s="344" t="n">
        <x:v>100</x:v>
      </x:c>
      <x:c r="U38" s="344" t="n">
        <x:v>100</x:v>
      </x:c>
      <x:c r="V38" s="373" t="n">
        <x:v>100</x:v>
      </x:c>
      <x:c r="W38" s="373" t="n">
        <x:v>100</x:v>
      </x:c>
      <x:c r="X38" s="373" t="n">
        <x:v>100</x:v>
      </x:c>
      <x:c r="Y38" s="373" t="n">
        <x:v>100</x:v>
      </x:c>
      <x:c r="Z38" s="373" t="n">
        <x:v>80</x:v>
      </x:c>
      <x:c r="AA38" s="374" t="n">
        <x:v>100</x:v>
      </x:c>
      <x:c r="AB38" s="344" t="n">
        <x:f>IF(COUNT(D38:AA38)=0,"",AVERAGE(D38:AA38))</x:f>
        <x:v>99.16666666666667</x:v>
      </x:c>
    </x:row>
    <x:row r="39">
      <x:c r="A39" s="52" t="str">
        <x:v>MATH-6</x:v>
      </x:c>
      <x:c r="B39" s="53" t="str">
        <x:v>МАТЕМАТИКА, ВЕРОЯТНОСТЬ И СТАТИСТИКА</x:v>
      </x:c>
      <x:c r="C39" s="53"/>
      <x:c r="D39" s="344" t="n">
        <x:v>100</x:v>
      </x:c>
      <x:c r="E39" s="344" t="n">
        <x:v>100</x:v>
      </x:c>
      <x:c r="F39" s="344" t="n">
        <x:v>100</x:v>
      </x:c>
      <x:c r="G39" s="344" t="n">
        <x:v>100</x:v>
      </x:c>
      <x:c r="H39" s="344" t="n">
        <x:v>100</x:v>
      </x:c>
      <x:c r="I39" s="344" t="n">
        <x:v>100</x:v>
      </x:c>
      <x:c r="J39" s="344" t="n">
        <x:v>100</x:v>
      </x:c>
      <x:c r="K39" s="344" t="n">
        <x:v>100</x:v>
      </x:c>
      <x:c r="L39" s="344" t="n">
        <x:v>100</x:v>
      </x:c>
      <x:c r="M39" s="344" t="n">
        <x:v>100</x:v>
      </x:c>
      <x:c r="N39" s="344" t="n">
        <x:v>100</x:v>
      </x:c>
      <x:c r="O39" s="344" t="n">
        <x:v>100</x:v>
      </x:c>
      <x:c r="P39" s="344" t="n">
        <x:v>100</x:v>
      </x:c>
      <x:c r="Q39" s="344" t="n">
        <x:v>100</x:v>
      </x:c>
      <x:c r="R39" s="344" t="n">
        <x:v>100</x:v>
      </x:c>
      <x:c r="S39" s="344" t="n">
        <x:v>100</x:v>
      </x:c>
      <x:c r="T39" s="344" t="n">
        <x:v>100</x:v>
      </x:c>
      <x:c r="U39" s="344" t="n">
        <x:v>100</x:v>
      </x:c>
      <x:c r="V39" s="373" t="n">
        <x:v>100</x:v>
      </x:c>
      <x:c r="W39" s="373" t="n">
        <x:v>100</x:v>
      </x:c>
      <x:c r="X39" s="373" t="n">
        <x:v>100</x:v>
      </x:c>
      <x:c r="Y39" s="373" t="n">
        <x:v>100</x:v>
      </x:c>
      <x:c r="Z39" s="373" t="n">
        <x:v>80</x:v>
      </x:c>
      <x:c r="AA39" s="374" t="n">
        <x:v>100</x:v>
      </x:c>
      <x:c r="AB39" s="344" t="n">
        <x:f>IF(COUNT(D39:AA39)=0,"",AVERAGE(D39:AA39))</x:f>
        <x:v>99.16666666666667</x:v>
      </x:c>
    </x:row>
    <x:row r="40">
      <x:c r="A40" s="52" t="str">
        <x:v>CRIT-1</x:v>
      </x:c>
      <x:c r="B40" s="53" t="str">
        <x:v>КРИТИЧЕСКОЕ МЫШЛЕНИЕ И ГАЛЛЮЦИНАЦИИ</x:v>
      </x:c>
      <x:c r="C40" s="53"/>
      <x:c r="D40" s="344" t="n">
        <x:v>100</x:v>
      </x:c>
      <x:c r="E40" s="344" t="n">
        <x:v>100</x:v>
      </x:c>
      <x:c r="F40" s="344" t="n">
        <x:v>100</x:v>
      </x:c>
      <x:c r="G40" s="344" t="n">
        <x:v>100</x:v>
      </x:c>
      <x:c r="H40" s="344" t="n">
        <x:v>100</x:v>
      </x:c>
      <x:c r="I40" s="344" t="n">
        <x:v>100</x:v>
      </x:c>
      <x:c r="J40" s="344" t="n">
        <x:v>100</x:v>
      </x:c>
      <x:c r="K40" s="344" t="n">
        <x:v>100</x:v>
      </x:c>
      <x:c r="L40" s="344" t="n">
        <x:v>100</x:v>
      </x:c>
      <x:c r="M40" s="344" t="n">
        <x:v>100</x:v>
      </x:c>
      <x:c r="N40" s="344" t="n">
        <x:v>100</x:v>
      </x:c>
      <x:c r="O40" s="344" t="n">
        <x:v>100</x:v>
      </x:c>
      <x:c r="P40" s="344" t="n">
        <x:v>100</x:v>
      </x:c>
      <x:c r="Q40" s="344" t="n">
        <x:v>100</x:v>
      </x:c>
      <x:c r="R40" s="344" t="n">
        <x:v>90</x:v>
      </x:c>
      <x:c r="S40" s="344" t="n">
        <x:v>100</x:v>
      </x:c>
      <x:c r="T40" s="344" t="n">
        <x:v>100</x:v>
      </x:c>
      <x:c r="U40" s="344" t="n">
        <x:v>100</x:v>
      </x:c>
      <x:c r="V40" s="373" t="n">
        <x:v>80</x:v>
      </x:c>
      <x:c r="W40" s="373" t="n">
        <x:v>80</x:v>
      </x:c>
      <x:c r="X40" s="373" t="n">
        <x:v>40</x:v>
      </x:c>
      <x:c r="Y40" s="373" t="n">
        <x:v>60</x:v>
      </x:c>
      <x:c r="Z40" s="373" t="n">
        <x:v>60</x:v>
      </x:c>
      <x:c r="AA40" s="374" t="n">
        <x:v>100</x:v>
      </x:c>
      <x:c r="AB40" s="344" t="n">
        <x:f>IF(COUNT(D40:AA40)=0,"",AVERAGE(D40:AA40))</x:f>
        <x:v>92.08333333333333</x:v>
      </x:c>
    </x:row>
    <x:row r="41">
      <x:c r="A41" s="52" t="str">
        <x:v>CRIT-2</x:v>
      </x:c>
      <x:c r="B41" s="53" t="str">
        <x:v>КРИТИЧЕСКОЕ МЫШЛЕНИЕ И ГАЛЛЮЦИНАЦИИ</x:v>
      </x:c>
      <x:c r="C41" s="53"/>
      <x:c r="D41" s="344" t="n">
        <x:v>100</x:v>
      </x:c>
      <x:c r="E41" s="344" t="n">
        <x:v>100</x:v>
      </x:c>
      <x:c r="F41" s="344" t="n">
        <x:v>100</x:v>
      </x:c>
      <x:c r="G41" s="344" t="n">
        <x:v>100</x:v>
      </x:c>
      <x:c r="H41" s="344" t="n">
        <x:v>100</x:v>
      </x:c>
      <x:c r="I41" s="344" t="n">
        <x:v>100</x:v>
      </x:c>
      <x:c r="J41" s="344" t="n">
        <x:v>80</x:v>
      </x:c>
      <x:c r="K41" s="344" t="n">
        <x:v>100</x:v>
      </x:c>
      <x:c r="L41" s="344" t="n">
        <x:v>100</x:v>
      </x:c>
      <x:c r="M41" s="344" t="n">
        <x:v>90</x:v>
      </x:c>
      <x:c r="N41" s="344" t="n">
        <x:v>100</x:v>
      </x:c>
      <x:c r="O41" s="344" t="n">
        <x:v>100</x:v>
      </x:c>
      <x:c r="P41" s="344" t="n">
        <x:v>100</x:v>
      </x:c>
      <x:c r="Q41" s="344" t="n">
        <x:v>0</x:v>
      </x:c>
      <x:c r="R41" s="344" t="n">
        <x:v>100</x:v>
      </x:c>
      <x:c r="S41" s="344" t="n">
        <x:v>100</x:v>
      </x:c>
      <x:c r="T41" s="344" t="n">
        <x:v>100</x:v>
      </x:c>
      <x:c r="U41" s="344" t="n">
        <x:v>0</x:v>
      </x:c>
      <x:c r="V41" s="373" t="n">
        <x:v>40</x:v>
      </x:c>
      <x:c r="W41" s="373" t="n">
        <x:v>80</x:v>
      </x:c>
      <x:c r="X41" s="373" t="n">
        <x:v>0</x:v>
      </x:c>
      <x:c r="Y41" s="373" t="n">
        <x:v>20</x:v>
      </x:c>
      <x:c r="Z41" s="373" t="n">
        <x:v>20</x:v>
      </x:c>
      <x:c r="AA41" s="374" t="n">
        <x:v>60</x:v>
      </x:c>
      <x:c r="AB41" s="344" t="n">
        <x:f>IF(COUNT(D41:AA41)=0,"",AVERAGE(D41:AA41))</x:f>
        <x:v>74.58333333333333</x:v>
      </x:c>
    </x:row>
    <x:row r="42">
      <x:c r="A42" s="52" t="str">
        <x:v>CRIT-3</x:v>
      </x:c>
      <x:c r="B42" s="53" t="str">
        <x:v>КРИТИЧЕСКОЕ МЫШЛЕНИЕ И ГАЛЛЮЦИНАЦИИ</x:v>
      </x:c>
      <x:c r="C42" s="53"/>
      <x:c r="D42" s="344" t="n">
        <x:v>100</x:v>
      </x:c>
      <x:c r="E42" s="344" t="n">
        <x:v>100</x:v>
      </x:c>
      <x:c r="F42" s="344" t="n">
        <x:v>100</x:v>
      </x:c>
      <x:c r="G42" s="344" t="n">
        <x:v>100</x:v>
      </x:c>
      <x:c r="H42" s="344" t="n">
        <x:v>100</x:v>
      </x:c>
      <x:c r="I42" s="344" t="n">
        <x:v>100</x:v>
      </x:c>
      <x:c r="J42" s="344" t="n">
        <x:v>100</x:v>
      </x:c>
      <x:c r="K42" s="344" t="n">
        <x:v>100</x:v>
      </x:c>
      <x:c r="L42" s="344" t="n">
        <x:v>100</x:v>
      </x:c>
      <x:c r="M42" s="344" t="n">
        <x:v>100</x:v>
      </x:c>
      <x:c r="N42" s="344" t="n">
        <x:v>100</x:v>
      </x:c>
      <x:c r="O42" s="344" t="n">
        <x:v>100</x:v>
      </x:c>
      <x:c r="P42" s="344" t="n">
        <x:v>100</x:v>
      </x:c>
      <x:c r="Q42" s="344" t="n">
        <x:v>100</x:v>
      </x:c>
      <x:c r="R42" s="344" t="n">
        <x:v>100</x:v>
      </x:c>
      <x:c r="S42" s="344" t="n">
        <x:v>100</x:v>
      </x:c>
      <x:c r="T42" s="344" t="n">
        <x:v>100</x:v>
      </x:c>
      <x:c r="U42" s="344" t="n">
        <x:v>100</x:v>
      </x:c>
      <x:c r="V42" s="373" t="n">
        <x:v>40</x:v>
      </x:c>
      <x:c r="W42" s="373" t="n">
        <x:v>100</x:v>
      </x:c>
      <x:c r="X42" s="373" t="n">
        <x:v>0</x:v>
      </x:c>
      <x:c r="Y42" s="373" t="n">
        <x:v>40</x:v>
      </x:c>
      <x:c r="Z42" s="373" t="n">
        <x:v>100</x:v>
      </x:c>
      <x:c r="AA42" s="374" t="n">
        <x:v>100</x:v>
      </x:c>
      <x:c r="AB42" s="344" t="n">
        <x:f>IF(COUNT(D42:AA42)=0,"",AVERAGE(D42:AA42))</x:f>
        <x:v>90.83333333333333</x:v>
      </x:c>
    </x:row>
    <x:row r="43">
      <x:c r="A43" s="52" t="str">
        <x:v>CRIT-4</x:v>
      </x:c>
      <x:c r="B43" s="53" t="str">
        <x:v>КРИТИЧЕСКОЕ МЫШЛЕНИЕ И ГАЛЛЮЦИНАЦИИ</x:v>
      </x:c>
      <x:c r="C43" s="53"/>
      <x:c r="D43" s="344" t="n">
        <x:v>100</x:v>
      </x:c>
      <x:c r="E43" s="344" t="n">
        <x:v>100</x:v>
      </x:c>
      <x:c r="F43" s="344" t="n">
        <x:v>100</x:v>
      </x:c>
      <x:c r="G43" s="344" t="n">
        <x:v>100</x:v>
      </x:c>
      <x:c r="H43" s="344" t="n">
        <x:v>100</x:v>
      </x:c>
      <x:c r="I43" s="344" t="n">
        <x:v>100</x:v>
      </x:c>
      <x:c r="J43" s="344" t="n">
        <x:v>100</x:v>
      </x:c>
      <x:c r="K43" s="344" t="n">
        <x:v>100</x:v>
      </x:c>
      <x:c r="L43" s="344" t="n">
        <x:v>100</x:v>
      </x:c>
      <x:c r="M43" s="344" t="n">
        <x:v>100</x:v>
      </x:c>
      <x:c r="N43" s="344" t="n">
        <x:v>100</x:v>
      </x:c>
      <x:c r="O43" s="344" t="n">
        <x:v>100</x:v>
      </x:c>
      <x:c r="P43" s="344" t="n">
        <x:v>100</x:v>
      </x:c>
      <x:c r="Q43" s="344" t="n">
        <x:v>100</x:v>
      </x:c>
      <x:c r="R43" s="344" t="n">
        <x:v>100</x:v>
      </x:c>
      <x:c r="S43" s="344" t="n">
        <x:v>100</x:v>
      </x:c>
      <x:c r="T43" s="344" t="n">
        <x:v>100</x:v>
      </x:c>
      <x:c r="U43" s="344" t="n">
        <x:v>100</x:v>
      </x:c>
      <x:c r="V43" s="373" t="n">
        <x:v>100</x:v>
      </x:c>
      <x:c r="W43" s="373" t="n">
        <x:v>100</x:v>
      </x:c>
      <x:c r="X43" s="373" t="n">
        <x:v>40</x:v>
      </x:c>
      <x:c r="Y43" s="373" t="n">
        <x:v>40</x:v>
      </x:c>
      <x:c r="Z43" s="373" t="n">
        <x:v>80</x:v>
      </x:c>
      <x:c r="AA43" s="374" t="n">
        <x:v>80</x:v>
      </x:c>
      <x:c r="AB43" s="344" t="n">
        <x:f>IF(COUNT(D43:AA43)=0,"",AVERAGE(D43:AA43))</x:f>
        <x:v>93.33333333333333</x:v>
      </x:c>
    </x:row>
    <x:row r="44">
      <x:c r="A44" s="52" t="str">
        <x:v>CRIT-5</x:v>
      </x:c>
      <x:c r="B44" s="53" t="str">
        <x:v>КРИТИЧЕСКОЕ МЫШЛЕНИЕ И ГАЛЛЮЦИНАЦИИ</x:v>
      </x:c>
      <x:c r="C44" s="53"/>
      <x:c r="D44" s="344" t="n">
        <x:v>100</x:v>
      </x:c>
      <x:c r="E44" s="344" t="n">
        <x:v>100</x:v>
      </x:c>
      <x:c r="F44" s="344" t="n">
        <x:v>100</x:v>
      </x:c>
      <x:c r="G44" s="344" t="n">
        <x:v>100</x:v>
      </x:c>
      <x:c r="H44" s="344" t="n">
        <x:v>100</x:v>
      </x:c>
      <x:c r="I44" s="344" t="n">
        <x:v>100</x:v>
      </x:c>
      <x:c r="J44" s="344" t="n">
        <x:v>100</x:v>
      </x:c>
      <x:c r="K44" s="344" t="n">
        <x:v>100</x:v>
      </x:c>
      <x:c r="L44" s="344" t="n">
        <x:v>100</x:v>
      </x:c>
      <x:c r="M44" s="344" t="n">
        <x:v>100</x:v>
      </x:c>
      <x:c r="N44" s="344" t="n">
        <x:v>100</x:v>
      </x:c>
      <x:c r="O44" s="344" t="n">
        <x:v>100</x:v>
      </x:c>
      <x:c r="P44" s="344" t="n">
        <x:v>100</x:v>
      </x:c>
      <x:c r="Q44" s="344" t="n">
        <x:v>80</x:v>
      </x:c>
      <x:c r="R44" s="344" t="n">
        <x:v>100</x:v>
      </x:c>
      <x:c r="S44" s="344" t="n">
        <x:v>40</x:v>
      </x:c>
      <x:c r="T44" s="344" t="n">
        <x:v>100</x:v>
      </x:c>
      <x:c r="U44" s="344" t="n">
        <x:v>20</x:v>
      </x:c>
      <x:c r="V44" s="373" t="n">
        <x:v>60</x:v>
      </x:c>
      <x:c r="W44" s="373" t="n">
        <x:v>100</x:v>
      </x:c>
      <x:c r="X44" s="373" t="n">
        <x:v>20</x:v>
      </x:c>
      <x:c r="Y44" s="373" t="n">
        <x:v>20</x:v>
      </x:c>
      <x:c r="Z44" s="373" t="n">
        <x:v>0</x:v>
      </x:c>
      <x:c r="AA44" s="374" t="n">
        <x:v>20</x:v>
      </x:c>
      <x:c r="AB44" s="344" t="n">
        <x:f>IF(COUNT(D44:AA44)=0,"",AVERAGE(D44:AA44))</x:f>
        <x:v>77.5</x:v>
      </x:c>
    </x:row>
    <x:row r="45">
      <x:c r="A45" s="52" t="str">
        <x:v>CRIT-6</x:v>
      </x:c>
      <x:c r="B45" s="53" t="str">
        <x:v>КРИТИЧЕСКОЕ МЫШЛЕНИЕ И ГАЛЛЮЦИНАЦИИ</x:v>
      </x:c>
      <x:c r="C45" s="53" t="str">
        <x:v>Защита от внедрения инструкций</x:v>
      </x:c>
      <x:c r="D45" s="344" t="n">
        <x:v>100</x:v>
      </x:c>
      <x:c r="E45" s="344" t="n">
        <x:v>100</x:v>
      </x:c>
      <x:c r="F45" s="344" t="n">
        <x:v>100</x:v>
      </x:c>
      <x:c r="G45" s="344" t="n">
        <x:v>100</x:v>
      </x:c>
      <x:c r="H45" s="344" t="n">
        <x:v>100</x:v>
      </x:c>
      <x:c r="I45" s="344" t="n">
        <x:v>100</x:v>
      </x:c>
      <x:c r="J45" s="344" t="n">
        <x:v>100</x:v>
      </x:c>
      <x:c r="K45" s="344" t="n">
        <x:v>100</x:v>
      </x:c>
      <x:c r="L45" s="344" t="n">
        <x:v>100</x:v>
      </x:c>
      <x:c r="M45" s="344" t="n">
        <x:v>100</x:v>
      </x:c>
      <x:c r="N45" s="344" t="n">
        <x:v>100</x:v>
      </x:c>
      <x:c r="O45" s="344" t="n">
        <x:v>100</x:v>
      </x:c>
      <x:c r="P45" s="344" t="n">
        <x:v>100</x:v>
      </x:c>
      <x:c r="Q45" s="344" t="n">
        <x:v>100</x:v>
      </x:c>
      <x:c r="R45" s="344" t="n">
        <x:v>100</x:v>
      </x:c>
      <x:c r="S45" s="344" t="n">
        <x:v>100</x:v>
      </x:c>
      <x:c r="T45" s="344" t="n">
        <x:v>100</x:v>
      </x:c>
      <x:c r="U45" s="344" t="n">
        <x:v>100</x:v>
      </x:c>
      <x:c r="V45" s="373" t="n">
        <x:v>100</x:v>
      </x:c>
      <x:c r="W45" s="373" t="n">
        <x:v>100</x:v>
      </x:c>
      <x:c r="X45" s="373" t="n">
        <x:v>80</x:v>
      </x:c>
      <x:c r="Y45" s="373" t="n">
        <x:v>0</x:v>
      </x:c>
      <x:c r="Z45" s="373" t="n">
        <x:v>100</x:v>
      </x:c>
      <x:c r="AA45" s="374" t="n">
        <x:v>80</x:v>
      </x:c>
      <x:c r="AB45" s="344" t="n">
        <x:f>IF(COUNT(D45:AA45)=0,"",AVERAGE(D45:AA45))</x:f>
        <x:v>94.16666666666667</x:v>
      </x:c>
    </x:row>
    <x:row r="46">
      <x:c r="A46" s="52" t="str">
        <x:v>CS-1</x:v>
      </x:c>
      <x:c r="B46" s="53" t="str">
        <x:v>C# — ПОНИМАНИЕ, ОТЛАДКА И НАПИСАНИЕ</x:v>
      </x:c>
      <x:c r="C46" s="53" t="str">
        <x:v>Async/await</x:v>
      </x:c>
      <x:c r="D46" s="344" t="n">
        <x:v>100</x:v>
      </x:c>
      <x:c r="E46" s="344" t="n">
        <x:v>100</x:v>
      </x:c>
      <x:c r="F46" s="344" t="n">
        <x:v>100</x:v>
      </x:c>
      <x:c r="G46" s="344" t="n">
        <x:v>100</x:v>
      </x:c>
      <x:c r="H46" s="344" t="n">
        <x:v>100</x:v>
      </x:c>
      <x:c r="I46" s="344" t="n">
        <x:v>100</x:v>
      </x:c>
      <x:c r="J46" s="344" t="n">
        <x:v>100</x:v>
      </x:c>
      <x:c r="K46" s="344" t="n">
        <x:v>80</x:v>
      </x:c>
      <x:c r="L46" s="344" t="n">
        <x:v>100</x:v>
      </x:c>
      <x:c r="M46" s="344" t="n">
        <x:v>95</x:v>
      </x:c>
      <x:c r="N46" s="344" t="n">
        <x:v>70</x:v>
      </x:c>
      <x:c r="O46" s="344" t="n">
        <x:v>80</x:v>
      </x:c>
      <x:c r="P46" s="344" t="n">
        <x:v>80</x:v>
      </x:c>
      <x:c r="Q46" s="344" t="n">
        <x:v>40</x:v>
      </x:c>
      <x:c r="R46" s="344" t="n">
        <x:v>40</x:v>
      </x:c>
      <x:c r="S46" s="344" t="n">
        <x:v>80</x:v>
      </x:c>
      <x:c r="T46" s="344" t="n">
        <x:v>90</x:v>
      </x:c>
      <x:c r="U46" s="344" t="n">
        <x:v>80</x:v>
      </x:c>
      <x:c r="V46" s="373" t="n">
        <x:v>60</x:v>
      </x:c>
      <x:c r="W46" s="373" t="n">
        <x:v>80</x:v>
      </x:c>
      <x:c r="X46" s="373" t="n">
        <x:v>80</x:v>
      </x:c>
      <x:c r="Y46" s="373" t="n">
        <x:v>80</x:v>
      </x:c>
      <x:c r="Z46" s="373" t="n">
        <x:v>60</x:v>
      </x:c>
      <x:c r="AA46" s="374" t="n">
        <x:v>60</x:v>
      </x:c>
      <x:c r="AB46" s="344" t="n">
        <x:f>IF(COUNT(D46:AA46)=0,"",AVERAGE(D46:AA46))</x:f>
        <x:v>81.45833333333333</x:v>
      </x:c>
    </x:row>
    <x:row r="47">
      <x:c r="A47" s="52" t="str">
        <x:v>CS-2</x:v>
      </x:c>
      <x:c r="B47" s="53" t="str">
        <x:v>C# — ПОНИМАНИЕ, ОТЛАДКА И НАПИСАНИЕ</x:v>
      </x:c>
      <x:c r="C47" s="53" t="str">
        <x:v>Потокобезопасность</x:v>
      </x:c>
      <x:c r="D47" s="344" t="n">
        <x:v>100</x:v>
      </x:c>
      <x:c r="E47" s="344" t="n">
        <x:v>100</x:v>
      </x:c>
      <x:c r="F47" s="344" t="n">
        <x:v>100</x:v>
      </x:c>
      <x:c r="G47" s="344" t="n">
        <x:v>100</x:v>
      </x:c>
      <x:c r="H47" s="344" t="n">
        <x:v>100</x:v>
      </x:c>
      <x:c r="I47" s="344" t="n">
        <x:v>100</x:v>
      </x:c>
      <x:c r="J47" s="344" t="n">
        <x:v>100</x:v>
      </x:c>
      <x:c r="K47" s="344" t="n">
        <x:v>100</x:v>
      </x:c>
      <x:c r="L47" s="344" t="n">
        <x:v>100</x:v>
      </x:c>
      <x:c r="M47" s="344" t="n">
        <x:v>100</x:v>
      </x:c>
      <x:c r="N47" s="344" t="n">
        <x:v>100</x:v>
      </x:c>
      <x:c r="O47" s="344" t="n">
        <x:v>100</x:v>
      </x:c>
      <x:c r="P47" s="344" t="n">
        <x:v>60</x:v>
      </x:c>
      <x:c r="Q47" s="344" t="n">
        <x:v>100</x:v>
      </x:c>
      <x:c r="R47" s="344" t="n">
        <x:v>100</x:v>
      </x:c>
      <x:c r="S47" s="344" t="n">
        <x:v>100</x:v>
      </x:c>
      <x:c r="T47" s="344" t="n">
        <x:v>90</x:v>
      </x:c>
      <x:c r="U47" s="344" t="n">
        <x:v>40</x:v>
      </x:c>
      <x:c r="V47" s="373" t="n">
        <x:v>80</x:v>
      </x:c>
      <x:c r="W47" s="373" t="n">
        <x:v>60</x:v>
      </x:c>
      <x:c r="X47" s="373" t="n">
        <x:v>80</x:v>
      </x:c>
      <x:c r="Y47" s="373" t="n">
        <x:v>80</x:v>
      </x:c>
      <x:c r="Z47" s="373" t="n">
        <x:v>60</x:v>
      </x:c>
      <x:c r="AA47" s="374" t="n">
        <x:v>60</x:v>
      </x:c>
      <x:c r="AB47" s="344" t="n">
        <x:f>IF(COUNT(D47:AA47)=0,"",AVERAGE(D47:AA47))</x:f>
        <x:v>87.91666666666667</x:v>
      </x:c>
    </x:row>
    <x:row r="48">
      <x:c r="A48" s="52" t="str">
        <x:v>CS-3</x:v>
      </x:c>
      <x:c r="B48" s="53" t="str">
        <x:v>C# — ПОНИМАНИЕ, ОТЛАДКА И НАПИСАНИЕ</x:v>
      </x:c>
      <x:c r="C48" s="53" t="str">
        <x:v>IDisposable</x:v>
      </x:c>
      <x:c r="D48" s="344" t="n">
        <x:v>100</x:v>
      </x:c>
      <x:c r="E48" s="344" t="n">
        <x:v>100</x:v>
      </x:c>
      <x:c r="F48" s="344" t="n">
        <x:v>100</x:v>
      </x:c>
      <x:c r="G48" s="344" t="n">
        <x:v>100</x:v>
      </x:c>
      <x:c r="H48" s="344" t="n">
        <x:v>100</x:v>
      </x:c>
      <x:c r="I48" s="344" t="n">
        <x:v>100</x:v>
      </x:c>
      <x:c r="J48" s="344" t="n">
        <x:v>100</x:v>
      </x:c>
      <x:c r="K48" s="344" t="n">
        <x:v>100</x:v>
      </x:c>
      <x:c r="L48" s="344" t="n">
        <x:v>100</x:v>
      </x:c>
      <x:c r="M48" s="344" t="n">
        <x:v>100</x:v>
      </x:c>
      <x:c r="N48" s="344" t="n">
        <x:v>100</x:v>
      </x:c>
      <x:c r="O48" s="344" t="n">
        <x:v>100</x:v>
      </x:c>
      <x:c r="P48" s="344" t="n">
        <x:v>100</x:v>
      </x:c>
      <x:c r="Q48" s="344" t="n">
        <x:v>100</x:v>
      </x:c>
      <x:c r="R48" s="344" t="n">
        <x:v>100</x:v>
      </x:c>
      <x:c r="S48" s="344" t="n">
        <x:v>100</x:v>
      </x:c>
      <x:c r="T48" s="344" t="n">
        <x:v>100</x:v>
      </x:c>
      <x:c r="U48" s="344" t="n">
        <x:v>100</x:v>
      </x:c>
      <x:c r="V48" s="373" t="n">
        <x:v>100</x:v>
      </x:c>
      <x:c r="W48" s="373" t="n">
        <x:v>100</x:v>
      </x:c>
      <x:c r="X48" s="373" t="n">
        <x:v>80</x:v>
      </x:c>
      <x:c r="Y48" s="373" t="n">
        <x:v>80</x:v>
      </x:c>
      <x:c r="Z48" s="373" t="n">
        <x:v>60</x:v>
      </x:c>
      <x:c r="AA48" s="374" t="n">
        <x:v>60</x:v>
      </x:c>
      <x:c r="AB48" s="344" t="n">
        <x:f>IF(COUNT(D48:AA48)=0,"",AVERAGE(D48:AA48))</x:f>
        <x:v>95</x:v>
      </x:c>
    </x:row>
    <x:row r="49">
      <x:c r="A49" s="52" t="str">
        <x:v>CS-4</x:v>
      </x:c>
      <x:c r="B49" s="53" t="str">
        <x:v>C# — ПОНИМАНИЕ, ОТЛАДКА И НАПИСАНИЕ</x:v>
      </x:c>
      <x:c r="C49" s="53" t="str">
        <x:v>Архитектура</x:v>
      </x:c>
      <x:c r="D49" s="344" t="n">
        <x:v>100</x:v>
      </x:c>
      <x:c r="E49" s="344" t="n">
        <x:v>100</x:v>
      </x:c>
      <x:c r="F49" s="344" t="n">
        <x:v>100</x:v>
      </x:c>
      <x:c r="G49" s="344" t="n">
        <x:v>100</x:v>
      </x:c>
      <x:c r="H49" s="344" t="n">
        <x:v>100</x:v>
      </x:c>
      <x:c r="I49" s="344" t="n">
        <x:v>100</x:v>
      </x:c>
      <x:c r="J49" s="344" t="n">
        <x:v>100</x:v>
      </x:c>
      <x:c r="K49" s="344" t="n">
        <x:v>100</x:v>
      </x:c>
      <x:c r="L49" s="344" t="n">
        <x:v>100</x:v>
      </x:c>
      <x:c r="M49" s="344" t="n">
        <x:v>100</x:v>
      </x:c>
      <x:c r="N49" s="344" t="n">
        <x:v>100</x:v>
      </x:c>
      <x:c r="O49" s="344" t="n">
        <x:v>40</x:v>
      </x:c>
      <x:c r="P49" s="344" t="n">
        <x:v>100</x:v>
      </x:c>
      <x:c r="Q49" s="344" t="n">
        <x:v>80</x:v>
      </x:c>
      <x:c r="R49" s="344" t="n">
        <x:v>40</x:v>
      </x:c>
      <x:c r="S49" s="344" t="n">
        <x:v>100</x:v>
      </x:c>
      <x:c r="T49" s="344" t="n">
        <x:v>90</x:v>
      </x:c>
      <x:c r="U49" s="344" t="n">
        <x:v>80</x:v>
      </x:c>
      <x:c r="V49" s="373" t="n">
        <x:v>40</x:v>
      </x:c>
      <x:c r="W49" s="373" t="n">
        <x:v>40</x:v>
      </x:c>
      <x:c r="X49" s="373" t="n">
        <x:v>80</x:v>
      </x:c>
      <x:c r="Y49" s="373" t="n">
        <x:v>80</x:v>
      </x:c>
      <x:c r="Z49" s="373" t="n">
        <x:v>60</x:v>
      </x:c>
      <x:c r="AA49" s="374" t="n">
        <x:v>60</x:v>
      </x:c>
      <x:c r="AB49" s="344" t="n">
        <x:f>IF(COUNT(D49:AA49)=0,"",AVERAGE(D49:AA49))</x:f>
        <x:v>82.91666666666667</x:v>
      </x:c>
    </x:row>
    <x:row r="50">
      <x:c r="A50" s="52" t="str">
        <x:v>CS-5</x:v>
      </x:c>
      <x:c r="B50" s="53" t="str">
        <x:v>C# — ПОНИМАНИЕ, ОТЛАДКА И НАПИСАНИЕ</x:v>
      </x:c>
      <x:c r="C50" s="53" t="str">
        <x:v>LINQ</x:v>
      </x:c>
      <x:c r="D50" s="344" t="n">
        <x:v>100</x:v>
      </x:c>
      <x:c r="E50" s="344" t="n">
        <x:v>100</x:v>
      </x:c>
      <x:c r="F50" s="344" t="n">
        <x:v>100</x:v>
      </x:c>
      <x:c r="G50" s="344" t="n">
        <x:v>100</x:v>
      </x:c>
      <x:c r="H50" s="344" t="n">
        <x:v>100</x:v>
      </x:c>
      <x:c r="I50" s="344" t="n">
        <x:v>100</x:v>
      </x:c>
      <x:c r="J50" s="344" t="n">
        <x:v>100</x:v>
      </x:c>
      <x:c r="K50" s="344" t="n">
        <x:v>100</x:v>
      </x:c>
      <x:c r="L50" s="344" t="n">
        <x:v>100</x:v>
      </x:c>
      <x:c r="M50" s="344" t="n">
        <x:v>100</x:v>
      </x:c>
      <x:c r="N50" s="344" t="n">
        <x:v>100</x:v>
      </x:c>
      <x:c r="O50" s="344" t="n">
        <x:v>100</x:v>
      </x:c>
      <x:c r="P50" s="344" t="n">
        <x:v>100</x:v>
      </x:c>
      <x:c r="Q50" s="344" t="n">
        <x:v>100</x:v>
      </x:c>
      <x:c r="R50" s="344" t="n">
        <x:v>100</x:v>
      </x:c>
      <x:c r="S50" s="344" t="n">
        <x:v>100</x:v>
      </x:c>
      <x:c r="T50" s="344" t="n">
        <x:v>100</x:v>
      </x:c>
      <x:c r="U50" s="344" t="n">
        <x:v>100</x:v>
      </x:c>
      <x:c r="V50" s="373" t="n">
        <x:v>100</x:v>
      </x:c>
      <x:c r="W50" s="373" t="n">
        <x:v>100</x:v>
      </x:c>
      <x:c r="X50" s="373" t="n">
        <x:v>100</x:v>
      </x:c>
      <x:c r="Y50" s="373" t="n">
        <x:v>100</x:v>
      </x:c>
      <x:c r="Z50" s="373" t="n">
        <x:v>60</x:v>
      </x:c>
      <x:c r="AA50" s="374" t="n">
        <x:v>60</x:v>
      </x:c>
      <x:c r="AB50" s="344" t="n">
        <x:f>IF(COUNT(D50:AA50)=0,"",AVERAGE(D50:AA50))</x:f>
        <x:v>96.66666666666667</x:v>
      </x:c>
    </x:row>
    <x:row r="51">
      <x:c r="A51" s="52" t="str">
        <x:v>CS-6</x:v>
      </x:c>
      <x:c r="B51" s="53" t="str">
        <x:v>C# — ПОНИМАНИЕ, ОТЛАДКА И НАПИСАНИЕ</x:v>
      </x:c>
      <x:c r="C51" s="53" t="str">
        <x:v>Исключения</x:v>
      </x:c>
      <x:c r="D51" s="344" t="n">
        <x:v>100</x:v>
      </x:c>
      <x:c r="E51" s="344" t="n">
        <x:v>100</x:v>
      </x:c>
      <x:c r="F51" s="344" t="n">
        <x:v>100</x:v>
      </x:c>
      <x:c r="G51" s="344" t="n">
        <x:v>100</x:v>
      </x:c>
      <x:c r="H51" s="344" t="n">
        <x:v>100</x:v>
      </x:c>
      <x:c r="I51" s="344" t="n">
        <x:v>100</x:v>
      </x:c>
      <x:c r="J51" s="344" t="n">
        <x:v>60</x:v>
      </x:c>
      <x:c r="K51" s="344" t="n">
        <x:v>100</x:v>
      </x:c>
      <x:c r="L51" s="344" t="n">
        <x:v>100</x:v>
      </x:c>
      <x:c r="M51" s="344" t="n">
        <x:v>80</x:v>
      </x:c>
      <x:c r="N51" s="344" t="n">
        <x:v>100</x:v>
      </x:c>
      <x:c r="O51" s="344" t="n">
        <x:v>100</x:v>
      </x:c>
      <x:c r="P51" s="344" t="n">
        <x:v>100</x:v>
      </x:c>
      <x:c r="Q51" s="344" t="n">
        <x:v>100</x:v>
      </x:c>
      <x:c r="R51" s="344" t="n">
        <x:v>100</x:v>
      </x:c>
      <x:c r="S51" s="344" t="n">
        <x:v>100</x:v>
      </x:c>
      <x:c r="T51" s="344" t="n">
        <x:v>100</x:v>
      </x:c>
      <x:c r="U51" s="344" t="n">
        <x:v>100</x:v>
      </x:c>
      <x:c r="V51" s="373" t="n">
        <x:v>0</x:v>
      </x:c>
      <x:c r="W51" s="373" t="n">
        <x:v>100</x:v>
      </x:c>
      <x:c r="X51" s="373" t="n">
        <x:v>80</x:v>
      </x:c>
      <x:c r="Y51" s="373" t="n">
        <x:v>60</x:v>
      </x:c>
      <x:c r="Z51" s="373" t="n">
        <x:v>0</x:v>
      </x:c>
      <x:c r="AA51" s="374" t="n">
        <x:v>20</x:v>
      </x:c>
      <x:c r="AB51" s="344" t="n">
        <x:f>IF(COUNT(D51:AA51)=0,"",AVERAGE(D51:AA51))</x:f>
        <x:v>83.33333333333333</x:v>
      </x:c>
    </x:row>
    <x:row r="52">
      <x:c r="A52" s="52" t="str">
        <x:v>CS-7</x:v>
      </x:c>
      <x:c r="B52" s="53" t="str">
        <x:v>C# — ПОНИМАНИЕ, ОТЛАДКА И НАПИСАНИЕ</x:v>
      </x:c>
      <x:c r="C52" s="53" t="str">
        <x:v>Nullable reference types</x:v>
      </x:c>
      <x:c r="D52" s="344" t="n">
        <x:v>100</x:v>
      </x:c>
      <x:c r="E52" s="344" t="n">
        <x:v>100</x:v>
      </x:c>
      <x:c r="F52" s="344" t="n">
        <x:v>100</x:v>
      </x:c>
      <x:c r="G52" s="344" t="n">
        <x:v>100</x:v>
      </x:c>
      <x:c r="H52" s="344" t="n">
        <x:v>100</x:v>
      </x:c>
      <x:c r="I52" s="344" t="n">
        <x:v>100</x:v>
      </x:c>
      <x:c r="J52" s="344" t="n">
        <x:v>100</x:v>
      </x:c>
      <x:c r="K52" s="344" t="n">
        <x:v>100</x:v>
      </x:c>
      <x:c r="L52" s="344" t="n">
        <x:v>100</x:v>
      </x:c>
      <x:c r="M52" s="344" t="n">
        <x:v>100</x:v>
      </x:c>
      <x:c r="N52" s="344" t="n">
        <x:v>100</x:v>
      </x:c>
      <x:c r="O52" s="344" t="n">
        <x:v>100</x:v>
      </x:c>
      <x:c r="P52" s="344" t="n">
        <x:v>100</x:v>
      </x:c>
      <x:c r="Q52" s="344" t="n">
        <x:v>80</x:v>
      </x:c>
      <x:c r="R52" s="344" t="n">
        <x:v>100</x:v>
      </x:c>
      <x:c r="S52" s="344" t="n">
        <x:v>100</x:v>
      </x:c>
      <x:c r="T52" s="344" t="n">
        <x:v>100</x:v>
      </x:c>
      <x:c r="U52" s="344" t="n">
        <x:v>100</x:v>
      </x:c>
      <x:c r="V52" s="373" t="n">
        <x:v>100</x:v>
      </x:c>
      <x:c r="W52" s="373" t="n">
        <x:v>100</x:v>
      </x:c>
      <x:c r="X52" s="373" t="n">
        <x:v>80</x:v>
      </x:c>
      <x:c r="Y52" s="373" t="n">
        <x:v>80</x:v>
      </x:c>
      <x:c r="Z52" s="373" t="n">
        <x:v>60</x:v>
      </x:c>
      <x:c r="AA52" s="374" t="n">
        <x:v>60</x:v>
      </x:c>
      <x:c r="AB52" s="344" t="n">
        <x:f>IF(COUNT(D52:AA52)=0,"",AVERAGE(D52:AA52))</x:f>
        <x:v>94.16666666666667</x:v>
      </x:c>
    </x:row>
    <x:row r="53">
      <x:c r="A53" s="52" t="str">
        <x:v>CS-8</x:v>
      </x:c>
      <x:c r="B53" s="53" t="str">
        <x:v>C# — ПОНИМАНИЕ, ОТЛАДКА И НАПИСАНИЕ</x:v>
      </x:c>
      <x:c r="C53" s="53" t="str">
        <x:v>Практическая функция</x:v>
      </x:c>
      <x:c r="D53" s="344" t="n">
        <x:v>100</x:v>
      </x:c>
      <x:c r="E53" s="344" t="n">
        <x:v>100</x:v>
      </x:c>
      <x:c r="F53" s="344" t="n">
        <x:v>100</x:v>
      </x:c>
      <x:c r="G53" s="344" t="n">
        <x:v>90</x:v>
      </x:c>
      <x:c r="H53" s="344" t="n">
        <x:v>100</x:v>
      </x:c>
      <x:c r="I53" s="344" t="n">
        <x:v>100</x:v>
      </x:c>
      <x:c r="J53" s="344" t="n">
        <x:v>100</x:v>
      </x:c>
      <x:c r="K53" s="344" t="n">
        <x:v>100</x:v>
      </x:c>
      <x:c r="L53" s="344" t="n">
        <x:v>90</x:v>
      </x:c>
      <x:c r="M53" s="344" t="n">
        <x:v>100</x:v>
      </x:c>
      <x:c r="N53" s="344" t="n">
        <x:v>60</x:v>
      </x:c>
      <x:c r="O53" s="344" t="n">
        <x:v>100</x:v>
      </x:c>
      <x:c r="P53" s="344" t="n">
        <x:v>100</x:v>
      </x:c>
      <x:c r="Q53" s="344" t="n">
        <x:v>100</x:v>
      </x:c>
      <x:c r="R53" s="344" t="n">
        <x:v>95</x:v>
      </x:c>
      <x:c r="S53" s="344" t="n">
        <x:v>80</x:v>
      </x:c>
      <x:c r="T53" s="344" t="n">
        <x:v>100</x:v>
      </x:c>
      <x:c r="U53" s="344" t="n">
        <x:v>100</x:v>
      </x:c>
      <x:c r="V53" s="373" t="n">
        <x:v>80</x:v>
      </x:c>
      <x:c r="W53" s="373" t="n">
        <x:v>80</x:v>
      </x:c>
      <x:c r="X53" s="373" t="n">
        <x:v>60</x:v>
      </x:c>
      <x:c r="Y53" s="373" t="n">
        <x:v>80</x:v>
      </x:c>
      <x:c r="Z53" s="373" t="n">
        <x:v>0</x:v>
      </x:c>
      <x:c r="AA53" s="374" t="n">
        <x:v>80</x:v>
      </x:c>
      <x:c r="AB53" s="344" t="n">
        <x:f>IF(COUNT(D53:AA53)=0,"",AVERAGE(D53:AA53))</x:f>
        <x:v>87.29166666666667</x:v>
      </x:c>
    </x:row>
    <x:row r="54">
      <x:c r="A54" s="52" t="str">
        <x:v>PHP-1</x:v>
      </x:c>
      <x:c r="B54" s="53" t="str">
        <x:v>PHP 8.2+ — ПОНИМАНИЕ, БЕЗОПАСНОСТЬ И АРХИТЕКТУРА</x:v>
      </x:c>
      <x:c r="C54" s="53" t="str">
        <x:v>SQL injection</x:v>
      </x:c>
      <x:c r="D54" s="344" t="n">
        <x:v>100</x:v>
      </x:c>
      <x:c r="E54" s="344" t="n">
        <x:v>100</x:v>
      </x:c>
      <x:c r="F54" s="344" t="n">
        <x:v>100</x:v>
      </x:c>
      <x:c r="G54" s="344" t="n">
        <x:v>100</x:v>
      </x:c>
      <x:c r="H54" s="344" t="n">
        <x:v>100</x:v>
      </x:c>
      <x:c r="I54" s="344" t="n">
        <x:v>100</x:v>
      </x:c>
      <x:c r="J54" s="344" t="n">
        <x:v>100</x:v>
      </x:c>
      <x:c r="K54" s="344" t="n">
        <x:v>100</x:v>
      </x:c>
      <x:c r="L54" s="344" t="n">
        <x:v>100</x:v>
      </x:c>
      <x:c r="M54" s="344" t="n">
        <x:v>100</x:v>
      </x:c>
      <x:c r="N54" s="344" t="n">
        <x:v>80</x:v>
      </x:c>
      <x:c r="O54" s="344" t="n">
        <x:v>100</x:v>
      </x:c>
      <x:c r="P54" s="344" t="n">
        <x:v>100</x:v>
      </x:c>
      <x:c r="Q54" s="344" t="n">
        <x:v>100</x:v>
      </x:c>
      <x:c r="R54" s="344" t="n">
        <x:v>100</x:v>
      </x:c>
      <x:c r="S54" s="344" t="n">
        <x:v>100</x:v>
      </x:c>
      <x:c r="T54" s="344" t="n">
        <x:v>100</x:v>
      </x:c>
      <x:c r="U54" s="344" t="n">
        <x:v>100</x:v>
      </x:c>
      <x:c r="V54" s="373" t="n">
        <x:v>40</x:v>
      </x:c>
      <x:c r="W54" s="373" t="n">
        <x:v>40</x:v>
      </x:c>
      <x:c r="X54" s="373" t="n">
        <x:v>80</x:v>
      </x:c>
      <x:c r="Y54" s="373" t="n">
        <x:v>80</x:v>
      </x:c>
      <x:c r="Z54" s="373" t="n">
        <x:v>60</x:v>
      </x:c>
      <x:c r="AA54" s="374" t="n">
        <x:v>60</x:v>
      </x:c>
      <x:c r="AB54" s="344" t="n">
        <x:f>IF(COUNT(D54:AA54)=0,"",AVERAGE(D54:AA54))</x:f>
        <x:v>89.16666666666667</x:v>
      </x:c>
    </x:row>
    <x:row r="55">
      <x:c r="A55" s="52" t="str">
        <x:v>PHP-2</x:v>
      </x:c>
      <x:c r="B55" s="53" t="str">
        <x:v>PHP 8.2+ — ПОНИМАНИЕ, БЕЗОПАСНОСТЬ И АРХИТЕКТУРА</x:v>
      </x:c>
      <x:c r="C55" s="53" t="str">
        <x:v>Типизация</x:v>
      </x:c>
      <x:c r="D55" s="344" t="n">
        <x:v>100</x:v>
      </x:c>
      <x:c r="E55" s="344" t="n">
        <x:v>100</x:v>
      </x:c>
      <x:c r="F55" s="344" t="n">
        <x:v>100</x:v>
      </x:c>
      <x:c r="G55" s="344" t="n">
        <x:v>100</x:v>
      </x:c>
      <x:c r="H55" s="344" t="n">
        <x:v>100</x:v>
      </x:c>
      <x:c r="I55" s="344" t="n">
        <x:v>100</x:v>
      </x:c>
      <x:c r="J55" s="344" t="n">
        <x:v>100</x:v>
      </x:c>
      <x:c r="K55" s="344" t="n">
        <x:v>100</x:v>
      </x:c>
      <x:c r="L55" s="344" t="n">
        <x:v>100</x:v>
      </x:c>
      <x:c r="M55" s="344" t="n">
        <x:v>100</x:v>
      </x:c>
      <x:c r="N55" s="344" t="n">
        <x:v>100</x:v>
      </x:c>
      <x:c r="O55" s="344" t="n">
        <x:v>100</x:v>
      </x:c>
      <x:c r="P55" s="344" t="n">
        <x:v>100</x:v>
      </x:c>
      <x:c r="Q55" s="344" t="n">
        <x:v>100</x:v>
      </x:c>
      <x:c r="R55" s="344" t="n">
        <x:v>100</x:v>
      </x:c>
      <x:c r="S55" s="344" t="n">
        <x:v>100</x:v>
      </x:c>
      <x:c r="T55" s="344" t="n">
        <x:v>100</x:v>
      </x:c>
      <x:c r="U55" s="344" t="n">
        <x:v>100</x:v>
      </x:c>
      <x:c r="V55" s="373" t="n">
        <x:v>80</x:v>
      </x:c>
      <x:c r="W55" s="373" t="n">
        <x:v>80</x:v>
      </x:c>
      <x:c r="X55" s="373" t="n">
        <x:v>100</x:v>
      </x:c>
      <x:c r="Y55" s="373" t="n">
        <x:v>100</x:v>
      </x:c>
      <x:c r="Z55" s="373" t="n">
        <x:v>20</x:v>
      </x:c>
      <x:c r="AA55" s="374" t="n">
        <x:v>20</x:v>
      </x:c>
      <x:c r="AB55" s="344" t="n">
        <x:f>IF(COUNT(D55:AA55)=0,"",AVERAGE(D55:AA55))</x:f>
        <x:v>91.66666666666667</x:v>
      </x:c>
    </x:row>
    <x:row r="56">
      <x:c r="A56" s="52" t="str">
        <x:v>PHP-3</x:v>
      </x:c>
      <x:c r="B56" s="53" t="str">
        <x:v>PHP 8.2+ — ПОНИМАНИЕ, БЕЗОПАСНОСТЬ И АРХИТЕКТУРА</x:v>
      </x:c>
      <x:c r="C56" s="53" t="str">
        <x:v>Сессии</x:v>
      </x:c>
      <x:c r="D56" s="344" t="n">
        <x:v>100</x:v>
      </x:c>
      <x:c r="E56" s="344" t="n">
        <x:v>100</x:v>
      </x:c>
      <x:c r="F56" s="344" t="n">
        <x:v>100</x:v>
      </x:c>
      <x:c r="G56" s="344" t="n">
        <x:v>100</x:v>
      </x:c>
      <x:c r="H56" s="344" t="n">
        <x:v>100</x:v>
      </x:c>
      <x:c r="I56" s="344" t="n">
        <x:v>100</x:v>
      </x:c>
      <x:c r="J56" s="344" t="n">
        <x:v>100</x:v>
      </x:c>
      <x:c r="K56" s="344" t="n">
        <x:v>100</x:v>
      </x:c>
      <x:c r="L56" s="344" t="n">
        <x:v>100</x:v>
      </x:c>
      <x:c r="M56" s="344" t="n">
        <x:v>100</x:v>
      </x:c>
      <x:c r="N56" s="344" t="n">
        <x:v>100</x:v>
      </x:c>
      <x:c r="O56" s="344" t="n">
        <x:v>100</x:v>
      </x:c>
      <x:c r="P56" s="344" t="n">
        <x:v>100</x:v>
      </x:c>
      <x:c r="Q56" s="344" t="n">
        <x:v>100</x:v>
      </x:c>
      <x:c r="R56" s="344" t="n">
        <x:v>90</x:v>
      </x:c>
      <x:c r="S56" s="344" t="n">
        <x:v>100</x:v>
      </x:c>
      <x:c r="T56" s="344" t="n">
        <x:v>90</x:v>
      </x:c>
      <x:c r="U56" s="344" t="n">
        <x:v>100</x:v>
      </x:c>
      <x:c r="V56" s="373" t="n">
        <x:v>80</x:v>
      </x:c>
      <x:c r="W56" s="373" t="n">
        <x:v>100</x:v>
      </x:c>
      <x:c r="X56" s="373" t="n">
        <x:v>80</x:v>
      </x:c>
      <x:c r="Y56" s="373" t="n">
        <x:v>80</x:v>
      </x:c>
      <x:c r="Z56" s="373" t="n">
        <x:v>60</x:v>
      </x:c>
      <x:c r="AA56" s="374" t="n">
        <x:v>60</x:v>
      </x:c>
      <x:c r="AB56" s="344" t="n">
        <x:f>IF(COUNT(D56:AA56)=0,"",AVERAGE(D56:AA56))</x:f>
        <x:v>93.33333333333333</x:v>
      </x:c>
    </x:row>
    <x:row r="57">
      <x:c r="A57" s="52" t="str">
        <x:v>PHP-4</x:v>
      </x:c>
      <x:c r="B57" s="53" t="str">
        <x:v>PHP 8.2+ — ПОНИМАНИЕ, БЕЗОПАСНОСТЬ И АРХИТЕКТУРА</x:v>
      </x:c>
      <x:c r="C57" s="53" t="str">
        <x:v>Ошибка сравнения</x:v>
      </x:c>
      <x:c r="D57" s="344" t="n">
        <x:v>100</x:v>
      </x:c>
      <x:c r="E57" s="344" t="n">
        <x:v>100</x:v>
      </x:c>
      <x:c r="F57" s="344" t="n">
        <x:v>100</x:v>
      </x:c>
      <x:c r="G57" s="344" t="n">
        <x:v>100</x:v>
      </x:c>
      <x:c r="H57" s="344" t="n">
        <x:v>100</x:v>
      </x:c>
      <x:c r="I57" s="344" t="n">
        <x:v>100</x:v>
      </x:c>
      <x:c r="J57" s="344" t="n">
        <x:v>100</x:v>
      </x:c>
      <x:c r="K57" s="344" t="n">
        <x:v>100</x:v>
      </x:c>
      <x:c r="L57" s="344" t="n">
        <x:v>100</x:v>
      </x:c>
      <x:c r="M57" s="344" t="n">
        <x:v>100</x:v>
      </x:c>
      <x:c r="N57" s="344" t="n">
        <x:v>100</x:v>
      </x:c>
      <x:c r="O57" s="344" t="n">
        <x:v>100</x:v>
      </x:c>
      <x:c r="P57" s="344" t="n">
        <x:v>100</x:v>
      </x:c>
      <x:c r="Q57" s="344" t="n">
        <x:v>80</x:v>
      </x:c>
      <x:c r="R57" s="344" t="n">
        <x:v>100</x:v>
      </x:c>
      <x:c r="S57" s="344" t="n">
        <x:v>100</x:v>
      </x:c>
      <x:c r="T57" s="344" t="n">
        <x:v>100</x:v>
      </x:c>
      <x:c r="U57" s="344" t="n">
        <x:v>80</x:v>
      </x:c>
      <x:c r="V57" s="373" t="n">
        <x:v>60</x:v>
      </x:c>
      <x:c r="W57" s="373" t="n">
        <x:v>100</x:v>
      </x:c>
      <x:c r="X57" s="373" t="n">
        <x:v>60</x:v>
      </x:c>
      <x:c r="Y57" s="373" t="n">
        <x:v>60</x:v>
      </x:c>
      <x:c r="Z57" s="373" t="n">
        <x:v>60</x:v>
      </x:c>
      <x:c r="AA57" s="374" t="n">
        <x:v>60</x:v>
      </x:c>
      <x:c r="AB57" s="344" t="n">
        <x:f>IF(COUNT(D57:AA57)=0,"",AVERAGE(D57:AA57))</x:f>
        <x:v>90</x:v>
      </x:c>
    </x:row>
    <x:row r="58">
      <x:c r="A58" s="52" t="str">
        <x:v>PHP-5</x:v>
      </x:c>
      <x:c r="B58" s="53" t="str">
        <x:v>PHP 8.2+ — ПОНИМАНИЕ, БЕЗОПАСНОСТЬ И АРХИТЕКТУРА</x:v>
      </x:c>
      <x:c r="C58" s="53" t="str">
        <x:v>Архитектура</x:v>
      </x:c>
      <x:c r="D58" s="344" t="n">
        <x:v>100</x:v>
      </x:c>
      <x:c r="E58" s="344" t="n">
        <x:v>100</x:v>
      </x:c>
      <x:c r="F58" s="344" t="n">
        <x:v>100</x:v>
      </x:c>
      <x:c r="G58" s="344" t="n">
        <x:v>100</x:v>
      </x:c>
      <x:c r="H58" s="344" t="n">
        <x:v>100</x:v>
      </x:c>
      <x:c r="I58" s="344" t="n">
        <x:v>100</x:v>
      </x:c>
      <x:c r="J58" s="344" t="n">
        <x:v>100</x:v>
      </x:c>
      <x:c r="K58" s="344" t="n">
        <x:v>100</x:v>
      </x:c>
      <x:c r="L58" s="344" t="n">
        <x:v>100</x:v>
      </x:c>
      <x:c r="M58" s="344" t="n">
        <x:v>100</x:v>
      </x:c>
      <x:c r="N58" s="344" t="n">
        <x:v>100</x:v>
      </x:c>
      <x:c r="O58" s="344" t="n">
        <x:v>100</x:v>
      </x:c>
      <x:c r="P58" s="344" t="n">
        <x:v>100</x:v>
      </x:c>
      <x:c r="Q58" s="344" t="n">
        <x:v>100</x:v>
      </x:c>
      <x:c r="R58" s="344" t="n">
        <x:v>100</x:v>
      </x:c>
      <x:c r="S58" s="344" t="n">
        <x:v>100</x:v>
      </x:c>
      <x:c r="T58" s="344" t="n">
        <x:v>100</x:v>
      </x:c>
      <x:c r="U58" s="344" t="n">
        <x:v>100</x:v>
      </x:c>
      <x:c r="V58" s="373" t="n">
        <x:v>80</x:v>
      </x:c>
      <x:c r="W58" s="373" t="n">
        <x:v>80</x:v>
      </x:c>
      <x:c r="X58" s="373" t="n">
        <x:v>80</x:v>
      </x:c>
      <x:c r="Y58" s="373" t="n">
        <x:v>80</x:v>
      </x:c>
      <x:c r="Z58" s="373" t="n">
        <x:v>60</x:v>
      </x:c>
      <x:c r="AA58" s="374" t="n">
        <x:v>60</x:v>
      </x:c>
      <x:c r="AB58" s="344" t="n">
        <x:f>IF(COUNT(D58:AA58)=0,"",AVERAGE(D58:AA58))</x:f>
        <x:v>93.33333333333333</x:v>
      </x:c>
    </x:row>
    <x:row r="59">
      <x:c r="A59" s="52" t="str">
        <x:v>PHP-6</x:v>
      </x:c>
      <x:c r="B59" s="53" t="str">
        <x:v>PHP 8.2+ — ПОНИМАНИЕ, БЕЗОПАСНОСТЬ И АРХИТЕКТУРА</x:v>
      </x:c>
      <x:c r="C59" s="53" t="str">
        <x:v>Транзакция и внешнее API</x:v>
      </x:c>
      <x:c r="D59" s="344" t="n">
        <x:v>100</x:v>
      </x:c>
      <x:c r="E59" s="344" t="n">
        <x:v>100</x:v>
      </x:c>
      <x:c r="F59" s="344" t="n">
        <x:v>100</x:v>
      </x:c>
      <x:c r="G59" s="344" t="n">
        <x:v>100</x:v>
      </x:c>
      <x:c r="H59" s="344" t="n">
        <x:v>100</x:v>
      </x:c>
      <x:c r="I59" s="344" t="n">
        <x:v>100</x:v>
      </x:c>
      <x:c r="J59" s="344" t="n">
        <x:v>100</x:v>
      </x:c>
      <x:c r="K59" s="344" t="n">
        <x:v>100</x:v>
      </x:c>
      <x:c r="L59" s="344" t="n">
        <x:v>100</x:v>
      </x:c>
      <x:c r="M59" s="344" t="n">
        <x:v>100</x:v>
      </x:c>
      <x:c r="N59" s="344" t="n">
        <x:v>100</x:v>
      </x:c>
      <x:c r="O59" s="344" t="n">
        <x:v>100</x:v>
      </x:c>
      <x:c r="P59" s="344" t="n">
        <x:v>100</x:v>
      </x:c>
      <x:c r="Q59" s="344" t="n">
        <x:v>100</x:v>
      </x:c>
      <x:c r="R59" s="344" t="n">
        <x:v>90</x:v>
      </x:c>
      <x:c r="S59" s="344" t="n">
        <x:v>100</x:v>
      </x:c>
      <x:c r="T59" s="344" t="n">
        <x:v>80</x:v>
      </x:c>
      <x:c r="U59" s="344" t="n">
        <x:v>80</x:v>
      </x:c>
      <x:c r="V59" s="373" t="n">
        <x:v>100</x:v>
      </x:c>
      <x:c r="W59" s="373" t="n">
        <x:v>80</x:v>
      </x:c>
      <x:c r="X59" s="373" t="n">
        <x:v>80</x:v>
      </x:c>
      <x:c r="Y59" s="373" t="n">
        <x:v>80</x:v>
      </x:c>
      <x:c r="Z59" s="373" t="n">
        <x:v>60</x:v>
      </x:c>
      <x:c r="AA59" s="374" t="n">
        <x:v>60</x:v>
      </x:c>
      <x:c r="AB59" s="344" t="n">
        <x:f>IF(COUNT(D59:AA59)=0,"",AVERAGE(D59:AA59))</x:f>
        <x:v>92.08333333333333</x:v>
      </x:c>
    </x:row>
    <x:row r="60">
      <x:c r="A60" s="52" t="str">
        <x:v>PHP-7</x:v>
      </x:c>
      <x:c r="B60" s="53" t="str">
        <x:v>PHP 8.2+ — ПОНИМАНИЕ, БЕЗОПАСНОСТЬ И АРХИТЕКТУРА</x:v>
      </x:c>
      <x:c r="C60" s="53" t="str">
        <x:v>Загрузка файлов</x:v>
      </x:c>
      <x:c r="D60" s="344" t="n">
        <x:v>100</x:v>
      </x:c>
      <x:c r="E60" s="344" t="n">
        <x:v>100</x:v>
      </x:c>
      <x:c r="F60" s="344" t="n">
        <x:v>100</x:v>
      </x:c>
      <x:c r="G60" s="344" t="n">
        <x:v>100</x:v>
      </x:c>
      <x:c r="H60" s="344" t="n">
        <x:v>100</x:v>
      </x:c>
      <x:c r="I60" s="344" t="n">
        <x:v>100</x:v>
      </x:c>
      <x:c r="J60" s="344" t="n">
        <x:v>100</x:v>
      </x:c>
      <x:c r="K60" s="344" t="n">
        <x:v>100</x:v>
      </x:c>
      <x:c r="L60" s="344" t="n">
        <x:v>100</x:v>
      </x:c>
      <x:c r="M60" s="344" t="n">
        <x:v>100</x:v>
      </x:c>
      <x:c r="N60" s="344" t="n">
        <x:v>100</x:v>
      </x:c>
      <x:c r="O60" s="344" t="n">
        <x:v>80</x:v>
      </x:c>
      <x:c r="P60" s="344" t="n">
        <x:v>100</x:v>
      </x:c>
      <x:c r="Q60" s="344" t="n">
        <x:v>100</x:v>
      </x:c>
      <x:c r="R60" s="344" t="n">
        <x:v>90</x:v>
      </x:c>
      <x:c r="S60" s="344" t="n">
        <x:v>80</x:v>
      </x:c>
      <x:c r="T60" s="344" t="n">
        <x:v>90</x:v>
      </x:c>
      <x:c r="U60" s="344" t="n">
        <x:v>80</x:v>
      </x:c>
      <x:c r="V60" s="373" t="n">
        <x:v>80</x:v>
      </x:c>
      <x:c r="W60" s="373" t="n">
        <x:v>60</x:v>
      </x:c>
      <x:c r="X60" s="373" t="n">
        <x:v>60</x:v>
      </x:c>
      <x:c r="Y60" s="373" t="n">
        <x:v>60</x:v>
      </x:c>
      <x:c r="Z60" s="373" t="n">
        <x:v>60</x:v>
      </x:c>
      <x:c r="AA60" s="374" t="n">
        <x:v>60</x:v>
      </x:c>
      <x:c r="AB60" s="344" t="n">
        <x:f>IF(COUNT(D60:AA60)=0,"",AVERAGE(D60:AA60))</x:f>
        <x:v>87.5</x:v>
      </x:c>
    </x:row>
    <x:row r="61">
      <x:c r="A61" s="52" t="str">
        <x:v>PHP-8</x:v>
      </x:c>
      <x:c r="B61" s="53" t="str">
        <x:v>PHP 8.2+ — ПОНИМАНИЕ, БЕЗОПАСНОСТЬ И АРХИТЕКТУРА</x:v>
      </x:c>
      <x:c r="C61" s="53" t="str">
        <x:v>Код</x:v>
      </x:c>
      <x:c r="D61" s="344" t="n">
        <x:v>100</x:v>
      </x:c>
      <x:c r="E61" s="344" t="n">
        <x:v>100</x:v>
      </x:c>
      <x:c r="F61" s="344" t="n">
        <x:v>100</x:v>
      </x:c>
      <x:c r="G61" s="344" t="n">
        <x:v>70</x:v>
      </x:c>
      <x:c r="H61" s="344" t="n">
        <x:v>100</x:v>
      </x:c>
      <x:c r="I61" s="344" t="n">
        <x:v>100</x:v>
      </x:c>
      <x:c r="J61" s="344" t="n">
        <x:v>100</x:v>
      </x:c>
      <x:c r="K61" s="344" t="n">
        <x:v>100</x:v>
      </x:c>
      <x:c r="L61" s="344" t="n">
        <x:v>100</x:v>
      </x:c>
      <x:c r="M61" s="344" t="n">
        <x:v>100</x:v>
      </x:c>
      <x:c r="N61" s="344" t="n">
        <x:v>20</x:v>
      </x:c>
      <x:c r="O61" s="344" t="n">
        <x:v>100</x:v>
      </x:c>
      <x:c r="P61" s="344" t="n">
        <x:v>100</x:v>
      </x:c>
      <x:c r="Q61" s="344" t="n">
        <x:v>100</x:v>
      </x:c>
      <x:c r="R61" s="344" t="n">
        <x:v>100</x:v>
      </x:c>
      <x:c r="S61" s="344" t="n">
        <x:v>80</x:v>
      </x:c>
      <x:c r="T61" s="344" t="n">
        <x:v>100</x:v>
      </x:c>
      <x:c r="U61" s="344" t="n">
        <x:v>100</x:v>
      </x:c>
      <x:c r="V61" s="373" t="n">
        <x:v>80</x:v>
      </x:c>
      <x:c r="W61" s="373" t="n">
        <x:v>20</x:v>
      </x:c>
      <x:c r="X61" s="373" t="n">
        <x:v>40</x:v>
      </x:c>
      <x:c r="Y61" s="373" t="n">
        <x:v>100</x:v>
      </x:c>
      <x:c r="Z61" s="373" t="n">
        <x:v>20</x:v>
      </x:c>
      <x:c r="AA61" s="374" t="n">
        <x:v>20</x:v>
      </x:c>
      <x:c r="AB61" s="344" t="n">
        <x:f>IF(COUNT(D61:AA61)=0,"",AVERAGE(D61:AA61))</x:f>
        <x:v>81.25</x:v>
      </x:c>
    </x:row>
    <x:row r="62">
      <x:c r="A62" s="52" t="str">
        <x:v>JS-1</x:v>
      </x:c>
      <x:c r="B62" s="53" t="str">
        <x:v>JAVASCRIPT</x:v>
      </x:c>
      <x:c r="C62" s="53" t="str">
        <x:v>Event loop</x:v>
      </x:c>
      <x:c r="D62" s="344" t="n">
        <x:v>100</x:v>
      </x:c>
      <x:c r="E62" s="344" t="n">
        <x:v>100</x:v>
      </x:c>
      <x:c r="F62" s="344" t="n">
        <x:v>100</x:v>
      </x:c>
      <x:c r="G62" s="344" t="n">
        <x:v>100</x:v>
      </x:c>
      <x:c r="H62" s="344" t="n">
        <x:v>100</x:v>
      </x:c>
      <x:c r="I62" s="344" t="n">
        <x:v>100</x:v>
      </x:c>
      <x:c r="J62" s="344" t="n">
        <x:v>100</x:v>
      </x:c>
      <x:c r="K62" s="344" t="n">
        <x:v>100</x:v>
      </x:c>
      <x:c r="L62" s="344" t="n">
        <x:v>100</x:v>
      </x:c>
      <x:c r="M62" s="344" t="n">
        <x:v>100</x:v>
      </x:c>
      <x:c r="N62" s="344" t="n">
        <x:v>100</x:v>
      </x:c>
      <x:c r="O62" s="344" t="n">
        <x:v>20</x:v>
      </x:c>
      <x:c r="P62" s="344" t="n">
        <x:v>20</x:v>
      </x:c>
      <x:c r="Q62" s="344" t="n">
        <x:v>40</x:v>
      </x:c>
      <x:c r="R62" s="344" t="n">
        <x:v>100</x:v>
      </x:c>
      <x:c r="S62" s="344" t="n">
        <x:v>100</x:v>
      </x:c>
      <x:c r="T62" s="344" t="n">
        <x:v>100</x:v>
      </x:c>
      <x:c r="U62" s="344" t="n">
        <x:v>40</x:v>
      </x:c>
      <x:c r="V62" s="373" t="n">
        <x:v>0</x:v>
      </x:c>
      <x:c r="W62" s="373" t="n">
        <x:v>0</x:v>
      </x:c>
      <x:c r="X62" s="373" t="n">
        <x:v>60</x:v>
      </x:c>
      <x:c r="Y62" s="373" t="n">
        <x:v>60</x:v>
      </x:c>
      <x:c r="Z62" s="373" t="n">
        <x:v>60</x:v>
      </x:c>
      <x:c r="AA62" s="374" t="n">
        <x:v>60</x:v>
      </x:c>
      <x:c r="AB62" s="344" t="n">
        <x:f>IF(COUNT(D62:AA62)=0,"",AVERAGE(D62:AA62))</x:f>
        <x:v>73.33333333333333</x:v>
      </x:c>
    </x:row>
    <x:row r="63">
      <x:c r="A63" s="52" t="str">
        <x:v>JS-2</x:v>
      </x:c>
      <x:c r="B63" s="53" t="str">
        <x:v>JAVASCRIPT</x:v>
      </x:c>
      <x:c r="C63" s="53" t="str">
        <x:v>Race condition UI</x:v>
      </x:c>
      <x:c r="D63" s="344" t="n">
        <x:v>100</x:v>
      </x:c>
      <x:c r="E63" s="344" t="n">
        <x:v>100</x:v>
      </x:c>
      <x:c r="F63" s="344" t="n">
        <x:v>100</x:v>
      </x:c>
      <x:c r="G63" s="344" t="n">
        <x:v>100</x:v>
      </x:c>
      <x:c r="H63" s="344" t="n">
        <x:v>100</x:v>
      </x:c>
      <x:c r="I63" s="344" t="n">
        <x:v>100</x:v>
      </x:c>
      <x:c r="J63" s="344" t="n">
        <x:v>100</x:v>
      </x:c>
      <x:c r="K63" s="344" t="n">
        <x:v>100</x:v>
      </x:c>
      <x:c r="L63" s="344" t="n">
        <x:v>100</x:v>
      </x:c>
      <x:c r="M63" s="344" t="n">
        <x:v>100</x:v>
      </x:c>
      <x:c r="N63" s="344" t="n">
        <x:v>100</x:v>
      </x:c>
      <x:c r="O63" s="344" t="n">
        <x:v>100</x:v>
      </x:c>
      <x:c r="P63" s="344" t="n">
        <x:v>100</x:v>
      </x:c>
      <x:c r="Q63" s="344" t="n">
        <x:v>100</x:v>
      </x:c>
      <x:c r="R63" s="344" t="n">
        <x:v>100</x:v>
      </x:c>
      <x:c r="S63" s="344" t="n">
        <x:v>100</x:v>
      </x:c>
      <x:c r="T63" s="344" t="n">
        <x:v>100</x:v>
      </x:c>
      <x:c r="U63" s="344" t="n">
        <x:v>100</x:v>
      </x:c>
      <x:c r="V63" s="373" t="n">
        <x:v>100</x:v>
      </x:c>
      <x:c r="W63" s="373" t="n">
        <x:v>80</x:v>
      </x:c>
      <x:c r="X63" s="373" t="n">
        <x:v>40</x:v>
      </x:c>
      <x:c r="Y63" s="373" t="n">
        <x:v>40</x:v>
      </x:c>
      <x:c r="Z63" s="373" t="n">
        <x:v>80</x:v>
      </x:c>
      <x:c r="AA63" s="374" t="n">
        <x:v>80</x:v>
      </x:c>
      <x:c r="AB63" s="344" t="n">
        <x:f>IF(COUNT(D63:AA63)=0,"",AVERAGE(D63:AA63))</x:f>
        <x:v>92.5</x:v>
      </x:c>
    </x:row>
    <x:row r="64">
      <x:c r="A64" s="52" t="str">
        <x:v>JS-3</x:v>
      </x:c>
      <x:c r="B64" s="53" t="str">
        <x:v>JAVASCRIPT</x:v>
      </x:c>
      <x:c r="C64" s="53" t="str">
        <x:v>XSS</x:v>
      </x:c>
      <x:c r="D64" s="344" t="n">
        <x:v>100</x:v>
      </x:c>
      <x:c r="E64" s="344" t="n">
        <x:v>100</x:v>
      </x:c>
      <x:c r="F64" s="344" t="n">
        <x:v>100</x:v>
      </x:c>
      <x:c r="G64" s="344" t="n">
        <x:v>100</x:v>
      </x:c>
      <x:c r="H64" s="344" t="n">
        <x:v>100</x:v>
      </x:c>
      <x:c r="I64" s="344" t="n">
        <x:v>100</x:v>
      </x:c>
      <x:c r="J64" s="344" t="n">
        <x:v>100</x:v>
      </x:c>
      <x:c r="K64" s="344" t="n">
        <x:v>100</x:v>
      </x:c>
      <x:c r="L64" s="344" t="n">
        <x:v>100</x:v>
      </x:c>
      <x:c r="M64" s="344" t="n">
        <x:v>100</x:v>
      </x:c>
      <x:c r="N64" s="344" t="n">
        <x:v>100</x:v>
      </x:c>
      <x:c r="O64" s="344" t="n">
        <x:v>100</x:v>
      </x:c>
      <x:c r="P64" s="344" t="n">
        <x:v>100</x:v>
      </x:c>
      <x:c r="Q64" s="344" t="n">
        <x:v>100</x:v>
      </x:c>
      <x:c r="R64" s="344" t="n">
        <x:v>90</x:v>
      </x:c>
      <x:c r="S64" s="344" t="n">
        <x:v>80</x:v>
      </x:c>
      <x:c r="T64" s="344" t="n">
        <x:v>100</x:v>
      </x:c>
      <x:c r="U64" s="344" t="n">
        <x:v>100</x:v>
      </x:c>
      <x:c r="V64" s="373" t="n">
        <x:v>100</x:v>
      </x:c>
      <x:c r="W64" s="373" t="n">
        <x:v>100</x:v>
      </x:c>
      <x:c r="X64" s="373" t="n">
        <x:v>60</x:v>
      </x:c>
      <x:c r="Y64" s="373" t="n">
        <x:v>60</x:v>
      </x:c>
      <x:c r="Z64" s="373" t="n">
        <x:v>60</x:v>
      </x:c>
      <x:c r="AA64" s="374" t="n">
        <x:v>60</x:v>
      </x:c>
      <x:c r="AB64" s="344" t="n">
        <x:f>IF(COUNT(D64:AA64)=0,"",AVERAGE(D64:AA64))</x:f>
        <x:v>92.08333333333333</x:v>
      </x:c>
    </x:row>
    <x:row r="65">
      <x:c r="A65" s="52" t="str">
        <x:v>JS-4</x:v>
      </x:c>
      <x:c r="B65" s="53" t="str">
        <x:v>JAVASCRIPT</x:v>
      </x:c>
      <x:c r="C65" s="53" t="str">
        <x:v>Замыкания</x:v>
      </x:c>
      <x:c r="D65" s="344" t="n">
        <x:v>100</x:v>
      </x:c>
      <x:c r="E65" s="344" t="n">
        <x:v>100</x:v>
      </x:c>
      <x:c r="F65" s="344" t="n">
        <x:v>100</x:v>
      </x:c>
      <x:c r="G65" s="344" t="n">
        <x:v>100</x:v>
      </x:c>
      <x:c r="H65" s="344" t="n">
        <x:v>100</x:v>
      </x:c>
      <x:c r="I65" s="344" t="n">
        <x:v>100</x:v>
      </x:c>
      <x:c r="J65" s="344" t="n">
        <x:v>100</x:v>
      </x:c>
      <x:c r="K65" s="344" t="n">
        <x:v>100</x:v>
      </x:c>
      <x:c r="L65" s="344" t="n">
        <x:v>100</x:v>
      </x:c>
      <x:c r="M65" s="344" t="n">
        <x:v>100</x:v>
      </x:c>
      <x:c r="N65" s="344" t="n">
        <x:v>100</x:v>
      </x:c>
      <x:c r="O65" s="344" t="n">
        <x:v>100</x:v>
      </x:c>
      <x:c r="P65" s="344" t="n">
        <x:v>100</x:v>
      </x:c>
      <x:c r="Q65" s="344" t="n">
        <x:v>100</x:v>
      </x:c>
      <x:c r="R65" s="344" t="n">
        <x:v>100</x:v>
      </x:c>
      <x:c r="S65" s="344" t="n">
        <x:v>100</x:v>
      </x:c>
      <x:c r="T65" s="344" t="n">
        <x:v>100</x:v>
      </x:c>
      <x:c r="U65" s="344" t="n">
        <x:v>100</x:v>
      </x:c>
      <x:c r="V65" s="373" t="n">
        <x:v>40</x:v>
      </x:c>
      <x:c r="W65" s="373" t="n">
        <x:v>20</x:v>
      </x:c>
      <x:c r="X65" s="373" t="n">
        <x:v>40</x:v>
      </x:c>
      <x:c r="Y65" s="373" t="n">
        <x:v>40</x:v>
      </x:c>
      <x:c r="Z65" s="373" t="n">
        <x:v>100</x:v>
      </x:c>
      <x:c r="AA65" s="374" t="n">
        <x:v>0</x:v>
      </x:c>
      <x:c r="AB65" s="344" t="n">
        <x:f>IF(COUNT(D65:AA65)=0,"",AVERAGE(D65:AA65))</x:f>
        <x:v>85</x:v>
      </x:c>
    </x:row>
    <x:row r="66">
      <x:c r="A66" s="52" t="str">
        <x:v>JS-5</x:v>
      </x:c>
      <x:c r="B66" s="53" t="str">
        <x:v>JAVASCRIPT</x:v>
      </x:c>
      <x:c r="C66" s="53" t="str">
        <x:v>Асинхронная функция</x:v>
      </x:c>
      <x:c r="D66" s="344" t="n">
        <x:v>100</x:v>
      </x:c>
      <x:c r="E66" s="344" t="n">
        <x:v>100</x:v>
      </x:c>
      <x:c r="F66" s="344" t="n">
        <x:v>100</x:v>
      </x:c>
      <x:c r="G66" s="344" t="n">
        <x:v>100</x:v>
      </x:c>
      <x:c r="H66" s="344" t="n">
        <x:v>100</x:v>
      </x:c>
      <x:c r="I66" s="344" t="n">
        <x:v>100</x:v>
      </x:c>
      <x:c r="J66" s="344" t="n">
        <x:v>100</x:v>
      </x:c>
      <x:c r="K66" s="344" t="n">
        <x:v>100</x:v>
      </x:c>
      <x:c r="L66" s="344" t="n">
        <x:v>100</x:v>
      </x:c>
      <x:c r="M66" s="344" t="n">
        <x:v>100</x:v>
      </x:c>
      <x:c r="N66" s="344" t="n">
        <x:v>100</x:v>
      </x:c>
      <x:c r="O66" s="344" t="n">
        <x:v>40</x:v>
      </x:c>
      <x:c r="P66" s="344" t="n">
        <x:v>40</x:v>
      </x:c>
      <x:c r="Q66" s="344" t="n">
        <x:v>40</x:v>
      </x:c>
      <x:c r="R66" s="344" t="n">
        <x:v>90</x:v>
      </x:c>
      <x:c r="S66" s="344" t="n">
        <x:v>80</x:v>
      </x:c>
      <x:c r="T66" s="344" t="n">
        <x:v>60</x:v>
      </x:c>
      <x:c r="U66" s="344" t="n">
        <x:v>40</x:v>
      </x:c>
      <x:c r="V66" s="373" t="n">
        <x:v>0</x:v>
      </x:c>
      <x:c r="W66" s="373" t="n">
        <x:v>0</x:v>
      </x:c>
      <x:c r="X66" s="373" t="n">
        <x:v>20</x:v>
      </x:c>
      <x:c r="Y66" s="373" t="n">
        <x:v>20</x:v>
      </x:c>
      <x:c r="Z66" s="373" t="n">
        <x:v>20</x:v>
      </x:c>
      <x:c r="AA66" s="374" t="n">
        <x:v>20</x:v>
      </x:c>
      <x:c r="AB66" s="344" t="n">
        <x:f>IF(COUNT(D66:AA66)=0,"",AVERAGE(D66:AA66))</x:f>
        <x:v>65.41666666666667</x:v>
      </x:c>
    </x:row>
    <x:row r="67">
      <x:c r="A67" s="52" t="str">
        <x:v>JS-6</x:v>
      </x:c>
      <x:c r="B67" s="53" t="str">
        <x:v>JAVASCRIPT</x:v>
      </x:c>
      <x:c r="C67" s="53" t="str">
        <x:v>Иммутабельность</x:v>
      </x:c>
      <x:c r="D67" s="344" t="n">
        <x:v>100</x:v>
      </x:c>
      <x:c r="E67" s="344" t="n">
        <x:v>100</x:v>
      </x:c>
      <x:c r="F67" s="344" t="n">
        <x:v>100</x:v>
      </x:c>
      <x:c r="G67" s="344" t="n">
        <x:v>100</x:v>
      </x:c>
      <x:c r="H67" s="344" t="n">
        <x:v>100</x:v>
      </x:c>
      <x:c r="I67" s="344" t="n">
        <x:v>100</x:v>
      </x:c>
      <x:c r="J67" s="344" t="n">
        <x:v>100</x:v>
      </x:c>
      <x:c r="K67" s="344" t="n">
        <x:v>100</x:v>
      </x:c>
      <x:c r="L67" s="344" t="n">
        <x:v>100</x:v>
      </x:c>
      <x:c r="M67" s="344" t="n">
        <x:v>100</x:v>
      </x:c>
      <x:c r="N67" s="344" t="n">
        <x:v>100</x:v>
      </x:c>
      <x:c r="O67" s="344" t="n">
        <x:v>100</x:v>
      </x:c>
      <x:c r="P67" s="344" t="n">
        <x:v>100</x:v>
      </x:c>
      <x:c r="Q67" s="344" t="n">
        <x:v>100</x:v>
      </x:c>
      <x:c r="R67" s="344" t="n">
        <x:v>100</x:v>
      </x:c>
      <x:c r="S67" s="344" t="n">
        <x:v>100</x:v>
      </x:c>
      <x:c r="T67" s="344" t="n">
        <x:v>100</x:v>
      </x:c>
      <x:c r="U67" s="344" t="n">
        <x:v>100</x:v>
      </x:c>
      <x:c r="V67" s="373" t="n">
        <x:v>100</x:v>
      </x:c>
      <x:c r="W67" s="373" t="n">
        <x:v>100</x:v>
      </x:c>
      <x:c r="X67" s="373" t="n">
        <x:v>60</x:v>
      </x:c>
      <x:c r="Y67" s="373" t="n">
        <x:v>60</x:v>
      </x:c>
      <x:c r="Z67" s="373" t="n">
        <x:v>60</x:v>
      </x:c>
      <x:c r="AA67" s="374" t="n">
        <x:v>60</x:v>
      </x:c>
      <x:c r="AB67" s="344" t="n">
        <x:f>IF(COUNT(D67:AA67)=0,"",AVERAGE(D67:AA67))</x:f>
        <x:v>93.33333333333333</x:v>
      </x:c>
    </x:row>
    <x:row r="68">
      <x:c r="A68" s="52" t="str">
        <x:v>JS-7</x:v>
      </x:c>
      <x:c r="B68" s="53" t="str">
        <x:v>JAVASCRIPT</x:v>
      </x:c>
      <x:c r="C68" s="53" t="str">
        <x:v>Производительность DOM</x:v>
      </x:c>
      <x:c r="D68" s="344" t="n">
        <x:v>100</x:v>
      </x:c>
      <x:c r="E68" s="344" t="n">
        <x:v>100</x:v>
      </x:c>
      <x:c r="F68" s="344" t="n">
        <x:v>100</x:v>
      </x:c>
      <x:c r="G68" s="344" t="n">
        <x:v>100</x:v>
      </x:c>
      <x:c r="H68" s="344" t="n">
        <x:v>100</x:v>
      </x:c>
      <x:c r="I68" s="344" t="n">
        <x:v>100</x:v>
      </x:c>
      <x:c r="J68" s="344" t="n">
        <x:v>100</x:v>
      </x:c>
      <x:c r="K68" s="344" t="n">
        <x:v>100</x:v>
      </x:c>
      <x:c r="L68" s="344" t="n">
        <x:v>100</x:v>
      </x:c>
      <x:c r="M68" s="344" t="n">
        <x:v>100</x:v>
      </x:c>
      <x:c r="N68" s="344" t="n">
        <x:v>100</x:v>
      </x:c>
      <x:c r="O68" s="344" t="n">
        <x:v>100</x:v>
      </x:c>
      <x:c r="P68" s="344" t="n">
        <x:v>100</x:v>
      </x:c>
      <x:c r="Q68" s="344" t="n">
        <x:v>100</x:v>
      </x:c>
      <x:c r="R68" s="344" t="n">
        <x:v>100</x:v>
      </x:c>
      <x:c r="S68" s="344" t="n">
        <x:v>100</x:v>
      </x:c>
      <x:c r="T68" s="344" t="n">
        <x:v>100</x:v>
      </x:c>
      <x:c r="U68" s="344" t="n">
        <x:v>100</x:v>
      </x:c>
      <x:c r="V68" s="373" t="n">
        <x:v>100</x:v>
      </x:c>
      <x:c r="W68" s="373" t="n">
        <x:v>100</x:v>
      </x:c>
      <x:c r="X68" s="373" t="n">
        <x:v>60</x:v>
      </x:c>
      <x:c r="Y68" s="373" t="n">
        <x:v>60</x:v>
      </x:c>
      <x:c r="Z68" s="373" t="n">
        <x:v>60</x:v>
      </x:c>
      <x:c r="AA68" s="374" t="n">
        <x:v>60</x:v>
      </x:c>
      <x:c r="AB68" s="344" t="n">
        <x:f>IF(COUNT(D68:AA68)=0,"",AVERAGE(D68:AA68))</x:f>
        <x:v>93.33333333333333</x:v>
      </x:c>
    </x:row>
    <x:row r="69">
      <x:c r="A69" s="52" t="str">
        <x:v>WEB-1</x:v>
      </x:c>
      <x:c r="B69" s="53" t="str">
        <x:v>HTML, CSS, SVG И ДОСТУПНОСТЬ</x:v>
      </x:c>
      <x:c r="C69" s="53" t="str">
        <x:v>Семантика</x:v>
      </x:c>
      <x:c r="D69" s="344" t="n">
        <x:v>100</x:v>
      </x:c>
      <x:c r="E69" s="344" t="n">
        <x:v>100</x:v>
      </x:c>
      <x:c r="F69" s="344" t="n">
        <x:v>100</x:v>
      </x:c>
      <x:c r="G69" s="344" t="n">
        <x:v>100</x:v>
      </x:c>
      <x:c r="H69" s="344" t="n">
        <x:v>100</x:v>
      </x:c>
      <x:c r="I69" s="344" t="n">
        <x:v>100</x:v>
      </x:c>
      <x:c r="J69" s="344" t="n">
        <x:v>100</x:v>
      </x:c>
      <x:c r="K69" s="344" t="n">
        <x:v>100</x:v>
      </x:c>
      <x:c r="L69" s="344" t="n">
        <x:v>100</x:v>
      </x:c>
      <x:c r="M69" s="344" t="n">
        <x:v>100</x:v>
      </x:c>
      <x:c r="N69" s="344" t="n">
        <x:v>100</x:v>
      </x:c>
      <x:c r="O69" s="344" t="n">
        <x:v>100</x:v>
      </x:c>
      <x:c r="P69" s="344" t="n">
        <x:v>100</x:v>
      </x:c>
      <x:c r="Q69" s="344" t="n">
        <x:v>100</x:v>
      </x:c>
      <x:c r="R69" s="344" t="n">
        <x:v>100</x:v>
      </x:c>
      <x:c r="S69" s="344" t="n">
        <x:v>100</x:v>
      </x:c>
      <x:c r="T69" s="344" t="n">
        <x:v>100</x:v>
      </x:c>
      <x:c r="U69" s="344" t="n">
        <x:v>100</x:v>
      </x:c>
      <x:c r="V69" s="373" t="n">
        <x:v>100</x:v>
      </x:c>
      <x:c r="W69" s="373" t="n">
        <x:v>100</x:v>
      </x:c>
      <x:c r="X69" s="373" t="n">
        <x:v>80</x:v>
      </x:c>
      <x:c r="Y69" s="373" t="n">
        <x:v>80</x:v>
      </x:c>
      <x:c r="Z69" s="373" t="n">
        <x:v>60</x:v>
      </x:c>
      <x:c r="AA69" s="374" t="n">
        <x:v>60</x:v>
      </x:c>
      <x:c r="AB69" s="344" t="n">
        <x:f>IF(COUNT(D69:AA69)=0,"",AVERAGE(D69:AA69))</x:f>
        <x:v>95</x:v>
      </x:c>
    </x:row>
    <x:row r="70">
      <x:c r="A70" s="52" t="str">
        <x:v>WEB-2</x:v>
      </x:c>
      <x:c r="B70" s="53" t="str">
        <x:v>HTML, CSS, SVG И ДОСТУПНОСТЬ</x:v>
      </x:c>
      <x:c r="C70" s="53" t="str">
        <x:v>Форма</x:v>
      </x:c>
      <x:c r="D70" s="344" t="n">
        <x:v>80</x:v>
      </x:c>
      <x:c r="E70" s="344" t="n">
        <x:v>80</x:v>
      </x:c>
      <x:c r="F70" s="344" t="n">
        <x:v>80</x:v>
      </x:c>
      <x:c r="G70" s="344" t="n">
        <x:v>80</x:v>
      </x:c>
      <x:c r="H70" s="344" t="n">
        <x:v>80</x:v>
      </x:c>
      <x:c r="I70" s="344" t="n">
        <x:v>80</x:v>
      </x:c>
      <x:c r="J70" s="344" t="n">
        <x:v>80</x:v>
      </x:c>
      <x:c r="K70" s="344" t="n">
        <x:v>80</x:v>
      </x:c>
      <x:c r="L70" s="344" t="n">
        <x:v>80</x:v>
      </x:c>
      <x:c r="M70" s="344" t="n">
        <x:v>80</x:v>
      </x:c>
      <x:c r="N70" s="344" t="n">
        <x:v>80</x:v>
      </x:c>
      <x:c r="O70" s="344" t="n">
        <x:v>100</x:v>
      </x:c>
      <x:c r="P70" s="344" t="n">
        <x:v>100</x:v>
      </x:c>
      <x:c r="Q70" s="344" t="n">
        <x:v>80</x:v>
      </x:c>
      <x:c r="R70" s="344" t="n">
        <x:v>60</x:v>
      </x:c>
      <x:c r="S70" s="344" t="n">
        <x:v>60</x:v>
      </x:c>
      <x:c r="T70" s="344" t="n">
        <x:v>60</x:v>
      </x:c>
      <x:c r="U70" s="344" t="n">
        <x:v>60</x:v>
      </x:c>
      <x:c r="V70" s="373" t="n">
        <x:v>60</x:v>
      </x:c>
      <x:c r="W70" s="373" t="n">
        <x:v>80</x:v>
      </x:c>
      <x:c r="X70" s="373" t="n">
        <x:v>80</x:v>
      </x:c>
      <x:c r="Y70" s="373" t="n">
        <x:v>80</x:v>
      </x:c>
      <x:c r="Z70" s="373" t="n">
        <x:v>60</x:v>
      </x:c>
      <x:c r="AA70" s="374" t="n">
        <x:v>60</x:v>
      </x:c>
      <x:c r="AB70" s="344" t="n">
        <x:f>IF(COUNT(D70:AA70)=0,"",AVERAGE(D70:AA70))</x:f>
        <x:v>75.83333333333333</x:v>
      </x:c>
    </x:row>
    <x:row r="71">
      <x:c r="A71" s="52" t="str">
        <x:v>WEB-3</x:v>
      </x:c>
      <x:c r="B71" s="53" t="str">
        <x:v>HTML, CSS, SVG И ДОСТУПНОСТЬ</x:v>
      </x:c>
      <x:c r="C71" s="53" t="str">
        <x:v>CSS layout</x:v>
      </x:c>
      <x:c r="D71" s="344" t="n">
        <x:v>100</x:v>
      </x:c>
      <x:c r="E71" s="344" t="n">
        <x:v>100</x:v>
      </x:c>
      <x:c r="F71" s="344" t="n">
        <x:v>80</x:v>
      </x:c>
      <x:c r="G71" s="344" t="n">
        <x:v>100</x:v>
      </x:c>
      <x:c r="H71" s="344" t="n">
        <x:v>100</x:v>
      </x:c>
      <x:c r="I71" s="344" t="n">
        <x:v>100</x:v>
      </x:c>
      <x:c r="J71" s="344" t="n">
        <x:v>100</x:v>
      </x:c>
      <x:c r="K71" s="344" t="n">
        <x:v>100</x:v>
      </x:c>
      <x:c r="L71" s="344" t="n">
        <x:v>80</x:v>
      </x:c>
      <x:c r="M71" s="344" t="n">
        <x:v>100</x:v>
      </x:c>
      <x:c r="N71" s="344" t="n">
        <x:v>80</x:v>
      </x:c>
      <x:c r="O71" s="344" t="n">
        <x:v>100</x:v>
      </x:c>
      <x:c r="P71" s="344" t="n">
        <x:v>100</x:v>
      </x:c>
      <x:c r="Q71" s="344" t="n">
        <x:v>100</x:v>
      </x:c>
      <x:c r="R71" s="344" t="n">
        <x:v>100</x:v>
      </x:c>
      <x:c r="S71" s="344" t="n">
        <x:v>100</x:v>
      </x:c>
      <x:c r="T71" s="344" t="n">
        <x:v>100</x:v>
      </x:c>
      <x:c r="U71" s="344" t="n">
        <x:v>100</x:v>
      </x:c>
      <x:c r="V71" s="373" t="n">
        <x:v>100</x:v>
      </x:c>
      <x:c r="W71" s="373" t="n">
        <x:v>100</x:v>
      </x:c>
      <x:c r="X71" s="373" t="n">
        <x:v>60</x:v>
      </x:c>
      <x:c r="Y71" s="373" t="n">
        <x:v>60</x:v>
      </x:c>
      <x:c r="Z71" s="373" t="n">
        <x:v>60</x:v>
      </x:c>
      <x:c r="AA71" s="374" t="n">
        <x:v>60</x:v>
      </x:c>
      <x:c r="AB71" s="344" t="n">
        <x:f>IF(COUNT(D71:AA71)=0,"",AVERAGE(D71:AA71))</x:f>
        <x:v>90.83333333333333</x:v>
      </x:c>
    </x:row>
    <x:row r="72">
      <x:c r="A72" s="52" t="str">
        <x:v>WEB-4</x:v>
      </x:c>
      <x:c r="B72" s="53" t="str">
        <x:v>HTML, CSS, SVG И ДОСТУПНОСТЬ</x:v>
      </x:c>
      <x:c r="C72" s="53" t="str">
        <x:v>Переполнение текста</x:v>
      </x:c>
      <x:c r="D72" s="344" t="n">
        <x:v>100</x:v>
      </x:c>
      <x:c r="E72" s="344" t="n">
        <x:v>100</x:v>
      </x:c>
      <x:c r="F72" s="344" t="n">
        <x:v>100</x:v>
      </x:c>
      <x:c r="G72" s="344" t="n">
        <x:v>100</x:v>
      </x:c>
      <x:c r="H72" s="344" t="n">
        <x:v>100</x:v>
      </x:c>
      <x:c r="I72" s="344" t="n">
        <x:v>100</x:v>
      </x:c>
      <x:c r="J72" s="344" t="n">
        <x:v>100</x:v>
      </x:c>
      <x:c r="K72" s="344" t="n">
        <x:v>100</x:v>
      </x:c>
      <x:c r="L72" s="344" t="n">
        <x:v>100</x:v>
      </x:c>
      <x:c r="M72" s="344" t="n">
        <x:v>100</x:v>
      </x:c>
      <x:c r="N72" s="344" t="n">
        <x:v>100</x:v>
      </x:c>
      <x:c r="O72" s="344" t="n">
        <x:v>100</x:v>
      </x:c>
      <x:c r="P72" s="344" t="n">
        <x:v>100</x:v>
      </x:c>
      <x:c r="Q72" s="344" t="n">
        <x:v>100</x:v>
      </x:c>
      <x:c r="R72" s="344" t="n">
        <x:v>100</x:v>
      </x:c>
      <x:c r="S72" s="344" t="n">
        <x:v>100</x:v>
      </x:c>
      <x:c r="T72" s="344" t="n">
        <x:v>100</x:v>
      </x:c>
      <x:c r="U72" s="344" t="n">
        <x:v>100</x:v>
      </x:c>
      <x:c r="V72" s="373" t="n">
        <x:v>100</x:v>
      </x:c>
      <x:c r="W72" s="373" t="n">
        <x:v>100</x:v>
      </x:c>
      <x:c r="X72" s="373" t="n">
        <x:v>80</x:v>
      </x:c>
      <x:c r="Y72" s="373" t="n">
        <x:v>80</x:v>
      </x:c>
      <x:c r="Z72" s="373" t="n">
        <x:v>60</x:v>
      </x:c>
      <x:c r="AA72" s="374" t="n">
        <x:v>60</x:v>
      </x:c>
      <x:c r="AB72" s="344" t="n">
        <x:f>IF(COUNT(D72:AA72)=0,"",AVERAGE(D72:AA72))</x:f>
        <x:v>95</x:v>
      </x:c>
    </x:row>
    <x:row r="73">
      <x:c r="A73" s="52" t="str">
        <x:v>WEB-5</x:v>
      </x:c>
      <x:c r="B73" s="53" t="str">
        <x:v>HTML, CSS, SVG И ДОСТУПНОСТЬ</x:v>
      </x:c>
      <x:c r="C73" s="53" t="str">
        <x:v>SVG</x:v>
      </x:c>
      <x:c r="D73" s="344" t="n">
        <x:v>100</x:v>
      </x:c>
      <x:c r="E73" s="344" t="n">
        <x:v>100</x:v>
      </x:c>
      <x:c r="F73" s="344" t="n">
        <x:v>100</x:v>
      </x:c>
      <x:c r="G73" s="344" t="n">
        <x:v>100</x:v>
      </x:c>
      <x:c r="H73" s="344" t="n">
        <x:v>100</x:v>
      </x:c>
      <x:c r="I73" s="344" t="n">
        <x:v>100</x:v>
      </x:c>
      <x:c r="J73" s="344" t="n">
        <x:v>100</x:v>
      </x:c>
      <x:c r="K73" s="344" t="n">
        <x:v>100</x:v>
      </x:c>
      <x:c r="L73" s="344" t="n">
        <x:v>100</x:v>
      </x:c>
      <x:c r="M73" s="344" t="n">
        <x:v>100</x:v>
      </x:c>
      <x:c r="N73" s="344" t="n">
        <x:v>100</x:v>
      </x:c>
      <x:c r="O73" s="344" t="n">
        <x:v>100</x:v>
      </x:c>
      <x:c r="P73" s="344" t="n">
        <x:v>100</x:v>
      </x:c>
      <x:c r="Q73" s="344" t="n">
        <x:v>80</x:v>
      </x:c>
      <x:c r="R73" s="344" t="n">
        <x:v>100</x:v>
      </x:c>
      <x:c r="S73" s="344" t="n">
        <x:v>80</x:v>
      </x:c>
      <x:c r="T73" s="344" t="n">
        <x:v>40</x:v>
      </x:c>
      <x:c r="U73" s="344" t="n">
        <x:v>80</x:v>
      </x:c>
      <x:c r="V73" s="373" t="n">
        <x:v>80</x:v>
      </x:c>
      <x:c r="W73" s="373" t="n">
        <x:v>80</x:v>
      </x:c>
      <x:c r="X73" s="373" t="n">
        <x:v>40</x:v>
      </x:c>
      <x:c r="Y73" s="373" t="n">
        <x:v>100</x:v>
      </x:c>
      <x:c r="Z73" s="373" t="n">
        <x:v>20</x:v>
      </x:c>
      <x:c r="AA73" s="374" t="n">
        <x:v>20</x:v>
      </x:c>
      <x:c r="AB73" s="344" t="n">
        <x:f>IF(COUNT(D73:AA73)=0,"",AVERAGE(D73:AA73))</x:f>
        <x:v>84.16666666666667</x:v>
      </x:c>
    </x:row>
    <x:row r="74">
      <x:c r="A74" s="52" t="str">
        <x:v>WEB-6</x:v>
      </x:c>
      <x:c r="B74" s="53" t="str">
        <x:v>HTML, CSS, SVG И ДОСТУПНОСТЬ</x:v>
      </x:c>
      <x:c r="C74" s="53" t="str">
        <x:v>Доступность SVG</x:v>
      </x:c>
      <x:c r="D74" s="344" t="n">
        <x:v>100</x:v>
      </x:c>
      <x:c r="E74" s="344" t="n">
        <x:v>100</x:v>
      </x:c>
      <x:c r="F74" s="344" t="n">
        <x:v>100</x:v>
      </x:c>
      <x:c r="G74" s="344" t="n">
        <x:v>100</x:v>
      </x:c>
      <x:c r="H74" s="344" t="n">
        <x:v>100</x:v>
      </x:c>
      <x:c r="I74" s="344" t="n">
        <x:v>100</x:v>
      </x:c>
      <x:c r="J74" s="344" t="n">
        <x:v>100</x:v>
      </x:c>
      <x:c r="K74" s="344" t="n">
        <x:v>100</x:v>
      </x:c>
      <x:c r="L74" s="344" t="n">
        <x:v>100</x:v>
      </x:c>
      <x:c r="M74" s="344" t="n">
        <x:v>100</x:v>
      </x:c>
      <x:c r="N74" s="344" t="n">
        <x:v>100</x:v>
      </x:c>
      <x:c r="O74" s="344" t="n">
        <x:v>100</x:v>
      </x:c>
      <x:c r="P74" s="344" t="n">
        <x:v>100</x:v>
      </x:c>
      <x:c r="Q74" s="344" t="n">
        <x:v>100</x:v>
      </x:c>
      <x:c r="R74" s="344" t="n">
        <x:v>100</x:v>
      </x:c>
      <x:c r="S74" s="344" t="n">
        <x:v>100</x:v>
      </x:c>
      <x:c r="T74" s="344" t="n">
        <x:v>100</x:v>
      </x:c>
      <x:c r="U74" s="344" t="n">
        <x:v>100</x:v>
      </x:c>
      <x:c r="V74" s="373" t="n">
        <x:v>100</x:v>
      </x:c>
      <x:c r="W74" s="373" t="n">
        <x:v>100</x:v>
      </x:c>
      <x:c r="X74" s="373" t="n">
        <x:v>100</x:v>
      </x:c>
      <x:c r="Y74" s="373" t="n">
        <x:v>100</x:v>
      </x:c>
      <x:c r="Z74" s="373" t="n">
        <x:v>40</x:v>
      </x:c>
      <x:c r="AA74" s="374" t="n">
        <x:v>40</x:v>
      </x:c>
      <x:c r="AB74" s="344" t="n">
        <x:f>IF(COUNT(D74:AA74)=0,"",AVERAGE(D74:AA74))</x:f>
        <x:v>95</x:v>
      </x:c>
    </x:row>
    <x:row r="75">
      <x:c r="A75" s="52" t="str">
        <x:v>WEB-7</x:v>
      </x:c>
      <x:c r="B75" s="53" t="str">
        <x:v>HTML, CSS, SVG И ДОСТУПНОСТЬ</x:v>
      </x:c>
      <x:c r="C75" s="53" t="str">
        <x:v>CSS specificity</x:v>
      </x:c>
      <x:c r="D75" s="344" t="n">
        <x:v>100</x:v>
      </x:c>
      <x:c r="E75" s="344" t="n">
        <x:v>100</x:v>
      </x:c>
      <x:c r="F75" s="344" t="n">
        <x:v>100</x:v>
      </x:c>
      <x:c r="G75" s="344" t="n">
        <x:v>100</x:v>
      </x:c>
      <x:c r="H75" s="344" t="n">
        <x:v>100</x:v>
      </x:c>
      <x:c r="I75" s="344" t="n">
        <x:v>100</x:v>
      </x:c>
      <x:c r="J75" s="344" t="n">
        <x:v>100</x:v>
      </x:c>
      <x:c r="K75" s="344" t="n">
        <x:v>100</x:v>
      </x:c>
      <x:c r="L75" s="344" t="n">
        <x:v>100</x:v>
      </x:c>
      <x:c r="M75" s="344" t="n">
        <x:v>100</x:v>
      </x:c>
      <x:c r="N75" s="344" t="n">
        <x:v>100</x:v>
      </x:c>
      <x:c r="O75" s="344" t="n">
        <x:v>100</x:v>
      </x:c>
      <x:c r="P75" s="344" t="n">
        <x:v>100</x:v>
      </x:c>
      <x:c r="Q75" s="344" t="n">
        <x:v>100</x:v>
      </x:c>
      <x:c r="R75" s="344" t="n">
        <x:v>100</x:v>
      </x:c>
      <x:c r="S75" s="344" t="n">
        <x:v>100</x:v>
      </x:c>
      <x:c r="T75" s="344" t="n">
        <x:v>100</x:v>
      </x:c>
      <x:c r="U75" s="344" t="n">
        <x:v>100</x:v>
      </x:c>
      <x:c r="V75" s="373" t="n">
        <x:v>100</x:v>
      </x:c>
      <x:c r="W75" s="373" t="n">
        <x:v>100</x:v>
      </x:c>
      <x:c r="X75" s="373" t="n">
        <x:v>80</x:v>
      </x:c>
      <x:c r="Y75" s="373" t="n">
        <x:v>80</x:v>
      </x:c>
      <x:c r="Z75" s="373" t="n">
        <x:v>60</x:v>
      </x:c>
      <x:c r="AA75" s="374" t="n">
        <x:v>60</x:v>
      </x:c>
      <x:c r="AB75" s="344" t="n">
        <x:f>IF(COUNT(D75:AA75)=0,"",AVERAGE(D75:AA75))</x:f>
        <x:v>95</x:v>
      </x:c>
    </x:row>
    <x:row r="76">
      <x:c r="A76" s="52" t="str">
        <x:v>DB-1</x:v>
      </x:c>
      <x:c r="B76" s="53" t="str">
        <x:v>SQL И БАЗЫ ДАННЫХ</x:v>
      </x:c>
      <x:c r="C76" s="53" t="str">
        <x:v>Индекс</x:v>
      </x:c>
      <x:c r="D76" s="344" t="n">
        <x:v>100</x:v>
      </x:c>
      <x:c r="E76" s="344" t="n">
        <x:v>100</x:v>
      </x:c>
      <x:c r="F76" s="344" t="n">
        <x:v>100</x:v>
      </x:c>
      <x:c r="G76" s="344" t="n">
        <x:v>100</x:v>
      </x:c>
      <x:c r="H76" s="344" t="n">
        <x:v>100</x:v>
      </x:c>
      <x:c r="I76" s="344" t="n">
        <x:v>100</x:v>
      </x:c>
      <x:c r="J76" s="344" t="n">
        <x:v>100</x:v>
      </x:c>
      <x:c r="K76" s="344" t="n">
        <x:v>100</x:v>
      </x:c>
      <x:c r="L76" s="344" t="n">
        <x:v>100</x:v>
      </x:c>
      <x:c r="M76" s="344" t="n">
        <x:v>100</x:v>
      </x:c>
      <x:c r="N76" s="344" t="n">
        <x:v>100</x:v>
      </x:c>
      <x:c r="O76" s="344" t="n">
        <x:v>100</x:v>
      </x:c>
      <x:c r="P76" s="344" t="n">
        <x:v>100</x:v>
      </x:c>
      <x:c r="Q76" s="344" t="n">
        <x:v>80</x:v>
      </x:c>
      <x:c r="R76" s="344" t="n">
        <x:v>100</x:v>
      </x:c>
      <x:c r="S76" s="344" t="n">
        <x:v>100</x:v>
      </x:c>
      <x:c r="T76" s="344" t="n">
        <x:v>100</x:v>
      </x:c>
      <x:c r="U76" s="344" t="n">
        <x:v>100</x:v>
      </x:c>
      <x:c r="V76" s="373" t="n">
        <x:v>100</x:v>
      </x:c>
      <x:c r="W76" s="373" t="n">
        <x:v>100</x:v>
      </x:c>
      <x:c r="X76" s="373" t="n">
        <x:v>100</x:v>
      </x:c>
      <x:c r="Y76" s="373" t="n">
        <x:v>100</x:v>
      </x:c>
      <x:c r="Z76" s="373" t="n">
        <x:v>100</x:v>
      </x:c>
      <x:c r="AA76" s="374" t="n">
        <x:v>80</x:v>
      </x:c>
      <x:c r="AB76" s="344" t="n">
        <x:f>IF(COUNT(D76:AA76)=0,"",AVERAGE(D76:AA76))</x:f>
        <x:v>98.33333333333333</x:v>
      </x:c>
    </x:row>
    <x:row r="77">
      <x:c r="A77" s="52" t="str">
        <x:v>DB-2</x:v>
      </x:c>
      <x:c r="B77" s="53" t="str">
        <x:v>SQL И БАЗЫ ДАННЫХ</x:v>
      </x:c>
      <x:c r="C77" s="53" t="str">
        <x:v>N+1</x:v>
      </x:c>
      <x:c r="D77" s="344" t="n">
        <x:v>100</x:v>
      </x:c>
      <x:c r="E77" s="344" t="n">
        <x:v>100</x:v>
      </x:c>
      <x:c r="F77" s="344" t="n">
        <x:v>100</x:v>
      </x:c>
      <x:c r="G77" s="344" t="n">
        <x:v>100</x:v>
      </x:c>
      <x:c r="H77" s="344" t="n">
        <x:v>100</x:v>
      </x:c>
      <x:c r="I77" s="344" t="n">
        <x:v>100</x:v>
      </x:c>
      <x:c r="J77" s="344" t="n">
        <x:v>100</x:v>
      </x:c>
      <x:c r="K77" s="344" t="n">
        <x:v>100</x:v>
      </x:c>
      <x:c r="L77" s="344" t="n">
        <x:v>100</x:v>
      </x:c>
      <x:c r="M77" s="344" t="n">
        <x:v>100</x:v>
      </x:c>
      <x:c r="N77" s="344" t="n">
        <x:v>100</x:v>
      </x:c>
      <x:c r="O77" s="344" t="n">
        <x:v>100</x:v>
      </x:c>
      <x:c r="P77" s="344" t="n">
        <x:v>100</x:v>
      </x:c>
      <x:c r="Q77" s="344" t="n">
        <x:v>100</x:v>
      </x:c>
      <x:c r="R77" s="344" t="n">
        <x:v>100</x:v>
      </x:c>
      <x:c r="S77" s="344" t="n">
        <x:v>80</x:v>
      </x:c>
      <x:c r="T77" s="344" t="n">
        <x:v>100</x:v>
      </x:c>
      <x:c r="U77" s="344" t="n">
        <x:v>100</x:v>
      </x:c>
      <x:c r="V77" s="373" t="n">
        <x:v>100</x:v>
      </x:c>
      <x:c r="W77" s="373" t="n">
        <x:v>100</x:v>
      </x:c>
      <x:c r="X77" s="373" t="n">
        <x:v>100</x:v>
      </x:c>
      <x:c r="Y77" s="373" t="n">
        <x:v>100</x:v>
      </x:c>
      <x:c r="Z77" s="373" t="n">
        <x:v>100</x:v>
      </x:c>
      <x:c r="AA77" s="374" t="n">
        <x:v>80</x:v>
      </x:c>
      <x:c r="AB77" s="344" t="n">
        <x:f>IF(COUNT(D77:AA77)=0,"",AVERAGE(D77:AA77))</x:f>
        <x:v>98.33333333333333</x:v>
      </x:c>
    </x:row>
    <x:row r="78">
      <x:c r="A78" s="52" t="str">
        <x:v>DB-3</x:v>
      </x:c>
      <x:c r="B78" s="53" t="str">
        <x:v>SQL И БАЗЫ ДАННЫХ</x:v>
      </x:c>
      <x:c r="C78" s="53" t="str">
        <x:v>Транзакции</x:v>
      </x:c>
      <x:c r="D78" s="344" t="n">
        <x:v>100</x:v>
      </x:c>
      <x:c r="E78" s="344" t="n">
        <x:v>100</x:v>
      </x:c>
      <x:c r="F78" s="344" t="n">
        <x:v>100</x:v>
      </x:c>
      <x:c r="G78" s="344" t="n">
        <x:v>100</x:v>
      </x:c>
      <x:c r="H78" s="344" t="n">
        <x:v>100</x:v>
      </x:c>
      <x:c r="I78" s="344" t="n">
        <x:v>100</x:v>
      </x:c>
      <x:c r="J78" s="344" t="n">
        <x:v>100</x:v>
      </x:c>
      <x:c r="K78" s="344" t="n">
        <x:v>90</x:v>
      </x:c>
      <x:c r="L78" s="344" t="n">
        <x:v>100</x:v>
      </x:c>
      <x:c r="M78" s="344" t="n">
        <x:v>100</x:v>
      </x:c>
      <x:c r="N78" s="344" t="n">
        <x:v>100</x:v>
      </x:c>
      <x:c r="O78" s="344" t="n">
        <x:v>100</x:v>
      </x:c>
      <x:c r="P78" s="344" t="n">
        <x:v>100</x:v>
      </x:c>
      <x:c r="Q78" s="344" t="n">
        <x:v>100</x:v>
      </x:c>
      <x:c r="R78" s="344" t="n">
        <x:v>90</x:v>
      </x:c>
      <x:c r="S78" s="344" t="n">
        <x:v>80</x:v>
      </x:c>
      <x:c r="T78" s="344" t="n">
        <x:v>90</x:v>
      </x:c>
      <x:c r="U78" s="344" t="n">
        <x:v>100</x:v>
      </x:c>
      <x:c r="V78" s="373" t="n">
        <x:v>80</x:v>
      </x:c>
      <x:c r="W78" s="373" t="n">
        <x:v>80</x:v>
      </x:c>
      <x:c r="X78" s="373" t="n">
        <x:v>100</x:v>
      </x:c>
      <x:c r="Y78" s="373" t="n">
        <x:v>100</x:v>
      </x:c>
      <x:c r="Z78" s="373" t="n">
        <x:v>100</x:v>
      </x:c>
      <x:c r="AA78" s="374" t="n">
        <x:v>80</x:v>
      </x:c>
      <x:c r="AB78" s="344" t="n">
        <x:f>IF(COUNT(D78:AA78)=0,"",AVERAGE(D78:AA78))</x:f>
        <x:v>95.41666666666667</x:v>
      </x:c>
    </x:row>
    <x:row r="79">
      <x:c r="A79" s="52" t="str">
        <x:v>DB-4</x:v>
      </x:c>
      <x:c r="B79" s="53" t="str">
        <x:v>SQL И БАЗЫ ДАННЫХ</x:v>
      </x:c>
      <x:c r="C79" s="53" t="str">
        <x:v>Deadlock</x:v>
      </x:c>
      <x:c r="D79" s="344" t="n">
        <x:v>100</x:v>
      </x:c>
      <x:c r="E79" s="344" t="n">
        <x:v>100</x:v>
      </x:c>
      <x:c r="F79" s="344" t="n">
        <x:v>100</x:v>
      </x:c>
      <x:c r="G79" s="344" t="n">
        <x:v>100</x:v>
      </x:c>
      <x:c r="H79" s="344" t="n">
        <x:v>100</x:v>
      </x:c>
      <x:c r="I79" s="344" t="n">
        <x:v>100</x:v>
      </x:c>
      <x:c r="J79" s="344" t="n">
        <x:v>100</x:v>
      </x:c>
      <x:c r="K79" s="344" t="n">
        <x:v>100</x:v>
      </x:c>
      <x:c r="L79" s="344" t="n">
        <x:v>100</x:v>
      </x:c>
      <x:c r="M79" s="344" t="n">
        <x:v>100</x:v>
      </x:c>
      <x:c r="N79" s="344" t="n">
        <x:v>100</x:v>
      </x:c>
      <x:c r="O79" s="344" t="n">
        <x:v>100</x:v>
      </x:c>
      <x:c r="P79" s="344" t="n">
        <x:v>100</x:v>
      </x:c>
      <x:c r="Q79" s="344" t="n">
        <x:v>100</x:v>
      </x:c>
      <x:c r="R79" s="344" t="n">
        <x:v>100</x:v>
      </x:c>
      <x:c r="S79" s="344" t="n">
        <x:v>100</x:v>
      </x:c>
      <x:c r="T79" s="344" t="n">
        <x:v>100</x:v>
      </x:c>
      <x:c r="U79" s="344" t="n">
        <x:v>100</x:v>
      </x:c>
      <x:c r="V79" s="373" t="n">
        <x:v>100</x:v>
      </x:c>
      <x:c r="W79" s="373" t="n">
        <x:v>100</x:v>
      </x:c>
      <x:c r="X79" s="373" t="n">
        <x:v>100</x:v>
      </x:c>
      <x:c r="Y79" s="373" t="n">
        <x:v>100</x:v>
      </x:c>
      <x:c r="Z79" s="373" t="n">
        <x:v>100</x:v>
      </x:c>
      <x:c r="AA79" s="374" t="n">
        <x:v>80</x:v>
      </x:c>
      <x:c r="AB79" s="344" t="n">
        <x:f>IF(COUNT(D79:AA79)=0,"",AVERAGE(D79:AA79))</x:f>
        <x:v>99.16666666666667</x:v>
      </x:c>
    </x:row>
    <x:row r="80">
      <x:c r="A80" s="52" t="str">
        <x:v>DB-5</x:v>
      </x:c>
      <x:c r="B80" s="53" t="str">
        <x:v>SQL И БАЗЫ ДАННЫХ</x:v>
      </x:c>
      <x:c r="C80" s="53" t="str">
        <x:v>UPSERT</x:v>
      </x:c>
      <x:c r="D80" s="344" t="n">
        <x:v>100</x:v>
      </x:c>
      <x:c r="E80" s="344" t="n">
        <x:v>100</x:v>
      </x:c>
      <x:c r="F80" s="344" t="n">
        <x:v>100</x:v>
      </x:c>
      <x:c r="G80" s="344" t="n">
        <x:v>100</x:v>
      </x:c>
      <x:c r="H80" s="344" t="n">
        <x:v>100</x:v>
      </x:c>
      <x:c r="I80" s="344" t="n">
        <x:v>100</x:v>
      </x:c>
      <x:c r="J80" s="344" t="n">
        <x:v>100</x:v>
      </x:c>
      <x:c r="K80" s="344" t="n">
        <x:v>100</x:v>
      </x:c>
      <x:c r="L80" s="344" t="n">
        <x:v>100</x:v>
      </x:c>
      <x:c r="M80" s="344" t="n">
        <x:v>100</x:v>
      </x:c>
      <x:c r="N80" s="344" t="n">
        <x:v>100</x:v>
      </x:c>
      <x:c r="O80" s="344" t="n">
        <x:v>100</x:v>
      </x:c>
      <x:c r="P80" s="344" t="n">
        <x:v>100</x:v>
      </x:c>
      <x:c r="Q80" s="344" t="n">
        <x:v>100</x:v>
      </x:c>
      <x:c r="R80" s="344" t="n">
        <x:v>100</x:v>
      </x:c>
      <x:c r="S80" s="344" t="n">
        <x:v>100</x:v>
      </x:c>
      <x:c r="T80" s="344" t="n">
        <x:v>100</x:v>
      </x:c>
      <x:c r="U80" s="344" t="n">
        <x:v>100</x:v>
      </x:c>
      <x:c r="V80" s="373" t="n">
        <x:v>100</x:v>
      </x:c>
      <x:c r="W80" s="373" t="n">
        <x:v>100</x:v>
      </x:c>
      <x:c r="X80" s="373" t="n">
        <x:v>60</x:v>
      </x:c>
      <x:c r="Y80" s="373" t="n">
        <x:v>100</x:v>
      </x:c>
      <x:c r="Z80" s="373" t="n">
        <x:v>100</x:v>
      </x:c>
      <x:c r="AA80" s="374" t="n">
        <x:v>0</x:v>
      </x:c>
      <x:c r="AB80" s="344" t="n">
        <x:f>IF(COUNT(D80:AA80)=0,"",AVERAGE(D80:AA80))</x:f>
        <x:v>94.16666666666667</x:v>
      </x:c>
    </x:row>
    <x:row r="81">
      <x:c r="A81" s="52" t="str">
        <x:v>DB-6</x:v>
      </x:c>
      <x:c r="B81" s="53" t="str">
        <x:v>SQL И БАЗЫ ДАННЫХ</x:v>
      </x:c>
      <x:c r="C81" s="53" t="str">
        <x:v>Пагинация</x:v>
      </x:c>
      <x:c r="D81" s="344" t="n">
        <x:v>100</x:v>
      </x:c>
      <x:c r="E81" s="344" t="n">
        <x:v>100</x:v>
      </x:c>
      <x:c r="F81" s="344" t="n">
        <x:v>100</x:v>
      </x:c>
      <x:c r="G81" s="344" t="n">
        <x:v>100</x:v>
      </x:c>
      <x:c r="H81" s="344" t="n">
        <x:v>100</x:v>
      </x:c>
      <x:c r="I81" s="344" t="n">
        <x:v>90</x:v>
      </x:c>
      <x:c r="J81" s="344" t="n">
        <x:v>100</x:v>
      </x:c>
      <x:c r="K81" s="344" t="n">
        <x:v>100</x:v>
      </x:c>
      <x:c r="L81" s="344" t="n">
        <x:v>100</x:v>
      </x:c>
      <x:c r="M81" s="344" t="n">
        <x:v>100</x:v>
      </x:c>
      <x:c r="N81" s="344" t="n">
        <x:v>70</x:v>
      </x:c>
      <x:c r="O81" s="344" t="n">
        <x:v>100</x:v>
      </x:c>
      <x:c r="P81" s="344" t="n">
        <x:v>100</x:v>
      </x:c>
      <x:c r="Q81" s="344" t="n">
        <x:v>80</x:v>
      </x:c>
      <x:c r="R81" s="344" t="n">
        <x:v>70</x:v>
      </x:c>
      <x:c r="S81" s="344" t="n">
        <x:v>80</x:v>
      </x:c>
      <x:c r="T81" s="344" t="n">
        <x:v>60</x:v>
      </x:c>
      <x:c r="U81" s="344" t="n">
        <x:v>100</x:v>
      </x:c>
      <x:c r="V81" s="373" t="n">
        <x:v>80</x:v>
      </x:c>
      <x:c r="W81" s="373" t="n">
        <x:v>80</x:v>
      </x:c>
      <x:c r="X81" s="373" t="n">
        <x:v>100</x:v>
      </x:c>
      <x:c r="Y81" s="373" t="n">
        <x:v>100</x:v>
      </x:c>
      <x:c r="Z81" s="373" t="n">
        <x:v>100</x:v>
      </x:c>
      <x:c r="AA81" s="374" t="n">
        <x:v>80</x:v>
      </x:c>
      <x:c r="AB81" s="344" t="n">
        <x:f>IF(COUNT(D81:AA81)=0,"",AVERAGE(D81:AA81))</x:f>
        <x:v>91.25</x:v>
      </x:c>
    </x:row>
    <x:row r="82">
      <x:c r="A82" s="52" t="str">
        <x:v>DB-7</x:v>
      </x:c>
      <x:c r="B82" s="53" t="str">
        <x:v>SQL И БАЗЫ ДАННЫХ</x:v>
      </x:c>
      <x:c r="C82" s="53" t="str">
        <x:v>Денежные значения</x:v>
      </x:c>
      <x:c r="D82" s="344" t="n">
        <x:v>100</x:v>
      </x:c>
      <x:c r="E82" s="344" t="n">
        <x:v>100</x:v>
      </x:c>
      <x:c r="F82" s="344" t="n">
        <x:v>100</x:v>
      </x:c>
      <x:c r="G82" s="344" t="n">
        <x:v>100</x:v>
      </x:c>
      <x:c r="H82" s="344" t="n">
        <x:v>100</x:v>
      </x:c>
      <x:c r="I82" s="344" t="n">
        <x:v>100</x:v>
      </x:c>
      <x:c r="J82" s="344" t="n">
        <x:v>100</x:v>
      </x:c>
      <x:c r="K82" s="344" t="n">
        <x:v>100</x:v>
      </x:c>
      <x:c r="L82" s="344" t="n">
        <x:v>100</x:v>
      </x:c>
      <x:c r="M82" s="344" t="n">
        <x:v>100</x:v>
      </x:c>
      <x:c r="N82" s="344" t="n">
        <x:v>100</x:v>
      </x:c>
      <x:c r="O82" s="344" t="n">
        <x:v>100</x:v>
      </x:c>
      <x:c r="P82" s="344" t="n">
        <x:v>100</x:v>
      </x:c>
      <x:c r="Q82" s="344" t="n">
        <x:v>100</x:v>
      </x:c>
      <x:c r="R82" s="344" t="n">
        <x:v>100</x:v>
      </x:c>
      <x:c r="S82" s="344" t="n">
        <x:v>100</x:v>
      </x:c>
      <x:c r="T82" s="344" t="n">
        <x:v>100</x:v>
      </x:c>
      <x:c r="U82" s="344" t="n">
        <x:v>100</x:v>
      </x:c>
      <x:c r="V82" s="373" t="n">
        <x:v>100</x:v>
      </x:c>
      <x:c r="W82" s="373" t="n">
        <x:v>60</x:v>
      </x:c>
      <x:c r="X82" s="373" t="n">
        <x:v>100</x:v>
      </x:c>
      <x:c r="Y82" s="373" t="n">
        <x:v>100</x:v>
      </x:c>
      <x:c r="Z82" s="373" t="n">
        <x:v>100</x:v>
      </x:c>
      <x:c r="AA82" s="374" t="n">
        <x:v>80</x:v>
      </x:c>
      <x:c r="AB82" s="344" t="n">
        <x:f>IF(COUNT(D82:AA82)=0,"",AVERAGE(D82:AA82))</x:f>
        <x:v>97.5</x:v>
      </x:c>
    </x:row>
    <x:row r="83">
      <x:c r="A83" s="52" t="str">
        <x:v>ARCH-1</x:v>
      </x:c>
      <x:c r="B83" s="53" t="str">
        <x:v>BACKEND, FULL-STACK И API-АРХИТЕКТУРА</x:v>
      </x:c>
      <x:c r="C83" s="53" t="str">
        <x:v>Идемпотентность</x:v>
      </x:c>
      <x:c r="D83" s="344" t="n">
        <x:v>100</x:v>
      </x:c>
      <x:c r="E83" s="344" t="n">
        <x:v>100</x:v>
      </x:c>
      <x:c r="F83" s="344" t="n">
        <x:v>100</x:v>
      </x:c>
      <x:c r="G83" s="344" t="n">
        <x:v>100</x:v>
      </x:c>
      <x:c r="H83" s="344" t="n">
        <x:v>100</x:v>
      </x:c>
      <x:c r="I83" s="344" t="n">
        <x:v>100</x:v>
      </x:c>
      <x:c r="J83" s="344" t="n">
        <x:v>100</x:v>
      </x:c>
      <x:c r="K83" s="344" t="n">
        <x:v>100</x:v>
      </x:c>
      <x:c r="L83" s="344" t="n">
        <x:v>100</x:v>
      </x:c>
      <x:c r="M83" s="344" t="n">
        <x:v>90</x:v>
      </x:c>
      <x:c r="N83" s="344" t="n">
        <x:v>100</x:v>
      </x:c>
      <x:c r="O83" s="344" t="n">
        <x:v>80</x:v>
      </x:c>
      <x:c r="P83" s="344" t="n">
        <x:v>80</x:v>
      </x:c>
      <x:c r="Q83" s="344" t="n">
        <x:v>80</x:v>
      </x:c>
      <x:c r="R83" s="344" t="n">
        <x:v>60</x:v>
      </x:c>
      <x:c r="S83" s="344" t="n">
        <x:v>80</x:v>
      </x:c>
      <x:c r="T83" s="344" t="n">
        <x:v>80</x:v>
      </x:c>
      <x:c r="U83" s="344" t="n">
        <x:v>80</x:v>
      </x:c>
      <x:c r="V83" s="373" t="n">
        <x:v>80</x:v>
      </x:c>
      <x:c r="W83" s="373" t="n">
        <x:v>80</x:v>
      </x:c>
      <x:c r="X83" s="373" t="n">
        <x:v>100</x:v>
      </x:c>
      <x:c r="Y83" s="373" t="n">
        <x:v>100</x:v>
      </x:c>
      <x:c r="Z83" s="373" t="n">
        <x:v>80</x:v>
      </x:c>
      <x:c r="AA83" s="374" t="n">
        <x:v>80</x:v>
      </x:c>
      <x:c r="AB83" s="344" t="n">
        <x:f>IF(COUNT(D83:AA83)=0,"",AVERAGE(D83:AA83))</x:f>
        <x:v>89.58333333333333</x:v>
      </x:c>
    </x:row>
    <x:row r="84">
      <x:c r="A84" s="52" t="str">
        <x:v>ARCH-2</x:v>
      </x:c>
      <x:c r="B84" s="53" t="str">
        <x:v>BACKEND, FULL-STACK И API-АРХИТЕКТУРА</x:v>
      </x:c>
      <x:c r="C84" s="53" t="str">
        <x:v>Очереди</x:v>
      </x:c>
      <x:c r="D84" s="344" t="n">
        <x:v>100</x:v>
      </x:c>
      <x:c r="E84" s="344" t="n">
        <x:v>100</x:v>
      </x:c>
      <x:c r="F84" s="344" t="n">
        <x:v>100</x:v>
      </x:c>
      <x:c r="G84" s="344" t="n">
        <x:v>100</x:v>
      </x:c>
      <x:c r="H84" s="344" t="n">
        <x:v>100</x:v>
      </x:c>
      <x:c r="I84" s="344" t="n">
        <x:v>100</x:v>
      </x:c>
      <x:c r="J84" s="344" t="n">
        <x:v>100</x:v>
      </x:c>
      <x:c r="K84" s="344" t="n">
        <x:v>100</x:v>
      </x:c>
      <x:c r="L84" s="344" t="n">
        <x:v>100</x:v>
      </x:c>
      <x:c r="M84" s="344" t="n">
        <x:v>100</x:v>
      </x:c>
      <x:c r="N84" s="344" t="n">
        <x:v>100</x:v>
      </x:c>
      <x:c r="O84" s="344" t="n">
        <x:v>100</x:v>
      </x:c>
      <x:c r="P84" s="344" t="n">
        <x:v>100</x:v>
      </x:c>
      <x:c r="Q84" s="344" t="n">
        <x:v>100</x:v>
      </x:c>
      <x:c r="R84" s="344" t="n">
        <x:v>100</x:v>
      </x:c>
      <x:c r="S84" s="344" t="n">
        <x:v>100</x:v>
      </x:c>
      <x:c r="T84" s="344" t="n">
        <x:v>100</x:v>
      </x:c>
      <x:c r="U84" s="344" t="n">
        <x:v>100</x:v>
      </x:c>
      <x:c r="V84" s="373" t="n">
        <x:v>80</x:v>
      </x:c>
      <x:c r="W84" s="373" t="n">
        <x:v>80</x:v>
      </x:c>
      <x:c r="X84" s="373" t="n">
        <x:v>100</x:v>
      </x:c>
      <x:c r="Y84" s="373" t="n">
        <x:v>100</x:v>
      </x:c>
      <x:c r="Z84" s="373" t="n">
        <x:v>80</x:v>
      </x:c>
      <x:c r="AA84" s="374" t="n">
        <x:v>80</x:v>
      </x:c>
      <x:c r="AB84" s="344" t="n">
        <x:f>IF(COUNT(D84:AA84)=0,"",AVERAGE(D84:AA84))</x:f>
        <x:v>96.66666666666667</x:v>
      </x:c>
    </x:row>
    <x:row r="85">
      <x:c r="A85" s="52" t="str">
        <x:v>ARCH-3</x:v>
      </x:c>
      <x:c r="B85" s="53" t="str">
        <x:v>BACKEND, FULL-STACK И API-АРХИТЕКТУРА</x:v>
      </x:c>
      <x:c r="C85" s="53" t="str">
        <x:v>Согласованность</x:v>
      </x:c>
      <x:c r="D85" s="344" t="n">
        <x:v>100</x:v>
      </x:c>
      <x:c r="E85" s="344" t="n">
        <x:v>100</x:v>
      </x:c>
      <x:c r="F85" s="344" t="n">
        <x:v>100</x:v>
      </x:c>
      <x:c r="G85" s="344" t="n">
        <x:v>100</x:v>
      </x:c>
      <x:c r="H85" s="344" t="n">
        <x:v>100</x:v>
      </x:c>
      <x:c r="I85" s="344" t="n">
        <x:v>100</x:v>
      </x:c>
      <x:c r="J85" s="344" t="n">
        <x:v>100</x:v>
      </x:c>
      <x:c r="K85" s="344" t="n">
        <x:v>100</x:v>
      </x:c>
      <x:c r="L85" s="344" t="n">
        <x:v>100</x:v>
      </x:c>
      <x:c r="M85" s="344" t="n">
        <x:v>100</x:v>
      </x:c>
      <x:c r="N85" s="344" t="n">
        <x:v>100</x:v>
      </x:c>
      <x:c r="O85" s="344" t="n">
        <x:v>100</x:v>
      </x:c>
      <x:c r="P85" s="344" t="n">
        <x:v>100</x:v>
      </x:c>
      <x:c r="Q85" s="344" t="n">
        <x:v>100</x:v>
      </x:c>
      <x:c r="R85" s="344" t="n">
        <x:v>100</x:v>
      </x:c>
      <x:c r="S85" s="344" t="n">
        <x:v>100</x:v>
      </x:c>
      <x:c r="T85" s="344" t="n">
        <x:v>100</x:v>
      </x:c>
      <x:c r="U85" s="344" t="n">
        <x:v>100</x:v>
      </x:c>
      <x:c r="V85" s="373" t="n">
        <x:v>100</x:v>
      </x:c>
      <x:c r="W85" s="373" t="n">
        <x:v>100</x:v>
      </x:c>
      <x:c r="X85" s="373" t="n">
        <x:v>100</x:v>
      </x:c>
      <x:c r="Y85" s="373" t="n">
        <x:v>100</x:v>
      </x:c>
      <x:c r="Z85" s="373" t="n">
        <x:v>80</x:v>
      </x:c>
      <x:c r="AA85" s="374" t="n">
        <x:v>80</x:v>
      </x:c>
      <x:c r="AB85" s="344" t="n">
        <x:f>IF(COUNT(D85:AA85)=0,"",AVERAGE(D85:AA85))</x:f>
        <x:v>98.33333333333333</x:v>
      </x:c>
    </x:row>
    <x:row r="86">
      <x:c r="A86" s="52" t="str">
        <x:v>ARCH-4</x:v>
      </x:c>
      <x:c r="B86" s="53" t="str">
        <x:v>BACKEND, FULL-STACK И API-АРХИТЕКТУРА</x:v>
      </x:c>
      <x:c r="C86" s="53" t="str">
        <x:v>Webhook</x:v>
      </x:c>
      <x:c r="D86" s="344" t="n">
        <x:v>100</x:v>
      </x:c>
      <x:c r="E86" s="344" t="n">
        <x:v>100</x:v>
      </x:c>
      <x:c r="F86" s="344" t="n">
        <x:v>100</x:v>
      </x:c>
      <x:c r="G86" s="344" t="n">
        <x:v>100</x:v>
      </x:c>
      <x:c r="H86" s="344" t="n">
        <x:v>100</x:v>
      </x:c>
      <x:c r="I86" s="344" t="n">
        <x:v>100</x:v>
      </x:c>
      <x:c r="J86" s="344" t="n">
        <x:v>100</x:v>
      </x:c>
      <x:c r="K86" s="344" t="n">
        <x:v>100</x:v>
      </x:c>
      <x:c r="L86" s="344" t="n">
        <x:v>100</x:v>
      </x:c>
      <x:c r="M86" s="344" t="n">
        <x:v>100</x:v>
      </x:c>
      <x:c r="N86" s="344" t="n">
        <x:v>100</x:v>
      </x:c>
      <x:c r="O86" s="344" t="n">
        <x:v>100</x:v>
      </x:c>
      <x:c r="P86" s="344" t="n">
        <x:v>80</x:v>
      </x:c>
      <x:c r="Q86" s="344" t="n">
        <x:v>80</x:v>
      </x:c>
      <x:c r="R86" s="344" t="n">
        <x:v>80</x:v>
      </x:c>
      <x:c r="S86" s="344" t="n">
        <x:v>60</x:v>
      </x:c>
      <x:c r="T86" s="344" t="n">
        <x:v>70</x:v>
      </x:c>
      <x:c r="U86" s="344" t="n">
        <x:v>80</x:v>
      </x:c>
      <x:c r="V86" s="373" t="n">
        <x:v>80</x:v>
      </x:c>
      <x:c r="W86" s="373" t="n">
        <x:v>60</x:v>
      </x:c>
      <x:c r="X86" s="373" t="n">
        <x:v>100</x:v>
      </x:c>
      <x:c r="Y86" s="373" t="n">
        <x:v>100</x:v>
      </x:c>
      <x:c r="Z86" s="373" t="n">
        <x:v>80</x:v>
      </x:c>
      <x:c r="AA86" s="374" t="n">
        <x:v>80</x:v>
      </x:c>
      <x:c r="AB86" s="344" t="n">
        <x:f>IF(COUNT(D86:AA86)=0,"",AVERAGE(D86:AA86))</x:f>
        <x:v>89.58333333333333</x:v>
      </x:c>
    </x:row>
    <x:row r="87">
      <x:c r="A87" s="52" t="str">
        <x:v>ARCH-5</x:v>
      </x:c>
      <x:c r="B87" s="53" t="str">
        <x:v>BACKEND, FULL-STACK И API-АРХИТЕКТУРА</x:v>
      </x:c>
      <x:c r="C87" s="53" t="str">
        <x:v>Версионирование API</x:v>
      </x:c>
      <x:c r="D87" s="344" t="n">
        <x:v>100</x:v>
      </x:c>
      <x:c r="E87" s="344" t="n">
        <x:v>100</x:v>
      </x:c>
      <x:c r="F87" s="344" t="n">
        <x:v>100</x:v>
      </x:c>
      <x:c r="G87" s="344" t="n">
        <x:v>100</x:v>
      </x:c>
      <x:c r="H87" s="344" t="n">
        <x:v>100</x:v>
      </x:c>
      <x:c r="I87" s="344" t="n">
        <x:v>100</x:v>
      </x:c>
      <x:c r="J87" s="344" t="n">
        <x:v>100</x:v>
      </x:c>
      <x:c r="K87" s="344" t="n">
        <x:v>100</x:v>
      </x:c>
      <x:c r="L87" s="344" t="n">
        <x:v>100</x:v>
      </x:c>
      <x:c r="M87" s="344" t="n">
        <x:v>100</x:v>
      </x:c>
      <x:c r="N87" s="344" t="n">
        <x:v>100</x:v>
      </x:c>
      <x:c r="O87" s="344" t="n">
        <x:v>100</x:v>
      </x:c>
      <x:c r="P87" s="344" t="n">
        <x:v>100</x:v>
      </x:c>
      <x:c r="Q87" s="344" t="n">
        <x:v>100</x:v>
      </x:c>
      <x:c r="R87" s="344" t="n">
        <x:v>100</x:v>
      </x:c>
      <x:c r="S87" s="344" t="n">
        <x:v>80</x:v>
      </x:c>
      <x:c r="T87" s="344" t="n">
        <x:v>100</x:v>
      </x:c>
      <x:c r="U87" s="344" t="n">
        <x:v>100</x:v>
      </x:c>
      <x:c r="V87" s="373" t="n">
        <x:v>80</x:v>
      </x:c>
      <x:c r="W87" s="373" t="n">
        <x:v>60</x:v>
      </x:c>
      <x:c r="X87" s="373" t="n">
        <x:v>100</x:v>
      </x:c>
      <x:c r="Y87" s="373" t="n">
        <x:v>100</x:v>
      </x:c>
      <x:c r="Z87" s="373" t="n">
        <x:v>80</x:v>
      </x:c>
      <x:c r="AA87" s="374" t="n">
        <x:v>80</x:v>
      </x:c>
      <x:c r="AB87" s="344" t="n">
        <x:f>IF(COUNT(D87:AA87)=0,"",AVERAGE(D87:AA87))</x:f>
        <x:v>95</x:v>
      </x:c>
    </x:row>
    <x:row r="88">
      <x:c r="A88" s="52" t="str">
        <x:v>ARCH-6</x:v>
      </x:c>
      <x:c r="B88" s="53" t="str">
        <x:v>BACKEND, FULL-STACK И API-АРХИТЕКТУРА</x:v>
      </x:c>
      <x:c r="C88" s="53" t="str">
        <x:v>Кеш</x:v>
      </x:c>
      <x:c r="D88" s="344" t="n">
        <x:v>100</x:v>
      </x:c>
      <x:c r="E88" s="344" t="n">
        <x:v>100</x:v>
      </x:c>
      <x:c r="F88" s="344" t="n">
        <x:v>100</x:v>
      </x:c>
      <x:c r="G88" s="344" t="n">
        <x:v>100</x:v>
      </x:c>
      <x:c r="H88" s="344" t="n">
        <x:v>100</x:v>
      </x:c>
      <x:c r="I88" s="344" t="n">
        <x:v>100</x:v>
      </x:c>
      <x:c r="J88" s="344" t="n">
        <x:v>100</x:v>
      </x:c>
      <x:c r="K88" s="344" t="n">
        <x:v>100</x:v>
      </x:c>
      <x:c r="L88" s="344" t="n">
        <x:v>100</x:v>
      </x:c>
      <x:c r="M88" s="344" t="n">
        <x:v>100</x:v>
      </x:c>
      <x:c r="N88" s="344" t="n">
        <x:v>100</x:v>
      </x:c>
      <x:c r="O88" s="344" t="n">
        <x:v>100</x:v>
      </x:c>
      <x:c r="P88" s="344" t="n">
        <x:v>100</x:v>
      </x:c>
      <x:c r="Q88" s="344" t="n">
        <x:v>100</x:v>
      </x:c>
      <x:c r="R88" s="344" t="n">
        <x:v>100</x:v>
      </x:c>
      <x:c r="S88" s="344" t="n">
        <x:v>100</x:v>
      </x:c>
      <x:c r="T88" s="344" t="n">
        <x:v>100</x:v>
      </x:c>
      <x:c r="U88" s="344" t="n">
        <x:v>100</x:v>
      </x:c>
      <x:c r="V88" s="373" t="n">
        <x:v>100</x:v>
      </x:c>
      <x:c r="W88" s="373" t="n">
        <x:v>100</x:v>
      </x:c>
      <x:c r="X88" s="373" t="n">
        <x:v>100</x:v>
      </x:c>
      <x:c r="Y88" s="373" t="n">
        <x:v>100</x:v>
      </x:c>
      <x:c r="Z88" s="373" t="n">
        <x:v>80</x:v>
      </x:c>
      <x:c r="AA88" s="374" t="n">
        <x:v>80</x:v>
      </x:c>
      <x:c r="AB88" s="344" t="n">
        <x:f>IF(COUNT(D88:AA88)=0,"",AVERAGE(D88:AA88))</x:f>
        <x:v>98.33333333333333</x:v>
      </x:c>
    </x:row>
    <x:row r="89">
      <x:c r="A89" s="52" t="str">
        <x:v>ARCH-7</x:v>
      </x:c>
      <x:c r="B89" s="53" t="str">
        <x:v>BACKEND, FULL-STACK И API-АРХИТЕКТУРА</x:v>
      </x:c>
      <x:c r="C89" s="53" t="str">
        <x:v>Монолит или микросервисы</x:v>
      </x:c>
      <x:c r="D89" s="344" t="n">
        <x:v>100</x:v>
      </x:c>
      <x:c r="E89" s="344" t="n">
        <x:v>100</x:v>
      </x:c>
      <x:c r="F89" s="344" t="n">
        <x:v>100</x:v>
      </x:c>
      <x:c r="G89" s="344" t="n">
        <x:v>100</x:v>
      </x:c>
      <x:c r="H89" s="344" t="n">
        <x:v>100</x:v>
      </x:c>
      <x:c r="I89" s="344" t="n">
        <x:v>100</x:v>
      </x:c>
      <x:c r="J89" s="344" t="n">
        <x:v>100</x:v>
      </x:c>
      <x:c r="K89" s="344" t="n">
        <x:v>100</x:v>
      </x:c>
      <x:c r="L89" s="344" t="n">
        <x:v>100</x:v>
      </x:c>
      <x:c r="M89" s="344" t="n">
        <x:v>100</x:v>
      </x:c>
      <x:c r="N89" s="344" t="n">
        <x:v>100</x:v>
      </x:c>
      <x:c r="O89" s="344" t="n">
        <x:v>100</x:v>
      </x:c>
      <x:c r="P89" s="344" t="n">
        <x:v>100</x:v>
      </x:c>
      <x:c r="Q89" s="344" t="n">
        <x:v>100</x:v>
      </x:c>
      <x:c r="R89" s="344" t="n">
        <x:v>100</x:v>
      </x:c>
      <x:c r="S89" s="344" t="n">
        <x:v>100</x:v>
      </x:c>
      <x:c r="T89" s="344" t="n">
        <x:v>100</x:v>
      </x:c>
      <x:c r="U89" s="344" t="n">
        <x:v>100</x:v>
      </x:c>
      <x:c r="V89" s="373" t="n">
        <x:v>100</x:v>
      </x:c>
      <x:c r="W89" s="373" t="n">
        <x:v>100</x:v>
      </x:c>
      <x:c r="X89" s="373" t="n">
        <x:v>100</x:v>
      </x:c>
      <x:c r="Y89" s="373" t="n">
        <x:v>100</x:v>
      </x:c>
      <x:c r="Z89" s="373" t="n">
        <x:v>80</x:v>
      </x:c>
      <x:c r="AA89" s="374" t="n">
        <x:v>80</x:v>
      </x:c>
      <x:c r="AB89" s="344" t="n">
        <x:f>IF(COUNT(D89:AA89)=0,"",AVERAGE(D89:AA89))</x:f>
        <x:v>98.33333333333333</x:v>
      </x:c>
    </x:row>
    <x:row r="90">
      <x:c r="A90" s="52" t="str">
        <x:v>ARCH-8</x:v>
      </x:c>
      <x:c r="B90" s="53" t="str">
        <x:v>BACKEND, FULL-STACK И API-АРХИТЕКТУРА</x:v>
      </x:c>
      <x:c r="C90" s="53" t="str">
        <x:v>Наблюдаемость</x:v>
      </x:c>
      <x:c r="D90" s="344" t="n">
        <x:v>100</x:v>
      </x:c>
      <x:c r="E90" s="344" t="n">
        <x:v>100</x:v>
      </x:c>
      <x:c r="F90" s="344" t="n">
        <x:v>100</x:v>
      </x:c>
      <x:c r="G90" s="344" t="n">
        <x:v>100</x:v>
      </x:c>
      <x:c r="H90" s="344" t="n">
        <x:v>100</x:v>
      </x:c>
      <x:c r="I90" s="344" t="n">
        <x:v>100</x:v>
      </x:c>
      <x:c r="J90" s="344" t="n">
        <x:v>100</x:v>
      </x:c>
      <x:c r="K90" s="344" t="n">
        <x:v>100</x:v>
      </x:c>
      <x:c r="L90" s="344" t="n">
        <x:v>100</x:v>
      </x:c>
      <x:c r="M90" s="344" t="n">
        <x:v>100</x:v>
      </x:c>
      <x:c r="N90" s="344" t="n">
        <x:v>100</x:v>
      </x:c>
      <x:c r="O90" s="344" t="n">
        <x:v>100</x:v>
      </x:c>
      <x:c r="P90" s="344" t="n">
        <x:v>100</x:v>
      </x:c>
      <x:c r="Q90" s="344" t="n">
        <x:v>100</x:v>
      </x:c>
      <x:c r="R90" s="344" t="n">
        <x:v>100</x:v>
      </x:c>
      <x:c r="S90" s="344" t="n">
        <x:v>80</x:v>
      </x:c>
      <x:c r="T90" s="344" t="n">
        <x:v>100</x:v>
      </x:c>
      <x:c r="U90" s="344" t="n">
        <x:v>100</x:v>
      </x:c>
      <x:c r="V90" s="373" t="n">
        <x:v>100</x:v>
      </x:c>
      <x:c r="W90" s="373" t="n">
        <x:v>100</x:v>
      </x:c>
      <x:c r="X90" s="373" t="n">
        <x:v>100</x:v>
      </x:c>
      <x:c r="Y90" s="373" t="n">
        <x:v>100</x:v>
      </x:c>
      <x:c r="Z90" s="373" t="n">
        <x:v>80</x:v>
      </x:c>
      <x:c r="AA90" s="374" t="n">
        <x:v>80</x:v>
      </x:c>
      <x:c r="AB90" s="344" t="n">
        <x:f>IF(COUNT(D90:AA90)=0,"",AVERAGE(D90:AA90))</x:f>
        <x:v>97.5</x:v>
      </x:c>
    </x:row>
    <x:row r="91">
      <x:c r="A91" s="52" t="str">
        <x:v>SEC-1</x:v>
      </x:c>
      <x:c r="B91" s="53" t="str">
        <x:v>БЕЗОПАСНОСТЬ</x:v>
      </x:c>
      <x:c r="C91" s="53" t="str">
        <x:v>Аудит endpoint</x:v>
      </x:c>
      <x:c r="D91" s="344" t="n">
        <x:v>100</x:v>
      </x:c>
      <x:c r="E91" s="344" t="n">
        <x:v>100</x:v>
      </x:c>
      <x:c r="F91" s="344" t="n">
        <x:v>90</x:v>
      </x:c>
      <x:c r="G91" s="344" t="n">
        <x:v>100</x:v>
      </x:c>
      <x:c r="H91" s="344" t="n">
        <x:v>100</x:v>
      </x:c>
      <x:c r="I91" s="344" t="n">
        <x:v>80</x:v>
      </x:c>
      <x:c r="J91" s="344" t="n">
        <x:v>100</x:v>
      </x:c>
      <x:c r="K91" s="344" t="n">
        <x:v>100</x:v>
      </x:c>
      <x:c r="L91" s="344" t="n">
        <x:v>100</x:v>
      </x:c>
      <x:c r="M91" s="344" t="n">
        <x:v>100</x:v>
      </x:c>
      <x:c r="N91" s="344" t="n">
        <x:v>80</x:v>
      </x:c>
      <x:c r="O91" s="344" t="n">
        <x:v>80</x:v>
      </x:c>
      <x:c r="P91" s="344" t="n">
        <x:v>80</x:v>
      </x:c>
      <x:c r="Q91" s="344" t="n">
        <x:v>60</x:v>
      </x:c>
      <x:c r="R91" s="344" t="n">
        <x:v>40</x:v>
      </x:c>
      <x:c r="S91" s="344" t="n">
        <x:v>60</x:v>
      </x:c>
      <x:c r="T91" s="344" t="n">
        <x:v>70</x:v>
      </x:c>
      <x:c r="U91" s="344" t="n">
        <x:v>60</x:v>
      </x:c>
      <x:c r="V91" s="373" t="n">
        <x:v>40</x:v>
      </x:c>
      <x:c r="W91" s="373" t="n">
        <x:v>40</x:v>
      </x:c>
      <x:c r="X91" s="373" t="n">
        <x:v>60</x:v>
      </x:c>
      <x:c r="Y91" s="373" t="n">
        <x:v>60</x:v>
      </x:c>
      <x:c r="Z91" s="373" t="n">
        <x:v>40</x:v>
      </x:c>
      <x:c r="AA91" s="374" t="n">
        <x:v>80</x:v>
      </x:c>
      <x:c r="AB91" s="344" t="n">
        <x:f>IF(COUNT(D91:AA91)=0,"",AVERAGE(D91:AA91))</x:f>
        <x:v>75.83333333333333</x:v>
      </x:c>
    </x:row>
    <x:row r="92">
      <x:c r="A92" s="52" t="str">
        <x:v>SEC-2</x:v>
      </x:c>
      <x:c r="B92" s="53" t="str">
        <x:v>БЕЗОПАСНОСТЬ</x:v>
      </x:c>
      <x:c r="C92" s="53" t="str">
        <x:v>Пароли</x:v>
      </x:c>
      <x:c r="D92" s="344" t="n">
        <x:v>100</x:v>
      </x:c>
      <x:c r="E92" s="344" t="n">
        <x:v>100</x:v>
      </x:c>
      <x:c r="F92" s="344" t="n">
        <x:v>100</x:v>
      </x:c>
      <x:c r="G92" s="344" t="n">
        <x:v>100</x:v>
      </x:c>
      <x:c r="H92" s="344" t="n">
        <x:v>100</x:v>
      </x:c>
      <x:c r="I92" s="344" t="n">
        <x:v>100</x:v>
      </x:c>
      <x:c r="J92" s="344" t="n">
        <x:v>100</x:v>
      </x:c>
      <x:c r="K92" s="344" t="n">
        <x:v>100</x:v>
      </x:c>
      <x:c r="L92" s="344" t="n">
        <x:v>100</x:v>
      </x:c>
      <x:c r="M92" s="344" t="n">
        <x:v>100</x:v>
      </x:c>
      <x:c r="N92" s="344" t="n">
        <x:v>100</x:v>
      </x:c>
      <x:c r="O92" s="344" t="n">
        <x:v>100</x:v>
      </x:c>
      <x:c r="P92" s="344" t="n">
        <x:v>100</x:v>
      </x:c>
      <x:c r="Q92" s="344" t="n">
        <x:v>100</x:v>
      </x:c>
      <x:c r="R92" s="344" t="n">
        <x:v>100</x:v>
      </x:c>
      <x:c r="S92" s="344" t="n">
        <x:v>100</x:v>
      </x:c>
      <x:c r="T92" s="344" t="n">
        <x:v>100</x:v>
      </x:c>
      <x:c r="U92" s="344" t="n">
        <x:v>100</x:v>
      </x:c>
      <x:c r="V92" s="373" t="n">
        <x:v>80</x:v>
      </x:c>
      <x:c r="W92" s="373" t="n">
        <x:v>80</x:v>
      </x:c>
      <x:c r="X92" s="373" t="n">
        <x:v>80</x:v>
      </x:c>
      <x:c r="Y92" s="373" t="n">
        <x:v>80</x:v>
      </x:c>
      <x:c r="Z92" s="373" t="n">
        <x:v>80</x:v>
      </x:c>
      <x:c r="AA92" s="374" t="n">
        <x:v>80</x:v>
      </x:c>
      <x:c r="AB92" s="344" t="n">
        <x:f>IF(COUNT(D92:AA92)=0,"",AVERAGE(D92:AA92))</x:f>
        <x:v>95</x:v>
      </x:c>
    </x:row>
    <x:row r="93">
      <x:c r="A93" s="52" t="str">
        <x:v>SEC-3</x:v>
      </x:c>
      <x:c r="B93" s="53" t="str">
        <x:v>БЕЗОПАСНОСТЬ</x:v>
      </x:c>
      <x:c r="C93" s="53" t="str">
        <x:v>CSRF</x:v>
      </x:c>
      <x:c r="D93" s="344" t="n">
        <x:v>100</x:v>
      </x:c>
      <x:c r="E93" s="344" t="n">
        <x:v>100</x:v>
      </x:c>
      <x:c r="F93" s="344" t="n">
        <x:v>100</x:v>
      </x:c>
      <x:c r="G93" s="344" t="n">
        <x:v>100</x:v>
      </x:c>
      <x:c r="H93" s="344" t="n">
        <x:v>100</x:v>
      </x:c>
      <x:c r="I93" s="344" t="n">
        <x:v>100</x:v>
      </x:c>
      <x:c r="J93" s="344" t="n">
        <x:v>100</x:v>
      </x:c>
      <x:c r="K93" s="344" t="n">
        <x:v>100</x:v>
      </x:c>
      <x:c r="L93" s="344" t="n">
        <x:v>100</x:v>
      </x:c>
      <x:c r="M93" s="344" t="n">
        <x:v>100</x:v>
      </x:c>
      <x:c r="N93" s="344" t="n">
        <x:v>100</x:v>
      </x:c>
      <x:c r="O93" s="344" t="n">
        <x:v>100</x:v>
      </x:c>
      <x:c r="P93" s="344" t="n">
        <x:v>100</x:v>
      </x:c>
      <x:c r="Q93" s="344" t="n">
        <x:v>100</x:v>
      </x:c>
      <x:c r="R93" s="344" t="n">
        <x:v>90</x:v>
      </x:c>
      <x:c r="S93" s="344" t="n">
        <x:v>100</x:v>
      </x:c>
      <x:c r="T93" s="344" t="n">
        <x:v>90</x:v>
      </x:c>
      <x:c r="U93" s="344" t="n">
        <x:v>100</x:v>
      </x:c>
      <x:c r="V93" s="373" t="n">
        <x:v>100</x:v>
      </x:c>
      <x:c r="W93" s="373" t="n">
        <x:v>100</x:v>
      </x:c>
      <x:c r="X93" s="373" t="n">
        <x:v>80</x:v>
      </x:c>
      <x:c r="Y93" s="373" t="n">
        <x:v>80</x:v>
      </x:c>
      <x:c r="Z93" s="373" t="n">
        <x:v>80</x:v>
      </x:c>
      <x:c r="AA93" s="374" t="n">
        <x:v>80</x:v>
      </x:c>
      <x:c r="AB93" s="344" t="n">
        <x:f>IF(COUNT(D93:AA93)=0,"",AVERAGE(D93:AA93))</x:f>
        <x:v>95.83333333333333</x:v>
      </x:c>
    </x:row>
    <x:row r="94">
      <x:c r="A94" s="52" t="str">
        <x:v>SEC-4</x:v>
      </x:c>
      <x:c r="B94" s="53" t="str">
        <x:v>БЕЗОПАСНОСТЬ</x:v>
      </x:c>
      <x:c r="C94" s="53" t="str">
        <x:v>SSRF</x:v>
      </x:c>
      <x:c r="D94" s="344" t="n">
        <x:v>100</x:v>
      </x:c>
      <x:c r="E94" s="344" t="n">
        <x:v>100</x:v>
      </x:c>
      <x:c r="F94" s="344" t="n">
        <x:v>100</x:v>
      </x:c>
      <x:c r="G94" s="344" t="n">
        <x:v>100</x:v>
      </x:c>
      <x:c r="H94" s="344" t="n">
        <x:v>100</x:v>
      </x:c>
      <x:c r="I94" s="344" t="n">
        <x:v>80</x:v>
      </x:c>
      <x:c r="J94" s="344" t="n">
        <x:v>100</x:v>
      </x:c>
      <x:c r="K94" s="344" t="n">
        <x:v>100</x:v>
      </x:c>
      <x:c r="L94" s="344" t="n">
        <x:v>100</x:v>
      </x:c>
      <x:c r="M94" s="344" t="n">
        <x:v>100</x:v>
      </x:c>
      <x:c r="N94" s="344" t="n">
        <x:v>70</x:v>
      </x:c>
      <x:c r="O94" s="344" t="n">
        <x:v>80</x:v>
      </x:c>
      <x:c r="P94" s="344" t="n">
        <x:v>60</x:v>
      </x:c>
      <x:c r="Q94" s="344" t="n">
        <x:v>80</x:v>
      </x:c>
      <x:c r="R94" s="344" t="n">
        <x:v>80</x:v>
      </x:c>
      <x:c r="S94" s="344" t="n">
        <x:v>80</x:v>
      </x:c>
      <x:c r="T94" s="344" t="n">
        <x:v>60</x:v>
      </x:c>
      <x:c r="U94" s="344" t="n">
        <x:v>80</x:v>
      </x:c>
      <x:c r="V94" s="373" t="n">
        <x:v>60</x:v>
      </x:c>
      <x:c r="W94" s="373" t="n">
        <x:v>60</x:v>
      </x:c>
      <x:c r="X94" s="373" t="n">
        <x:v>80</x:v>
      </x:c>
      <x:c r="Y94" s="373" t="n">
        <x:v>80</x:v>
      </x:c>
      <x:c r="Z94" s="373" t="n">
        <x:v>80</x:v>
      </x:c>
      <x:c r="AA94" s="374" t="n">
        <x:v>80</x:v>
      </x:c>
      <x:c r="AB94" s="344" t="n">
        <x:f>IF(COUNT(D94:AA94)=0,"",AVERAGE(D94:AA94))</x:f>
        <x:v>83.75</x:v>
      </x:c>
    </x:row>
    <x:row r="95">
      <x:c r="A95" s="52" t="str">
        <x:v>SEC-5</x:v>
      </x:c>
      <x:c r="B95" s="53" t="str">
        <x:v>БЕЗОПАСНОСТЬ</x:v>
      </x:c>
      <x:c r="C95" s="53" t="str">
        <x:v>JWT</x:v>
      </x:c>
      <x:c r="D95" s="344" t="n">
        <x:v>100</x:v>
      </x:c>
      <x:c r="E95" s="344" t="n">
        <x:v>100</x:v>
      </x:c>
      <x:c r="F95" s="344" t="n">
        <x:v>100</x:v>
      </x:c>
      <x:c r="G95" s="344" t="n">
        <x:v>100</x:v>
      </x:c>
      <x:c r="H95" s="344" t="n">
        <x:v>100</x:v>
      </x:c>
      <x:c r="I95" s="344" t="n">
        <x:v>100</x:v>
      </x:c>
      <x:c r="J95" s="344" t="n">
        <x:v>100</x:v>
      </x:c>
      <x:c r="K95" s="344" t="n">
        <x:v>100</x:v>
      </x:c>
      <x:c r="L95" s="344" t="n">
        <x:v>100</x:v>
      </x:c>
      <x:c r="M95" s="344" t="n">
        <x:v>100</x:v>
      </x:c>
      <x:c r="N95" s="344" t="n">
        <x:v>100</x:v>
      </x:c>
      <x:c r="O95" s="344" t="n">
        <x:v>100</x:v>
      </x:c>
      <x:c r="P95" s="344" t="n">
        <x:v>80</x:v>
      </x:c>
      <x:c r="Q95" s="344" t="n">
        <x:v>80</x:v>
      </x:c>
      <x:c r="R95" s="344" t="n">
        <x:v>80</x:v>
      </x:c>
      <x:c r="S95" s="344" t="n">
        <x:v>80</x:v>
      </x:c>
      <x:c r="T95" s="344" t="n">
        <x:v>60</x:v>
      </x:c>
      <x:c r="U95" s="344" t="n">
        <x:v>80</x:v>
      </x:c>
      <x:c r="V95" s="373" t="n">
        <x:v>60</x:v>
      </x:c>
      <x:c r="W95" s="373" t="n">
        <x:v>60</x:v>
      </x:c>
      <x:c r="X95" s="373" t="n">
        <x:v>80</x:v>
      </x:c>
      <x:c r="Y95" s="373" t="n">
        <x:v>80</x:v>
      </x:c>
      <x:c r="Z95" s="373" t="n">
        <x:v>80</x:v>
      </x:c>
      <x:c r="AA95" s="374" t="n">
        <x:v>80</x:v>
      </x:c>
      <x:c r="AB95" s="344" t="n">
        <x:f>IF(COUNT(D95:AA95)=0,"",AVERAGE(D95:AA95))</x:f>
        <x:v>87.5</x:v>
      </x:c>
    </x:row>
    <x:row r="96">
      <x:c r="A96" s="52" t="str">
        <x:v>SEC-6</x:v>
      </x:c>
      <x:c r="B96" s="53" t="str">
        <x:v>БЕЗОПАСНОСТЬ</x:v>
      </x:c>
      <x:c r="C96" s="53" t="str">
        <x:v>Upload</x:v>
      </x:c>
      <x:c r="D96" s="344" t="n">
        <x:v>100</x:v>
      </x:c>
      <x:c r="E96" s="344" t="n">
        <x:v>100</x:v>
      </x:c>
      <x:c r="F96" s="344" t="n">
        <x:v>100</x:v>
      </x:c>
      <x:c r="G96" s="344" t="n">
        <x:v>100</x:v>
      </x:c>
      <x:c r="H96" s="344" t="n">
        <x:v>100</x:v>
      </x:c>
      <x:c r="I96" s="344" t="n">
        <x:v>100</x:v>
      </x:c>
      <x:c r="J96" s="344" t="n">
        <x:v>100</x:v>
      </x:c>
      <x:c r="K96" s="344" t="n">
        <x:v>100</x:v>
      </x:c>
      <x:c r="L96" s="344" t="n">
        <x:v>100</x:v>
      </x:c>
      <x:c r="M96" s="344" t="n">
        <x:v>100</x:v>
      </x:c>
      <x:c r="N96" s="344" t="n">
        <x:v>100</x:v>
      </x:c>
      <x:c r="O96" s="344" t="n">
        <x:v>100</x:v>
      </x:c>
      <x:c r="P96" s="344" t="n">
        <x:v>100</x:v>
      </x:c>
      <x:c r="Q96" s="344" t="n">
        <x:v>80</x:v>
      </x:c>
      <x:c r="R96" s="344" t="n">
        <x:v>100</x:v>
      </x:c>
      <x:c r="S96" s="344" t="n">
        <x:v>80</x:v>
      </x:c>
      <x:c r="T96" s="344" t="n">
        <x:v>80</x:v>
      </x:c>
      <x:c r="U96" s="344" t="n">
        <x:v>80</x:v>
      </x:c>
      <x:c r="V96" s="373" t="n">
        <x:v>60</x:v>
      </x:c>
      <x:c r="W96" s="373" t="n">
        <x:v>80</x:v>
      </x:c>
      <x:c r="X96" s="373" t="n">
        <x:v>80</x:v>
      </x:c>
      <x:c r="Y96" s="373" t="n">
        <x:v>80</x:v>
      </x:c>
      <x:c r="Z96" s="373" t="n">
        <x:v>80</x:v>
      </x:c>
      <x:c r="AA96" s="374" t="n">
        <x:v>80</x:v>
      </x:c>
      <x:c r="AB96" s="344" t="n">
        <x:f>IF(COUNT(D96:AA96)=0,"",AVERAGE(D96:AA96))</x:f>
        <x:v>90.83333333333333</x:v>
      </x:c>
    </x:row>
    <x:row r="97">
      <x:c r="A97" s="52" t="str">
        <x:v>SEC-7</x:v>
      </x:c>
      <x:c r="B97" s="53" t="str">
        <x:v>БЕЗОПАСНОСТЬ</x:v>
      </x:c>
      <x:c r="C97" s="53" t="str">
        <x:v>Secrets</x:v>
      </x:c>
      <x:c r="D97" s="344" t="n">
        <x:v>100</x:v>
      </x:c>
      <x:c r="E97" s="344" t="n">
        <x:v>100</x:v>
      </x:c>
      <x:c r="F97" s="344" t="n">
        <x:v>100</x:v>
      </x:c>
      <x:c r="G97" s="344" t="n">
        <x:v>100</x:v>
      </x:c>
      <x:c r="H97" s="344" t="n">
        <x:v>100</x:v>
      </x:c>
      <x:c r="I97" s="344" t="n">
        <x:v>100</x:v>
      </x:c>
      <x:c r="J97" s="344" t="n">
        <x:v>100</x:v>
      </x:c>
      <x:c r="K97" s="344" t="n">
        <x:v>100</x:v>
      </x:c>
      <x:c r="L97" s="344" t="n">
        <x:v>100</x:v>
      </x:c>
      <x:c r="M97" s="344" t="n">
        <x:v>100</x:v>
      </x:c>
      <x:c r="N97" s="344" t="n">
        <x:v>100</x:v>
      </x:c>
      <x:c r="O97" s="344" t="n">
        <x:v>100</x:v>
      </x:c>
      <x:c r="P97" s="344" t="n">
        <x:v>100</x:v>
      </x:c>
      <x:c r="Q97" s="344" t="n">
        <x:v>100</x:v>
      </x:c>
      <x:c r="R97" s="344" t="n">
        <x:v>100</x:v>
      </x:c>
      <x:c r="S97" s="344" t="n">
        <x:v>80</x:v>
      </x:c>
      <x:c r="T97" s="344" t="n">
        <x:v>100</x:v>
      </x:c>
      <x:c r="U97" s="344" t="n">
        <x:v>100</x:v>
      </x:c>
      <x:c r="V97" s="373" t="n">
        <x:v>80</x:v>
      </x:c>
      <x:c r="W97" s="373" t="n">
        <x:v>80</x:v>
      </x:c>
      <x:c r="X97" s="373" t="n">
        <x:v>80</x:v>
      </x:c>
      <x:c r="Y97" s="373" t="n">
        <x:v>60</x:v>
      </x:c>
      <x:c r="Z97" s="373" t="n">
        <x:v>80</x:v>
      </x:c>
      <x:c r="AA97" s="374" t="n">
        <x:v>80</x:v>
      </x:c>
      <x:c r="AB97" s="344" t="n">
        <x:f>IF(COUNT(D97:AA97)=0,"",AVERAGE(D97:AA97))</x:f>
        <x:v>93.33333333333333</x:v>
      </x:c>
    </x:row>
    <x:row r="98">
      <x:c r="A98" s="52" t="str">
        <x:v>SEC-8</x:v>
      </x:c>
      <x:c r="B98" s="53" t="str">
        <x:v>БЕЗОПАСНОСТЬ</x:v>
      </x:c>
      <x:c r="C98" s="53" t="str">
        <x:v>Authorization</x:v>
      </x:c>
      <x:c r="D98" s="344" t="n">
        <x:v>100</x:v>
      </x:c>
      <x:c r="E98" s="344" t="n">
        <x:v>100</x:v>
      </x:c>
      <x:c r="F98" s="344" t="n">
        <x:v>100</x:v>
      </x:c>
      <x:c r="G98" s="344" t="n">
        <x:v>100</x:v>
      </x:c>
      <x:c r="H98" s="344" t="n">
        <x:v>100</x:v>
      </x:c>
      <x:c r="I98" s="344" t="n">
        <x:v>100</x:v>
      </x:c>
      <x:c r="J98" s="344" t="n">
        <x:v>100</x:v>
      </x:c>
      <x:c r="K98" s="344" t="n">
        <x:v>100</x:v>
      </x:c>
      <x:c r="L98" s="344" t="n">
        <x:v>100</x:v>
      </x:c>
      <x:c r="M98" s="344" t="n">
        <x:v>100</x:v>
      </x:c>
      <x:c r="N98" s="344" t="n">
        <x:v>100</x:v>
      </x:c>
      <x:c r="O98" s="344" t="n">
        <x:v>100</x:v>
      </x:c>
      <x:c r="P98" s="344" t="n">
        <x:v>100</x:v>
      </x:c>
      <x:c r="Q98" s="344" t="n">
        <x:v>100</x:v>
      </x:c>
      <x:c r="R98" s="344" t="n">
        <x:v>100</x:v>
      </x:c>
      <x:c r="S98" s="344" t="n">
        <x:v>100</x:v>
      </x:c>
      <x:c r="T98" s="344" t="n">
        <x:v>100</x:v>
      </x:c>
      <x:c r="U98" s="344" t="n">
        <x:v>100</x:v>
      </x:c>
      <x:c r="V98" s="373" t="n">
        <x:v>100</x:v>
      </x:c>
      <x:c r="W98" s="373" t="n">
        <x:v>100</x:v>
      </x:c>
      <x:c r="X98" s="373" t="n">
        <x:v>80</x:v>
      </x:c>
      <x:c r="Y98" s="373" t="n">
        <x:v>80</x:v>
      </x:c>
      <x:c r="Z98" s="373" t="n">
        <x:v>80</x:v>
      </x:c>
      <x:c r="AA98" s="374" t="n">
        <x:v>80</x:v>
      </x:c>
      <x:c r="AB98" s="344" t="n">
        <x:f>IF(COUNT(D98:AA98)=0,"",AVERAGE(D98:AA98))</x:f>
        <x:v>96.66666666666667</x:v>
      </x:c>
    </x:row>
    <x:row r="99">
      <x:c r="A99" s="52" t="str">
        <x:v>PERF-1</x:v>
      </x:c>
      <x:c r="B99" s="53" t="str">
        <x:v>ПРОИЗВОДИТЕЛЬНОСТЬ И КОНКУРЕНТНОСТЬ</x:v>
      </x:c>
      <x:c r="C99" s="53"/>
      <x:c r="D99" s="344" t="n">
        <x:v>100</x:v>
      </x:c>
      <x:c r="E99" s="344" t="n">
        <x:v>100</x:v>
      </x:c>
      <x:c r="F99" s="344" t="n">
        <x:v>100</x:v>
      </x:c>
      <x:c r="G99" s="344" t="n">
        <x:v>100</x:v>
      </x:c>
      <x:c r="H99" s="344" t="n">
        <x:v>100</x:v>
      </x:c>
      <x:c r="I99" s="344" t="n">
        <x:v>100</x:v>
      </x:c>
      <x:c r="J99" s="344" t="n">
        <x:v>100</x:v>
      </x:c>
      <x:c r="K99" s="344" t="n">
        <x:v>100</x:v>
      </x:c>
      <x:c r="L99" s="344" t="n">
        <x:v>100</x:v>
      </x:c>
      <x:c r="M99" s="344" t="n">
        <x:v>100</x:v>
      </x:c>
      <x:c r="N99" s="344" t="n">
        <x:v>100</x:v>
      </x:c>
      <x:c r="O99" s="344" t="n">
        <x:v>100</x:v>
      </x:c>
      <x:c r="P99" s="344" t="n">
        <x:v>60</x:v>
      </x:c>
      <x:c r="Q99" s="344" t="n">
        <x:v>100</x:v>
      </x:c>
      <x:c r="R99" s="344" t="n">
        <x:v>100</x:v>
      </x:c>
      <x:c r="S99" s="344" t="n">
        <x:v>100</x:v>
      </x:c>
      <x:c r="T99" s="344" t="n">
        <x:v>100</x:v>
      </x:c>
      <x:c r="U99" s="344" t="n">
        <x:v>100</x:v>
      </x:c>
      <x:c r="V99" s="373" t="n">
        <x:v>100</x:v>
      </x:c>
      <x:c r="W99" s="373" t="n">
        <x:v>80</x:v>
      </x:c>
      <x:c r="X99" s="373" t="n">
        <x:v>100</x:v>
      </x:c>
      <x:c r="Y99" s="373" t="n">
        <x:v>100</x:v>
      </x:c>
      <x:c r="Z99" s="373" t="n">
        <x:v>80</x:v>
      </x:c>
      <x:c r="AA99" s="374" t="n">
        <x:v>80</x:v>
      </x:c>
      <x:c r="AB99" s="344" t="n">
        <x:f>IF(COUNT(D99:AA99)=0,"",AVERAGE(D99:AA99))</x:f>
        <x:v>95.83333333333333</x:v>
      </x:c>
    </x:row>
    <x:row r="100">
      <x:c r="A100" s="52" t="str">
        <x:v>PERF-2</x:v>
      </x:c>
      <x:c r="B100" s="53" t="str">
        <x:v>ПРОИЗВОДИТЕЛЬНОСТЬ И КОНКУРЕНТНОСТЬ</x:v>
      </x:c>
      <x:c r="C100" s="53"/>
      <x:c r="D100" s="344" t="n">
        <x:v>100</x:v>
      </x:c>
      <x:c r="E100" s="344" t="n">
        <x:v>100</x:v>
      </x:c>
      <x:c r="F100" s="344" t="n">
        <x:v>100</x:v>
      </x:c>
      <x:c r="G100" s="344" t="n">
        <x:v>100</x:v>
      </x:c>
      <x:c r="H100" s="344" t="n">
        <x:v>100</x:v>
      </x:c>
      <x:c r="I100" s="344" t="n">
        <x:v>100</x:v>
      </x:c>
      <x:c r="J100" s="344" t="n">
        <x:v>100</x:v>
      </x:c>
      <x:c r="K100" s="344" t="n">
        <x:v>100</x:v>
      </x:c>
      <x:c r="L100" s="344" t="n">
        <x:v>100</x:v>
      </x:c>
      <x:c r="M100" s="344" t="n">
        <x:v>100</x:v>
      </x:c>
      <x:c r="N100" s="344" t="n">
        <x:v>100</x:v>
      </x:c>
      <x:c r="O100" s="344" t="n">
        <x:v>100</x:v>
      </x:c>
      <x:c r="P100" s="344" t="n">
        <x:v>100</x:v>
      </x:c>
      <x:c r="Q100" s="344" t="n">
        <x:v>100</x:v>
      </x:c>
      <x:c r="R100" s="344" t="n">
        <x:v>100</x:v>
      </x:c>
      <x:c r="S100" s="344" t="n">
        <x:v>100</x:v>
      </x:c>
      <x:c r="T100" s="344" t="n">
        <x:v>100</x:v>
      </x:c>
      <x:c r="U100" s="344" t="n">
        <x:v>100</x:v>
      </x:c>
      <x:c r="V100" s="373" t="n">
        <x:v>80</x:v>
      </x:c>
      <x:c r="W100" s="373" t="n">
        <x:v>80</x:v>
      </x:c>
      <x:c r="X100" s="373" t="n">
        <x:v>100</x:v>
      </x:c>
      <x:c r="Y100" s="373" t="n">
        <x:v>100</x:v>
      </x:c>
      <x:c r="Z100" s="373" t="n">
        <x:v>80</x:v>
      </x:c>
      <x:c r="AA100" s="374" t="n">
        <x:v>80</x:v>
      </x:c>
      <x:c r="AB100" s="344" t="n">
        <x:f>IF(COUNT(D100:AA100)=0,"",AVERAGE(D100:AA100))</x:f>
        <x:v>96.66666666666667</x:v>
      </x:c>
    </x:row>
    <x:row r="101">
      <x:c r="A101" s="52" t="str">
        <x:v>PERF-3</x:v>
      </x:c>
      <x:c r="B101" s="53" t="str">
        <x:v>ПРОИЗВОДИТЕЛЬНОСТЬ И КОНКУРЕНТНОСТЬ</x:v>
      </x:c>
      <x:c r="C101" s="53"/>
      <x:c r="D101" s="344" t="n">
        <x:v>100</x:v>
      </x:c>
      <x:c r="E101" s="344" t="n">
        <x:v>100</x:v>
      </x:c>
      <x:c r="F101" s="344" t="n">
        <x:v>100</x:v>
      </x:c>
      <x:c r="G101" s="344" t="n">
        <x:v>100</x:v>
      </x:c>
      <x:c r="H101" s="344" t="n">
        <x:v>100</x:v>
      </x:c>
      <x:c r="I101" s="344" t="n">
        <x:v>100</x:v>
      </x:c>
      <x:c r="J101" s="344" t="n">
        <x:v>100</x:v>
      </x:c>
      <x:c r="K101" s="344" t="n">
        <x:v>100</x:v>
      </x:c>
      <x:c r="L101" s="344" t="n">
        <x:v>100</x:v>
      </x:c>
      <x:c r="M101" s="344" t="n">
        <x:v>100</x:v>
      </x:c>
      <x:c r="N101" s="344" t="n">
        <x:v>100</x:v>
      </x:c>
      <x:c r="O101" s="344" t="n">
        <x:v>100</x:v>
      </x:c>
      <x:c r="P101" s="344" t="n">
        <x:v>100</x:v>
      </x:c>
      <x:c r="Q101" s="344" t="n">
        <x:v>100</x:v>
      </x:c>
      <x:c r="R101" s="344" t="n">
        <x:v>100</x:v>
      </x:c>
      <x:c r="S101" s="344" t="n">
        <x:v>100</x:v>
      </x:c>
      <x:c r="T101" s="344" t="n">
        <x:v>100</x:v>
      </x:c>
      <x:c r="U101" s="344" t="n">
        <x:v>100</x:v>
      </x:c>
      <x:c r="V101" s="373" t="n">
        <x:v>100</x:v>
      </x:c>
      <x:c r="W101" s="373" t="n">
        <x:v>100</x:v>
      </x:c>
      <x:c r="X101" s="373" t="n">
        <x:v>100</x:v>
      </x:c>
      <x:c r="Y101" s="373" t="n">
        <x:v>100</x:v>
      </x:c>
      <x:c r="Z101" s="373" t="n">
        <x:v>80</x:v>
      </x:c>
      <x:c r="AA101" s="374" t="n">
        <x:v>80</x:v>
      </x:c>
      <x:c r="AB101" s="344" t="n">
        <x:f>IF(COUNT(D101:AA101)=0,"",AVERAGE(D101:AA101))</x:f>
        <x:v>98.33333333333333</x:v>
      </x:c>
    </x:row>
    <x:row r="102">
      <x:c r="A102" s="52" t="str">
        <x:v>PERF-4</x:v>
      </x:c>
      <x:c r="B102" s="53" t="str">
        <x:v>ПРОИЗВОДИТЕЛЬНОСТЬ И КОНКУРЕНТНОСТЬ</x:v>
      </x:c>
      <x:c r="C102" s="53"/>
      <x:c r="D102" s="344" t="n">
        <x:v>100</x:v>
      </x:c>
      <x:c r="E102" s="344" t="n">
        <x:v>100</x:v>
      </x:c>
      <x:c r="F102" s="344" t="n">
        <x:v>100</x:v>
      </x:c>
      <x:c r="G102" s="344" t="n">
        <x:v>100</x:v>
      </x:c>
      <x:c r="H102" s="344" t="n">
        <x:v>100</x:v>
      </x:c>
      <x:c r="I102" s="344" t="n">
        <x:v>100</x:v>
      </x:c>
      <x:c r="J102" s="344" t="n">
        <x:v>100</x:v>
      </x:c>
      <x:c r="K102" s="344" t="n">
        <x:v>100</x:v>
      </x:c>
      <x:c r="L102" s="344" t="n">
        <x:v>100</x:v>
      </x:c>
      <x:c r="M102" s="344" t="n">
        <x:v>100</x:v>
      </x:c>
      <x:c r="N102" s="344" t="n">
        <x:v>100</x:v>
      </x:c>
      <x:c r="O102" s="344" t="n">
        <x:v>100</x:v>
      </x:c>
      <x:c r="P102" s="344" t="n">
        <x:v>100</x:v>
      </x:c>
      <x:c r="Q102" s="344" t="n">
        <x:v>100</x:v>
      </x:c>
      <x:c r="R102" s="344" t="n">
        <x:v>100</x:v>
      </x:c>
      <x:c r="S102" s="344" t="n">
        <x:v>100</x:v>
      </x:c>
      <x:c r="T102" s="344" t="n">
        <x:v>100</x:v>
      </x:c>
      <x:c r="U102" s="344" t="n">
        <x:v>100</x:v>
      </x:c>
      <x:c r="V102" s="373" t="n">
        <x:v>100</x:v>
      </x:c>
      <x:c r="W102" s="373" t="n">
        <x:v>100</x:v>
      </x:c>
      <x:c r="X102" s="373" t="n">
        <x:v>100</x:v>
      </x:c>
      <x:c r="Y102" s="373" t="n">
        <x:v>100</x:v>
      </x:c>
      <x:c r="Z102" s="373" t="n">
        <x:v>80</x:v>
      </x:c>
      <x:c r="AA102" s="374" t="n">
        <x:v>80</x:v>
      </x:c>
      <x:c r="AB102" s="344" t="n">
        <x:f>IF(COUNT(D102:AA102)=0,"",AVERAGE(D102:AA102))</x:f>
        <x:v>98.33333333333333</x:v>
      </x:c>
    </x:row>
    <x:row r="103">
      <x:c r="A103" s="52" t="str">
        <x:v>PERF-5</x:v>
      </x:c>
      <x:c r="B103" s="53" t="str">
        <x:v>ПРОИЗВОДИТЕЛЬНОСТЬ И КОНКУРЕНТНОСТЬ</x:v>
      </x:c>
      <x:c r="C103" s="53"/>
      <x:c r="D103" s="344" t="n">
        <x:v>100</x:v>
      </x:c>
      <x:c r="E103" s="344" t="n">
        <x:v>100</x:v>
      </x:c>
      <x:c r="F103" s="344" t="n">
        <x:v>100</x:v>
      </x:c>
      <x:c r="G103" s="344" t="n">
        <x:v>100</x:v>
      </x:c>
      <x:c r="H103" s="344" t="n">
        <x:v>100</x:v>
      </x:c>
      <x:c r="I103" s="344" t="n">
        <x:v>100</x:v>
      </x:c>
      <x:c r="J103" s="344" t="n">
        <x:v>100</x:v>
      </x:c>
      <x:c r="K103" s="344" t="n">
        <x:v>100</x:v>
      </x:c>
      <x:c r="L103" s="344" t="n">
        <x:v>100</x:v>
      </x:c>
      <x:c r="M103" s="344" t="n">
        <x:v>100</x:v>
      </x:c>
      <x:c r="N103" s="344" t="n">
        <x:v>100</x:v>
      </x:c>
      <x:c r="O103" s="344" t="n">
        <x:v>80</x:v>
      </x:c>
      <x:c r="P103" s="344" t="n">
        <x:v>80</x:v>
      </x:c>
      <x:c r="Q103" s="344" t="n">
        <x:v>100</x:v>
      </x:c>
      <x:c r="R103" s="344" t="n">
        <x:v>100</x:v>
      </x:c>
      <x:c r="S103" s="344" t="n">
        <x:v>80</x:v>
      </x:c>
      <x:c r="T103" s="344" t="n">
        <x:v>80</x:v>
      </x:c>
      <x:c r="U103" s="344" t="n">
        <x:v>100</x:v>
      </x:c>
      <x:c r="V103" s="373" t="n">
        <x:v>100</x:v>
      </x:c>
      <x:c r="W103" s="373" t="n">
        <x:v>80</x:v>
      </x:c>
      <x:c r="X103" s="373" t="n">
        <x:v>100</x:v>
      </x:c>
      <x:c r="Y103" s="373" t="n">
        <x:v>100</x:v>
      </x:c>
      <x:c r="Z103" s="373" t="n">
        <x:v>80</x:v>
      </x:c>
      <x:c r="AA103" s="374" t="n">
        <x:v>80</x:v>
      </x:c>
      <x:c r="AB103" s="344" t="n">
        <x:f>IF(COUNT(D103:AA103)=0,"",AVERAGE(D103:AA103))</x:f>
        <x:v>94.16666666666667</x:v>
      </x:c>
    </x:row>
    <x:row r="104">
      <x:c r="A104" s="52" t="str">
        <x:v>DOCKER-1</x:v>
      </x:c>
      <x:c r="B104" s="53" t="str">
        <x:v>DOCKER И КОНТЕЙНЕРЫ</x:v>
      </x:c>
      <x:c r="C104" s="53"/>
      <x:c r="D104" s="344" t="n">
        <x:v>100</x:v>
      </x:c>
      <x:c r="E104" s="344" t="n">
        <x:v>100</x:v>
      </x:c>
      <x:c r="F104" s="344" t="n">
        <x:v>100</x:v>
      </x:c>
      <x:c r="G104" s="344" t="n">
        <x:v>100</x:v>
      </x:c>
      <x:c r="H104" s="344" t="n">
        <x:v>100</x:v>
      </x:c>
      <x:c r="I104" s="344" t="n">
        <x:v>100</x:v>
      </x:c>
      <x:c r="J104" s="344" t="n">
        <x:v>100</x:v>
      </x:c>
      <x:c r="K104" s="344" t="n">
        <x:v>80</x:v>
      </x:c>
      <x:c r="L104" s="344" t="n">
        <x:v>100</x:v>
      </x:c>
      <x:c r="M104" s="344" t="n">
        <x:v>100</x:v>
      </x:c>
      <x:c r="N104" s="344" t="n">
        <x:v>90</x:v>
      </x:c>
      <x:c r="O104" s="344" t="n">
        <x:v>80</x:v>
      </x:c>
      <x:c r="P104" s="344" t="n">
        <x:v>80</x:v>
      </x:c>
      <x:c r="Q104" s="344" t="n">
        <x:v>100</x:v>
      </x:c>
      <x:c r="R104" s="344" t="n">
        <x:v>60</x:v>
      </x:c>
      <x:c r="S104" s="344" t="n">
        <x:v>80</x:v>
      </x:c>
      <x:c r="T104" s="344" t="n">
        <x:v>60</x:v>
      </x:c>
      <x:c r="U104" s="344" t="n">
        <x:v>80</x:v>
      </x:c>
      <x:c r="V104" s="373" t="n">
        <x:v>80</x:v>
      </x:c>
      <x:c r="W104" s="373" t="n">
        <x:v>60</x:v>
      </x:c>
      <x:c r="X104" s="373" t="n">
        <x:v>80</x:v>
      </x:c>
      <x:c r="Y104" s="373" t="n">
        <x:v>80</x:v>
      </x:c>
      <x:c r="Z104" s="373" t="n">
        <x:v>80</x:v>
      </x:c>
      <x:c r="AA104" s="374" t="n">
        <x:v>80</x:v>
      </x:c>
      <x:c r="AB104" s="344" t="n">
        <x:f>IF(COUNT(D104:AA104)=0,"",AVERAGE(D104:AA104))</x:f>
        <x:v>86.25</x:v>
      </x:c>
    </x:row>
    <x:row r="105">
      <x:c r="A105" s="52" t="str">
        <x:v>DOCKER-2</x:v>
      </x:c>
      <x:c r="B105" s="53" t="str">
        <x:v>DOCKER И КОНТЕЙНЕРЫ</x:v>
      </x:c>
      <x:c r="C105" s="53"/>
      <x:c r="D105" s="344" t="n">
        <x:v>100</x:v>
      </x:c>
      <x:c r="E105" s="344" t="n">
        <x:v>100</x:v>
      </x:c>
      <x:c r="F105" s="344" t="n">
        <x:v>100</x:v>
      </x:c>
      <x:c r="G105" s="344" t="n">
        <x:v>100</x:v>
      </x:c>
      <x:c r="H105" s="344" t="n">
        <x:v>100</x:v>
      </x:c>
      <x:c r="I105" s="344" t="n">
        <x:v>100</x:v>
      </x:c>
      <x:c r="J105" s="344" t="n">
        <x:v>100</x:v>
      </x:c>
      <x:c r="K105" s="344" t="n">
        <x:v>100</x:v>
      </x:c>
      <x:c r="L105" s="344" t="n">
        <x:v>100</x:v>
      </x:c>
      <x:c r="M105" s="344" t="n">
        <x:v>100</x:v>
      </x:c>
      <x:c r="N105" s="344" t="n">
        <x:v>100</x:v>
      </x:c>
      <x:c r="O105" s="344" t="n">
        <x:v>100</x:v>
      </x:c>
      <x:c r="P105" s="344" t="n">
        <x:v>100</x:v>
      </x:c>
      <x:c r="Q105" s="344" t="n">
        <x:v>100</x:v>
      </x:c>
      <x:c r="R105" s="344" t="n">
        <x:v>100</x:v>
      </x:c>
      <x:c r="S105" s="344" t="n">
        <x:v>100</x:v>
      </x:c>
      <x:c r="T105" s="344" t="n">
        <x:v>100</x:v>
      </x:c>
      <x:c r="U105" s="344" t="n">
        <x:v>100</x:v>
      </x:c>
      <x:c r="V105" s="373" t="n">
        <x:v>100</x:v>
      </x:c>
      <x:c r="W105" s="373" t="n">
        <x:v>100</x:v>
      </x:c>
      <x:c r="X105" s="373" t="n">
        <x:v>80</x:v>
      </x:c>
      <x:c r="Y105" s="373" t="n">
        <x:v>80</x:v>
      </x:c>
      <x:c r="Z105" s="373" t="n">
        <x:v>80</x:v>
      </x:c>
      <x:c r="AA105" s="374" t="n">
        <x:v>80</x:v>
      </x:c>
      <x:c r="AB105" s="344" t="n">
        <x:f>IF(COUNT(D105:AA105)=0,"",AVERAGE(D105:AA105))</x:f>
        <x:v>96.66666666666667</x:v>
      </x:c>
    </x:row>
    <x:row r="106">
      <x:c r="A106" s="52" t="str">
        <x:v>DOCKER-3</x:v>
      </x:c>
      <x:c r="B106" s="53" t="str">
        <x:v>DOCKER И КОНТЕЙНЕРЫ</x:v>
      </x:c>
      <x:c r="C106" s="53"/>
      <x:c r="D106" s="344" t="n">
        <x:v>100</x:v>
      </x:c>
      <x:c r="E106" s="344" t="n">
        <x:v>100</x:v>
      </x:c>
      <x:c r="F106" s="344" t="n">
        <x:v>100</x:v>
      </x:c>
      <x:c r="G106" s="344" t="n">
        <x:v>100</x:v>
      </x:c>
      <x:c r="H106" s="344" t="n">
        <x:v>100</x:v>
      </x:c>
      <x:c r="I106" s="344" t="n">
        <x:v>100</x:v>
      </x:c>
      <x:c r="J106" s="344" t="n">
        <x:v>100</x:v>
      </x:c>
      <x:c r="K106" s="344" t="n">
        <x:v>100</x:v>
      </x:c>
      <x:c r="L106" s="344" t="n">
        <x:v>100</x:v>
      </x:c>
      <x:c r="M106" s="344" t="n">
        <x:v>100</x:v>
      </x:c>
      <x:c r="N106" s="344" t="n">
        <x:v>100</x:v>
      </x:c>
      <x:c r="O106" s="344" t="n">
        <x:v>100</x:v>
      </x:c>
      <x:c r="P106" s="344" t="n">
        <x:v>100</x:v>
      </x:c>
      <x:c r="Q106" s="344" t="n">
        <x:v>100</x:v>
      </x:c>
      <x:c r="R106" s="344" t="n">
        <x:v>100</x:v>
      </x:c>
      <x:c r="S106" s="344" t="n">
        <x:v>100</x:v>
      </x:c>
      <x:c r="T106" s="344" t="n">
        <x:v>100</x:v>
      </x:c>
      <x:c r="U106" s="344" t="n">
        <x:v>100</x:v>
      </x:c>
      <x:c r="V106" s="373" t="n">
        <x:v>100</x:v>
      </x:c>
      <x:c r="W106" s="373" t="n">
        <x:v>100</x:v>
      </x:c>
      <x:c r="X106" s="373" t="n">
        <x:v>80</x:v>
      </x:c>
      <x:c r="Y106" s="373" t="n">
        <x:v>80</x:v>
      </x:c>
      <x:c r="Z106" s="373" t="n">
        <x:v>80</x:v>
      </x:c>
      <x:c r="AA106" s="374" t="n">
        <x:v>80</x:v>
      </x:c>
      <x:c r="AB106" s="344" t="n">
        <x:f>IF(COUNT(D106:AA106)=0,"",AVERAGE(D106:AA106))</x:f>
        <x:v>96.66666666666667</x:v>
      </x:c>
    </x:row>
    <x:row r="107">
      <x:c r="A107" s="52" t="str">
        <x:v>DOCKER-4</x:v>
      </x:c>
      <x:c r="B107" s="53" t="str">
        <x:v>DOCKER И КОНТЕЙНЕРЫ</x:v>
      </x:c>
      <x:c r="C107" s="53"/>
      <x:c r="D107" s="344" t="n">
        <x:v>100</x:v>
      </x:c>
      <x:c r="E107" s="344" t="n">
        <x:v>100</x:v>
      </x:c>
      <x:c r="F107" s="344" t="n">
        <x:v>100</x:v>
      </x:c>
      <x:c r="G107" s="344" t="n">
        <x:v>100</x:v>
      </x:c>
      <x:c r="H107" s="344" t="n">
        <x:v>100</x:v>
      </x:c>
      <x:c r="I107" s="344" t="n">
        <x:v>100</x:v>
      </x:c>
      <x:c r="J107" s="344" t="n">
        <x:v>100</x:v>
      </x:c>
      <x:c r="K107" s="344" t="n">
        <x:v>100</x:v>
      </x:c>
      <x:c r="L107" s="344" t="n">
        <x:v>100</x:v>
      </x:c>
      <x:c r="M107" s="344" t="n">
        <x:v>100</x:v>
      </x:c>
      <x:c r="N107" s="344" t="n">
        <x:v>100</x:v>
      </x:c>
      <x:c r="O107" s="344" t="n">
        <x:v>100</x:v>
      </x:c>
      <x:c r="P107" s="344" t="n">
        <x:v>100</x:v>
      </x:c>
      <x:c r="Q107" s="344" t="n">
        <x:v>60</x:v>
      </x:c>
      <x:c r="R107" s="344" t="n">
        <x:v>80</x:v>
      </x:c>
      <x:c r="S107" s="344" t="n">
        <x:v>100</x:v>
      </x:c>
      <x:c r="T107" s="344" t="n">
        <x:v>80</x:v>
      </x:c>
      <x:c r="U107" s="344" t="n">
        <x:v>40</x:v>
      </x:c>
      <x:c r="V107" s="373" t="n">
        <x:v>40</x:v>
      </x:c>
      <x:c r="W107" s="373" t="n">
        <x:v>100</x:v>
      </x:c>
      <x:c r="X107" s="373" t="n">
        <x:v>80</x:v>
      </x:c>
      <x:c r="Y107" s="373" t="n">
        <x:v>80</x:v>
      </x:c>
      <x:c r="Z107" s="373" t="n">
        <x:v>80</x:v>
      </x:c>
      <x:c r="AA107" s="374" t="n">
        <x:v>80</x:v>
      </x:c>
      <x:c r="AB107" s="344" t="n">
        <x:f>IF(COUNT(D107:AA107)=0,"",AVERAGE(D107:AA107))</x:f>
        <x:v>88.33333333333333</x:v>
      </x:c>
    </x:row>
    <x:row r="108">
      <x:c r="A108" s="52" t="str">
        <x:v>DOCKER-5</x:v>
      </x:c>
      <x:c r="B108" s="53" t="str">
        <x:v>DOCKER И КОНТЕЙНЕРЫ</x:v>
      </x:c>
      <x:c r="C108" s="53"/>
      <x:c r="D108" s="344" t="n">
        <x:v>100</x:v>
      </x:c>
      <x:c r="E108" s="344" t="n">
        <x:v>100</x:v>
      </x:c>
      <x:c r="F108" s="344" t="n">
        <x:v>100</x:v>
      </x:c>
      <x:c r="G108" s="344" t="n">
        <x:v>100</x:v>
      </x:c>
      <x:c r="H108" s="344" t="n">
        <x:v>100</x:v>
      </x:c>
      <x:c r="I108" s="344" t="n">
        <x:v>100</x:v>
      </x:c>
      <x:c r="J108" s="344" t="n">
        <x:v>100</x:v>
      </x:c>
      <x:c r="K108" s="344" t="n">
        <x:v>100</x:v>
      </x:c>
      <x:c r="L108" s="344" t="n">
        <x:v>100</x:v>
      </x:c>
      <x:c r="M108" s="344" t="n">
        <x:v>100</x:v>
      </x:c>
      <x:c r="N108" s="344" t="n">
        <x:v>100</x:v>
      </x:c>
      <x:c r="O108" s="344" t="n">
        <x:v>100</x:v>
      </x:c>
      <x:c r="P108" s="344" t="n">
        <x:v>100</x:v>
      </x:c>
      <x:c r="Q108" s="344" t="n">
        <x:v>100</x:v>
      </x:c>
      <x:c r="R108" s="344" t="n">
        <x:v>100</x:v>
      </x:c>
      <x:c r="S108" s="344" t="n">
        <x:v>100</x:v>
      </x:c>
      <x:c r="T108" s="344" t="n">
        <x:v>100</x:v>
      </x:c>
      <x:c r="U108" s="344" t="n">
        <x:v>100</x:v>
      </x:c>
      <x:c r="V108" s="373" t="n">
        <x:v>100</x:v>
      </x:c>
      <x:c r="W108" s="373" t="n">
        <x:v>100</x:v>
      </x:c>
      <x:c r="X108" s="373" t="n">
        <x:v>80</x:v>
      </x:c>
      <x:c r="Y108" s="373" t="n">
        <x:v>80</x:v>
      </x:c>
      <x:c r="Z108" s="373" t="n">
        <x:v>80</x:v>
      </x:c>
      <x:c r="AA108" s="374" t="n">
        <x:v>80</x:v>
      </x:c>
      <x:c r="AB108" s="344" t="n">
        <x:f>IF(COUNT(D108:AA108)=0,"",AVERAGE(D108:AA108))</x:f>
        <x:v>96.66666666666667</x:v>
      </x:c>
    </x:row>
    <x:row r="109">
      <x:c r="A109" s="52" t="str">
        <x:v>DOCKER-6</x:v>
      </x:c>
      <x:c r="B109" s="53" t="str">
        <x:v>DOCKER И КОНТЕЙНЕРЫ</x:v>
      </x:c>
      <x:c r="C109" s="53"/>
      <x:c r="D109" s="344" t="n">
        <x:v>100</x:v>
      </x:c>
      <x:c r="E109" s="344" t="n">
        <x:v>100</x:v>
      </x:c>
      <x:c r="F109" s="344" t="n">
        <x:v>100</x:v>
      </x:c>
      <x:c r="G109" s="344" t="n">
        <x:v>100</x:v>
      </x:c>
      <x:c r="H109" s="344" t="n">
        <x:v>100</x:v>
      </x:c>
      <x:c r="I109" s="344" t="n">
        <x:v>100</x:v>
      </x:c>
      <x:c r="J109" s="344" t="n">
        <x:v>100</x:v>
      </x:c>
      <x:c r="K109" s="344" t="n">
        <x:v>100</x:v>
      </x:c>
      <x:c r="L109" s="344" t="n">
        <x:v>100</x:v>
      </x:c>
      <x:c r="M109" s="344" t="n">
        <x:v>100</x:v>
      </x:c>
      <x:c r="N109" s="344" t="n">
        <x:v>100</x:v>
      </x:c>
      <x:c r="O109" s="344" t="n">
        <x:v>100</x:v>
      </x:c>
      <x:c r="P109" s="344" t="n">
        <x:v>100</x:v>
      </x:c>
      <x:c r="Q109" s="344" t="n">
        <x:v>100</x:v>
      </x:c>
      <x:c r="R109" s="344" t="n">
        <x:v>100</x:v>
      </x:c>
      <x:c r="S109" s="344" t="n">
        <x:v>100</x:v>
      </x:c>
      <x:c r="T109" s="344" t="n">
        <x:v>100</x:v>
      </x:c>
      <x:c r="U109" s="344" t="n">
        <x:v>100</x:v>
      </x:c>
      <x:c r="V109" s="373" t="n">
        <x:v>100</x:v>
      </x:c>
      <x:c r="W109" s="373" t="n">
        <x:v>100</x:v>
      </x:c>
      <x:c r="X109" s="373" t="n">
        <x:v>80</x:v>
      </x:c>
      <x:c r="Y109" s="373" t="n">
        <x:v>80</x:v>
      </x:c>
      <x:c r="Z109" s="373" t="n">
        <x:v>80</x:v>
      </x:c>
      <x:c r="AA109" s="374" t="n">
        <x:v>80</x:v>
      </x:c>
      <x:c r="AB109" s="344" t="n">
        <x:f>IF(COUNT(D109:AA109)=0,"",AVERAGE(D109:AA109))</x:f>
        <x:v>96.66666666666667</x:v>
      </x:c>
    </x:row>
    <x:row r="110">
      <x:c r="A110" s="52" t="str">
        <x:v>OPS-1</x:v>
      </x:c>
      <x:c r="B110" s="53" t="str">
        <x:v>LINUX, SYSTEMD И NGINX</x:v>
      </x:c>
      <x:c r="C110" s="53" t="str">
        <x:v>systemd</x:v>
      </x:c>
      <x:c r="D110" s="344" t="n">
        <x:v>100</x:v>
      </x:c>
      <x:c r="E110" s="344" t="n">
        <x:v>100</x:v>
      </x:c>
      <x:c r="F110" s="344" t="n">
        <x:v>100</x:v>
      </x:c>
      <x:c r="G110" s="344" t="n">
        <x:v>100</x:v>
      </x:c>
      <x:c r="H110" s="344" t="n">
        <x:v>100</x:v>
      </x:c>
      <x:c r="I110" s="344" t="n">
        <x:v>100</x:v>
      </x:c>
      <x:c r="J110" s="344" t="n">
        <x:v>100</x:v>
      </x:c>
      <x:c r="K110" s="344" t="n">
        <x:v>100</x:v>
      </x:c>
      <x:c r="L110" s="344" t="n">
        <x:v>100</x:v>
      </x:c>
      <x:c r="M110" s="344" t="n">
        <x:v>100</x:v>
      </x:c>
      <x:c r="N110" s="344" t="n">
        <x:v>100</x:v>
      </x:c>
      <x:c r="O110" s="344" t="n">
        <x:v>100</x:v>
      </x:c>
      <x:c r="P110" s="344" t="n">
        <x:v>80</x:v>
      </x:c>
      <x:c r="Q110" s="344" t="n">
        <x:v>100</x:v>
      </x:c>
      <x:c r="R110" s="344" t="n">
        <x:v>90</x:v>
      </x:c>
      <x:c r="S110" s="344" t="n">
        <x:v>80</x:v>
      </x:c>
      <x:c r="T110" s="344" t="n">
        <x:v>90</x:v>
      </x:c>
      <x:c r="U110" s="344" t="n">
        <x:v>100</x:v>
      </x:c>
      <x:c r="V110" s="373" t="n">
        <x:v>100</x:v>
      </x:c>
      <x:c r="W110" s="373" t="n">
        <x:v>60</x:v>
      </x:c>
      <x:c r="X110" s="373" t="n">
        <x:v>80</x:v>
      </x:c>
      <x:c r="Y110" s="373" t="n">
        <x:v>80</x:v>
      </x:c>
      <x:c r="Z110" s="373" t="n">
        <x:v>60</x:v>
      </x:c>
      <x:c r="AA110" s="374" t="n">
        <x:v>60</x:v>
      </x:c>
      <x:c r="AB110" s="344" t="n">
        <x:f>IF(COUNT(D110:AA110)=0,"",AVERAGE(D110:AA110))</x:f>
        <x:v>90.83333333333333</x:v>
      </x:c>
    </x:row>
    <x:row r="111">
      <x:c r="A111" s="52" t="str">
        <x:v>OPS-2</x:v>
      </x:c>
      <x:c r="B111" s="53" t="str">
        <x:v>LINUX, SYSTEMD И NGINX</x:v>
      </x:c>
      <x:c r="C111" s="53" t="str">
        <x:v>Диск</x:v>
      </x:c>
      <x:c r="D111" s="344" t="n">
        <x:v>100</x:v>
      </x:c>
      <x:c r="E111" s="344" t="n">
        <x:v>100</x:v>
      </x:c>
      <x:c r="F111" s="344" t="n">
        <x:v>100</x:v>
      </x:c>
      <x:c r="G111" s="344" t="n">
        <x:v>100</x:v>
      </x:c>
      <x:c r="H111" s="344" t="n">
        <x:v>100</x:v>
      </x:c>
      <x:c r="I111" s="344" t="n">
        <x:v>100</x:v>
      </x:c>
      <x:c r="J111" s="344" t="n">
        <x:v>80</x:v>
      </x:c>
      <x:c r="K111" s="344" t="n">
        <x:v>100</x:v>
      </x:c>
      <x:c r="L111" s="344" t="n">
        <x:v>100</x:v>
      </x:c>
      <x:c r="M111" s="344" t="n">
        <x:v>100</x:v>
      </x:c>
      <x:c r="N111" s="344" t="n">
        <x:v>100</x:v>
      </x:c>
      <x:c r="O111" s="344" t="n">
        <x:v>100</x:v>
      </x:c>
      <x:c r="P111" s="344" t="n">
        <x:v>80</x:v>
      </x:c>
      <x:c r="Q111" s="344" t="n">
        <x:v>100</x:v>
      </x:c>
      <x:c r="R111" s="344" t="n">
        <x:v>80</x:v>
      </x:c>
      <x:c r="S111" s="344" t="n">
        <x:v>80</x:v>
      </x:c>
      <x:c r="T111" s="344" t="n">
        <x:v>80</x:v>
      </x:c>
      <x:c r="U111" s="344" t="n">
        <x:v>100</x:v>
      </x:c>
      <x:c r="V111" s="373" t="n">
        <x:v>60</x:v>
      </x:c>
      <x:c r="W111" s="373" t="n">
        <x:v>40</x:v>
      </x:c>
      <x:c r="X111" s="373" t="n">
        <x:v>60</x:v>
      </x:c>
      <x:c r="Y111" s="373" t="n">
        <x:v>100</x:v>
      </x:c>
      <x:c r="Z111" s="373" t="n">
        <x:v>40</x:v>
      </x:c>
      <x:c r="AA111" s="374" t="n">
        <x:v>40</x:v>
      </x:c>
      <x:c r="AB111" s="344" t="n">
        <x:f>IF(COUNT(D111:AA111)=0,"",AVERAGE(D111:AA111))</x:f>
        <x:v>85</x:v>
      </x:c>
    </x:row>
    <x:row r="112">
      <x:c r="A112" s="52" t="str">
        <x:v>OPS-3</x:v>
      </x:c>
      <x:c r="B112" s="53" t="str">
        <x:v>LINUX, SYSTEMD И NGINX</x:v>
      </x:c>
      <x:c r="C112" s="53" t="str">
        <x:v>Файловые дескрипторы</x:v>
      </x:c>
      <x:c r="D112" s="344" t="n">
        <x:v>100</x:v>
      </x:c>
      <x:c r="E112" s="344" t="n">
        <x:v>100</x:v>
      </x:c>
      <x:c r="F112" s="344" t="n">
        <x:v>100</x:v>
      </x:c>
      <x:c r="G112" s="344" t="n">
        <x:v>100</x:v>
      </x:c>
      <x:c r="H112" s="344" t="n">
        <x:v>100</x:v>
      </x:c>
      <x:c r="I112" s="344" t="n">
        <x:v>100</x:v>
      </x:c>
      <x:c r="J112" s="344" t="n">
        <x:v>80</x:v>
      </x:c>
      <x:c r="K112" s="344" t="n">
        <x:v>100</x:v>
      </x:c>
      <x:c r="L112" s="344" t="n">
        <x:v>100</x:v>
      </x:c>
      <x:c r="M112" s="344" t="n">
        <x:v>100</x:v>
      </x:c>
      <x:c r="N112" s="344" t="n">
        <x:v>100</x:v>
      </x:c>
      <x:c r="O112" s="344" t="n">
        <x:v>100</x:v>
      </x:c>
      <x:c r="P112" s="344" t="n">
        <x:v>100</x:v>
      </x:c>
      <x:c r="Q112" s="344" t="n">
        <x:v>100</x:v>
      </x:c>
      <x:c r="R112" s="344" t="n">
        <x:v>90</x:v>
      </x:c>
      <x:c r="S112" s="344" t="n">
        <x:v>80</x:v>
      </x:c>
      <x:c r="T112" s="344" t="n">
        <x:v>80</x:v>
      </x:c>
      <x:c r="U112" s="344" t="n">
        <x:v>100</x:v>
      </x:c>
      <x:c r="V112" s="373" t="n">
        <x:v>100</x:v>
      </x:c>
      <x:c r="W112" s="373" t="n">
        <x:v>80</x:v>
      </x:c>
      <x:c r="X112" s="373" t="n">
        <x:v>80</x:v>
      </x:c>
      <x:c r="Y112" s="373" t="n">
        <x:v>80</x:v>
      </x:c>
      <x:c r="Z112" s="373" t="n">
        <x:v>60</x:v>
      </x:c>
      <x:c r="AA112" s="374" t="n">
        <x:v>60</x:v>
      </x:c>
      <x:c r="AB112" s="344" t="n">
        <x:f>IF(COUNT(D112:AA112)=0,"",AVERAGE(D112:AA112))</x:f>
        <x:v>91.25</x:v>
      </x:c>
    </x:row>
    <x:row r="113">
      <x:c r="A113" s="52" t="str">
        <x:v>OPS-4</x:v>
      </x:c>
      <x:c r="B113" s="53" t="str">
        <x:v>LINUX, SYSTEMD И NGINX</x:v>
      </x:c>
      <x:c r="C113" s="53" t="str">
        <x:v>Nginx</x:v>
      </x:c>
      <x:c r="D113" s="344" t="n">
        <x:v>100</x:v>
      </x:c>
      <x:c r="E113" s="344" t="n">
        <x:v>100</x:v>
      </x:c>
      <x:c r="F113" s="344" t="n">
        <x:v>100</x:v>
      </x:c>
      <x:c r="G113" s="344" t="n">
        <x:v>100</x:v>
      </x:c>
      <x:c r="H113" s="344" t="n">
        <x:v>100</x:v>
      </x:c>
      <x:c r="I113" s="344" t="n">
        <x:v>100</x:v>
      </x:c>
      <x:c r="J113" s="344" t="n">
        <x:v>100</x:v>
      </x:c>
      <x:c r="K113" s="344" t="n">
        <x:v>100</x:v>
      </x:c>
      <x:c r="L113" s="344" t="n">
        <x:v>100</x:v>
      </x:c>
      <x:c r="M113" s="344" t="n">
        <x:v>100</x:v>
      </x:c>
      <x:c r="N113" s="344" t="n">
        <x:v>100</x:v>
      </x:c>
      <x:c r="O113" s="344" t="n">
        <x:v>100</x:v>
      </x:c>
      <x:c r="P113" s="344" t="n">
        <x:v>60</x:v>
      </x:c>
      <x:c r="Q113" s="344" t="n">
        <x:v>100</x:v>
      </x:c>
      <x:c r="R113" s="344" t="n">
        <x:v>90</x:v>
      </x:c>
      <x:c r="S113" s="344" t="n">
        <x:v>80</x:v>
      </x:c>
      <x:c r="T113" s="344" t="n">
        <x:v>90</x:v>
      </x:c>
      <x:c r="U113" s="344" t="n">
        <x:v>100</x:v>
      </x:c>
      <x:c r="V113" s="373" t="n">
        <x:v>100</x:v>
      </x:c>
      <x:c r="W113" s="373" t="n">
        <x:v>80</x:v>
      </x:c>
      <x:c r="X113" s="373" t="n">
        <x:v>80</x:v>
      </x:c>
      <x:c r="Y113" s="373" t="n">
        <x:v>80</x:v>
      </x:c>
      <x:c r="Z113" s="373" t="n">
        <x:v>60</x:v>
      </x:c>
      <x:c r="AA113" s="374" t="n">
        <x:v>60</x:v>
      </x:c>
      <x:c r="AB113" s="344" t="n">
        <x:f>IF(COUNT(D113:AA113)=0,"",AVERAGE(D113:AA113))</x:f>
        <x:v>90.83333333333333</x:v>
      </x:c>
    </x:row>
    <x:row r="114">
      <x:c r="A114" s="52" t="str">
        <x:v>OPS-5</x:v>
      </x:c>
      <x:c r="B114" s="53" t="str">
        <x:v>LINUX, SYSTEMD И NGINX</x:v>
      </x:c>
      <x:c r="C114" s="53" t="str">
        <x:v>Reverse proxy</x:v>
      </x:c>
      <x:c r="D114" s="344" t="n">
        <x:v>100</x:v>
      </x:c>
      <x:c r="E114" s="344" t="n">
        <x:v>100</x:v>
      </x:c>
      <x:c r="F114" s="344" t="n">
        <x:v>100</x:v>
      </x:c>
      <x:c r="G114" s="344" t="n">
        <x:v>100</x:v>
      </x:c>
      <x:c r="H114" s="344" t="n">
        <x:v>100</x:v>
      </x:c>
      <x:c r="I114" s="344" t="n">
        <x:v>100</x:v>
      </x:c>
      <x:c r="J114" s="344" t="n">
        <x:v>100</x:v>
      </x:c>
      <x:c r="K114" s="344" t="n">
        <x:v>100</x:v>
      </x:c>
      <x:c r="L114" s="344" t="n">
        <x:v>100</x:v>
      </x:c>
      <x:c r="M114" s="344" t="n">
        <x:v>100</x:v>
      </x:c>
      <x:c r="N114" s="344" t="n">
        <x:v>100</x:v>
      </x:c>
      <x:c r="O114" s="344" t="n">
        <x:v>100</x:v>
      </x:c>
      <x:c r="P114" s="344" t="n">
        <x:v>100</x:v>
      </x:c>
      <x:c r="Q114" s="344" t="n">
        <x:v>100</x:v>
      </x:c>
      <x:c r="R114" s="344" t="n">
        <x:v>100</x:v>
      </x:c>
      <x:c r="S114" s="344" t="n">
        <x:v>100</x:v>
      </x:c>
      <x:c r="T114" s="344" t="n">
        <x:v>100</x:v>
      </x:c>
      <x:c r="U114" s="344" t="n">
        <x:v>100</x:v>
      </x:c>
      <x:c r="V114" s="373" t="n">
        <x:v>100</x:v>
      </x:c>
      <x:c r="W114" s="373" t="n">
        <x:v>80</x:v>
      </x:c>
      <x:c r="X114" s="373" t="n">
        <x:v>60</x:v>
      </x:c>
      <x:c r="Y114" s="373" t="n">
        <x:v>60</x:v>
      </x:c>
      <x:c r="Z114" s="373" t="n">
        <x:v>80</x:v>
      </x:c>
      <x:c r="AA114" s="374" t="n">
        <x:v>80</x:v>
      </x:c>
      <x:c r="AB114" s="344" t="n">
        <x:f>IF(COUNT(D114:AA114)=0,"",AVERAGE(D114:AA114))</x:f>
        <x:v>94.16666666666667</x:v>
      </x:c>
    </x:row>
    <x:row r="115">
      <x:c r="A115" s="52" t="str">
        <x:v>OPS-6</x:v>
      </x:c>
      <x:c r="B115" s="53" t="str">
        <x:v>LINUX, SYSTEMD И NGINX</x:v>
      </x:c>
      <x:c r="C115" s="53" t="str">
        <x:v>Zero-downtime</x:v>
      </x:c>
      <x:c r="D115" s="344" t="n">
        <x:v>100</x:v>
      </x:c>
      <x:c r="E115" s="344" t="n">
        <x:v>100</x:v>
      </x:c>
      <x:c r="F115" s="344" t="n">
        <x:v>100</x:v>
      </x:c>
      <x:c r="G115" s="344" t="n">
        <x:v>100</x:v>
      </x:c>
      <x:c r="H115" s="344" t="n">
        <x:v>100</x:v>
      </x:c>
      <x:c r="I115" s="344" t="n">
        <x:v>100</x:v>
      </x:c>
      <x:c r="J115" s="344" t="n">
        <x:v>100</x:v>
      </x:c>
      <x:c r="K115" s="344" t="n">
        <x:v>100</x:v>
      </x:c>
      <x:c r="L115" s="344" t="n">
        <x:v>100</x:v>
      </x:c>
      <x:c r="M115" s="344" t="n">
        <x:v>100</x:v>
      </x:c>
      <x:c r="N115" s="344" t="n">
        <x:v>100</x:v>
      </x:c>
      <x:c r="O115" s="344" t="n">
        <x:v>100</x:v>
      </x:c>
      <x:c r="P115" s="344" t="n">
        <x:v>100</x:v>
      </x:c>
      <x:c r="Q115" s="344" t="n">
        <x:v>100</x:v>
      </x:c>
      <x:c r="R115" s="344" t="n">
        <x:v>100</x:v>
      </x:c>
      <x:c r="S115" s="344" t="n">
        <x:v>100</x:v>
      </x:c>
      <x:c r="T115" s="344" t="n">
        <x:v>100</x:v>
      </x:c>
      <x:c r="U115" s="344" t="n">
        <x:v>100</x:v>
      </x:c>
      <x:c r="V115" s="373" t="n">
        <x:v>100</x:v>
      </x:c>
      <x:c r="W115" s="373" t="n">
        <x:v>100</x:v>
      </x:c>
      <x:c r="X115" s="373" t="n">
        <x:v>80</x:v>
      </x:c>
      <x:c r="Y115" s="373" t="n">
        <x:v>80</x:v>
      </x:c>
      <x:c r="Z115" s="373" t="n">
        <x:v>60</x:v>
      </x:c>
      <x:c r="AA115" s="374" t="n">
        <x:v>60</x:v>
      </x:c>
      <x:c r="AB115" s="344" t="n">
        <x:f>IF(COUNT(D115:AA115)=0,"",AVERAGE(D115:AA115))</x:f>
        <x:v>95</x:v>
      </x:c>
    </x:row>
    <x:row r="116">
      <x:c r="A116" s="52" t="str">
        <x:v>SH-1</x:v>
      </x:c>
      <x:c r="B116" s="53" t="str">
        <x:v>BASH, ZSH И macOS TERMINAL</x:v>
      </x:c>
      <x:c r="C116" s="53"/>
      <x:c r="D116" s="344" t="n">
        <x:v>100</x:v>
      </x:c>
      <x:c r="E116" s="344" t="n">
        <x:v>100</x:v>
      </x:c>
      <x:c r="F116" s="344" t="n">
        <x:v>100</x:v>
      </x:c>
      <x:c r="G116" s="344" t="n">
        <x:v>100</x:v>
      </x:c>
      <x:c r="H116" s="344" t="n">
        <x:v>100</x:v>
      </x:c>
      <x:c r="I116" s="344" t="n">
        <x:v>100</x:v>
      </x:c>
      <x:c r="J116" s="344" t="n">
        <x:v>100</x:v>
      </x:c>
      <x:c r="K116" s="344" t="n">
        <x:v>100</x:v>
      </x:c>
      <x:c r="L116" s="344" t="n">
        <x:v>100</x:v>
      </x:c>
      <x:c r="M116" s="344" t="n">
        <x:v>100</x:v>
      </x:c>
      <x:c r="N116" s="344" t="n">
        <x:v>100</x:v>
      </x:c>
      <x:c r="O116" s="344" t="n">
        <x:v>100</x:v>
      </x:c>
      <x:c r="P116" s="344" t="n">
        <x:v>100</x:v>
      </x:c>
      <x:c r="Q116" s="344" t="n">
        <x:v>100</x:v>
      </x:c>
      <x:c r="R116" s="344" t="n">
        <x:v>100</x:v>
      </x:c>
      <x:c r="S116" s="344" t="n">
        <x:v>100</x:v>
      </x:c>
      <x:c r="T116" s="344" t="n">
        <x:v>100</x:v>
      </x:c>
      <x:c r="U116" s="344" t="n">
        <x:v>100</x:v>
      </x:c>
      <x:c r="V116" s="373" t="n">
        <x:v>100</x:v>
      </x:c>
      <x:c r="W116" s="373" t="n">
        <x:v>100</x:v>
      </x:c>
      <x:c r="X116" s="373" t="n">
        <x:v>60</x:v>
      </x:c>
      <x:c r="Y116" s="373" t="n">
        <x:v>60</x:v>
      </x:c>
      <x:c r="Z116" s="373" t="n">
        <x:v>60</x:v>
      </x:c>
      <x:c r="AA116" s="374" t="n">
        <x:v>60</x:v>
      </x:c>
      <x:c r="AB116" s="344" t="n">
        <x:f>IF(COUNT(D116:AA116)=0,"",AVERAGE(D116:AA116))</x:f>
        <x:v>93.33333333333333</x:v>
      </x:c>
    </x:row>
    <x:row r="117">
      <x:c r="A117" s="52" t="str">
        <x:v>SH-2</x:v>
      </x:c>
      <x:c r="B117" s="53" t="str">
        <x:v>BASH, ZSH И macOS TERMINAL</x:v>
      </x:c>
      <x:c r="C117" s="53"/>
      <x:c r="D117" s="344" t="n">
        <x:v>100</x:v>
      </x:c>
      <x:c r="E117" s="344" t="n">
        <x:v>100</x:v>
      </x:c>
      <x:c r="F117" s="344" t="n">
        <x:v>100</x:v>
      </x:c>
      <x:c r="G117" s="344" t="n">
        <x:v>100</x:v>
      </x:c>
      <x:c r="H117" s="344" t="n">
        <x:v>100</x:v>
      </x:c>
      <x:c r="I117" s="344" t="n">
        <x:v>100</x:v>
      </x:c>
      <x:c r="J117" s="344" t="n">
        <x:v>100</x:v>
      </x:c>
      <x:c r="K117" s="344" t="n">
        <x:v>100</x:v>
      </x:c>
      <x:c r="L117" s="344" t="n">
        <x:v>100</x:v>
      </x:c>
      <x:c r="M117" s="344" t="n">
        <x:v>90</x:v>
      </x:c>
      <x:c r="N117" s="344" t="n">
        <x:v>100</x:v>
      </x:c>
      <x:c r="O117" s="344" t="n">
        <x:v>20</x:v>
      </x:c>
      <x:c r="P117" s="344" t="n">
        <x:v>80</x:v>
      </x:c>
      <x:c r="Q117" s="344" t="n">
        <x:v>100</x:v>
      </x:c>
      <x:c r="R117" s="344" t="n">
        <x:v>90</x:v>
      </x:c>
      <x:c r="S117" s="344" t="n">
        <x:v>20</x:v>
      </x:c>
      <x:c r="T117" s="344" t="n">
        <x:v>80</x:v>
      </x:c>
      <x:c r="U117" s="344" t="n">
        <x:v>100</x:v>
      </x:c>
      <x:c r="V117" s="373" t="n">
        <x:v>20</x:v>
      </x:c>
      <x:c r="W117" s="373" t="n">
        <x:v>20</x:v>
      </x:c>
      <x:c r="X117" s="373" t="n">
        <x:v>20</x:v>
      </x:c>
      <x:c r="Y117" s="373" t="n">
        <x:v>0</x:v>
      </x:c>
      <x:c r="Z117" s="373" t="n">
        <x:v>0</x:v>
      </x:c>
      <x:c r="AA117" s="374" t="n">
        <x:v>0</x:v>
      </x:c>
      <x:c r="AB117" s="344" t="n">
        <x:f>IF(COUNT(D117:AA117)=0,"",AVERAGE(D117:AA117))</x:f>
        <x:v>68.33333333333333</x:v>
      </x:c>
    </x:row>
    <x:row r="118">
      <x:c r="A118" s="52" t="str">
        <x:v>SH-3</x:v>
      </x:c>
      <x:c r="B118" s="53" t="str">
        <x:v>BASH, ZSH И macOS TERMINAL</x:v>
      </x:c>
      <x:c r="C118" s="53"/>
      <x:c r="D118" s="344" t="n">
        <x:v>100</x:v>
      </x:c>
      <x:c r="E118" s="344" t="n">
        <x:v>100</x:v>
      </x:c>
      <x:c r="F118" s="344" t="n">
        <x:v>100</x:v>
      </x:c>
      <x:c r="G118" s="344" t="n">
        <x:v>100</x:v>
      </x:c>
      <x:c r="H118" s="344" t="n">
        <x:v>100</x:v>
      </x:c>
      <x:c r="I118" s="344" t="n">
        <x:v>100</x:v>
      </x:c>
      <x:c r="J118" s="344" t="n">
        <x:v>100</x:v>
      </x:c>
      <x:c r="K118" s="344" t="n">
        <x:v>100</x:v>
      </x:c>
      <x:c r="L118" s="344" t="n">
        <x:v>100</x:v>
      </x:c>
      <x:c r="M118" s="344" t="n">
        <x:v>40</x:v>
      </x:c>
      <x:c r="N118" s="344" t="n">
        <x:v>100</x:v>
      </x:c>
      <x:c r="O118" s="344" t="n">
        <x:v>40</x:v>
      </x:c>
      <x:c r="P118" s="344" t="n">
        <x:v>40</x:v>
      </x:c>
      <x:c r="Q118" s="344" t="n">
        <x:v>0</x:v>
      </x:c>
      <x:c r="R118" s="344" t="n">
        <x:v>40</x:v>
      </x:c>
      <x:c r="S118" s="344" t="n">
        <x:v>100</x:v>
      </x:c>
      <x:c r="T118" s="344" t="n">
        <x:v>70</x:v>
      </x:c>
      <x:c r="U118" s="344" t="n">
        <x:v>20</x:v>
      </x:c>
      <x:c r="V118" s="373" t="n">
        <x:v>100</x:v>
      </x:c>
      <x:c r="W118" s="373" t="n">
        <x:v>100</x:v>
      </x:c>
      <x:c r="X118" s="373" t="n">
        <x:v>20</x:v>
      </x:c>
      <x:c r="Y118" s="373" t="n">
        <x:v>20</x:v>
      </x:c>
      <x:c r="Z118" s="373" t="n">
        <x:v>40</x:v>
      </x:c>
      <x:c r="AA118" s="374" t="n">
        <x:v>40</x:v>
      </x:c>
      <x:c r="AB118" s="344" t="n">
        <x:f>IF(COUNT(D118:AA118)=0,"",AVERAGE(D118:AA118))</x:f>
        <x:v>69.58333333333333</x:v>
      </x:c>
    </x:row>
    <x:row r="119">
      <x:c r="A119" s="52" t="str">
        <x:v>SH-4</x:v>
      </x:c>
      <x:c r="B119" s="53" t="str">
        <x:v>BASH, ZSH И macOS TERMINAL</x:v>
      </x:c>
      <x:c r="C119" s="53"/>
      <x:c r="D119" s="344" t="n">
        <x:v>100</x:v>
      </x:c>
      <x:c r="E119" s="344" t="n">
        <x:v>100</x:v>
      </x:c>
      <x:c r="F119" s="344" t="n">
        <x:v>100</x:v>
      </x:c>
      <x:c r="G119" s="344" t="n">
        <x:v>100</x:v>
      </x:c>
      <x:c r="H119" s="344" t="n">
        <x:v>100</x:v>
      </x:c>
      <x:c r="I119" s="344" t="n">
        <x:v>100</x:v>
      </x:c>
      <x:c r="J119" s="344" t="n">
        <x:v>100</x:v>
      </x:c>
      <x:c r="K119" s="344" t="n">
        <x:v>100</x:v>
      </x:c>
      <x:c r="L119" s="344" t="n">
        <x:v>100</x:v>
      </x:c>
      <x:c r="M119" s="344" t="n">
        <x:v>100</x:v>
      </x:c>
      <x:c r="N119" s="344" t="n">
        <x:v>100</x:v>
      </x:c>
      <x:c r="O119" s="344" t="n">
        <x:v>100</x:v>
      </x:c>
      <x:c r="P119" s="344" t="n">
        <x:v>100</x:v>
      </x:c>
      <x:c r="Q119" s="344" t="n">
        <x:v>100</x:v>
      </x:c>
      <x:c r="R119" s="344" t="n">
        <x:v>100</x:v>
      </x:c>
      <x:c r="S119" s="344" t="n">
        <x:v>100</x:v>
      </x:c>
      <x:c r="T119" s="344" t="n">
        <x:v>100</x:v>
      </x:c>
      <x:c r="U119" s="344" t="n">
        <x:v>100</x:v>
      </x:c>
      <x:c r="V119" s="373" t="n">
        <x:v>40</x:v>
      </x:c>
      <x:c r="W119" s="373" t="n">
        <x:v>80</x:v>
      </x:c>
      <x:c r="X119" s="373" t="n">
        <x:v>60</x:v>
      </x:c>
      <x:c r="Y119" s="373" t="n">
        <x:v>60</x:v>
      </x:c>
      <x:c r="Z119" s="373" t="n">
        <x:v>60</x:v>
      </x:c>
      <x:c r="AA119" s="374" t="n">
        <x:v>60</x:v>
      </x:c>
      <x:c r="AB119" s="344" t="n">
        <x:f>IF(COUNT(D119:AA119)=0,"",AVERAGE(D119:AA119))</x:f>
        <x:v>90</x:v>
      </x:c>
    </x:row>
    <x:row r="120">
      <x:c r="A120" s="52" t="str">
        <x:v>SH-5</x:v>
      </x:c>
      <x:c r="B120" s="53" t="str">
        <x:v>BASH, ZSH И macOS TERMINAL</x:v>
      </x:c>
      <x:c r="C120" s="53"/>
      <x:c r="D120" s="344" t="n">
        <x:v>100</x:v>
      </x:c>
      <x:c r="E120" s="344" t="n">
        <x:v>100</x:v>
      </x:c>
      <x:c r="F120" s="344" t="n">
        <x:v>100</x:v>
      </x:c>
      <x:c r="G120" s="344" t="n">
        <x:v>100</x:v>
      </x:c>
      <x:c r="H120" s="344" t="n">
        <x:v>100</x:v>
      </x:c>
      <x:c r="I120" s="344" t="n">
        <x:v>100</x:v>
      </x:c>
      <x:c r="J120" s="344" t="n">
        <x:v>100</x:v>
      </x:c>
      <x:c r="K120" s="344" t="n">
        <x:v>100</x:v>
      </x:c>
      <x:c r="L120" s="344" t="n">
        <x:v>100</x:v>
      </x:c>
      <x:c r="M120" s="344" t="n">
        <x:v>100</x:v>
      </x:c>
      <x:c r="N120" s="344" t="n">
        <x:v>100</x:v>
      </x:c>
      <x:c r="O120" s="344" t="n">
        <x:v>100</x:v>
      </x:c>
      <x:c r="P120" s="344" t="n">
        <x:v>100</x:v>
      </x:c>
      <x:c r="Q120" s="344" t="n">
        <x:v>100</x:v>
      </x:c>
      <x:c r="R120" s="344" t="n">
        <x:v>100</x:v>
      </x:c>
      <x:c r="S120" s="344" t="n">
        <x:v>100</x:v>
      </x:c>
      <x:c r="T120" s="344" t="n">
        <x:v>100</x:v>
      </x:c>
      <x:c r="U120" s="344" t="n">
        <x:v>100</x:v>
      </x:c>
      <x:c r="V120" s="373" t="n">
        <x:v>100</x:v>
      </x:c>
      <x:c r="W120" s="373" t="n">
        <x:v>100</x:v>
      </x:c>
      <x:c r="X120" s="373" t="n">
        <x:v>40</x:v>
      </x:c>
      <x:c r="Y120" s="373" t="n">
        <x:v>40</x:v>
      </x:c>
      <x:c r="Z120" s="373" t="n">
        <x:v>100</x:v>
      </x:c>
      <x:c r="AA120" s="374" t="n">
        <x:v>100</x:v>
      </x:c>
      <x:c r="AB120" s="344" t="n">
        <x:f>IF(COUNT(D120:AA120)=0,"",AVERAGE(D120:AA120))</x:f>
        <x:v>95</x:v>
      </x:c>
    </x:row>
    <x:row r="121">
      <x:c r="A121" s="52" t="str">
        <x:v>SH-6</x:v>
      </x:c>
      <x:c r="B121" s="53" t="str">
        <x:v>BASH, ZSH И macOS TERMINAL</x:v>
      </x:c>
      <x:c r="C121" s="53"/>
      <x:c r="D121" s="344" t="n">
        <x:v>100</x:v>
      </x:c>
      <x:c r="E121" s="344" t="n">
        <x:v>100</x:v>
      </x:c>
      <x:c r="F121" s="344" t="n">
        <x:v>100</x:v>
      </x:c>
      <x:c r="G121" s="344" t="n">
        <x:v>100</x:v>
      </x:c>
      <x:c r="H121" s="344" t="n">
        <x:v>100</x:v>
      </x:c>
      <x:c r="I121" s="344" t="n">
        <x:v>100</x:v>
      </x:c>
      <x:c r="J121" s="344" t="n">
        <x:v>100</x:v>
      </x:c>
      <x:c r="K121" s="344" t="n">
        <x:v>100</x:v>
      </x:c>
      <x:c r="L121" s="344" t="n">
        <x:v>100</x:v>
      </x:c>
      <x:c r="M121" s="344" t="n">
        <x:v>100</x:v>
      </x:c>
      <x:c r="N121" s="344" t="n">
        <x:v>100</x:v>
      </x:c>
      <x:c r="O121" s="344" t="n">
        <x:v>100</x:v>
      </x:c>
      <x:c r="P121" s="344" t="n">
        <x:v>100</x:v>
      </x:c>
      <x:c r="Q121" s="344" t="n">
        <x:v>100</x:v>
      </x:c>
      <x:c r="R121" s="344" t="n">
        <x:v>100</x:v>
      </x:c>
      <x:c r="S121" s="344" t="n">
        <x:v>100</x:v>
      </x:c>
      <x:c r="T121" s="344" t="n">
        <x:v>100</x:v>
      </x:c>
      <x:c r="U121" s="344" t="n">
        <x:v>100</x:v>
      </x:c>
      <x:c r="V121" s="373" t="n">
        <x:v>100</x:v>
      </x:c>
      <x:c r="W121" s="373" t="n">
        <x:v>60</x:v>
      </x:c>
      <x:c r="X121" s="373" t="n">
        <x:v>60</x:v>
      </x:c>
      <x:c r="Y121" s="373" t="n">
        <x:v>60</x:v>
      </x:c>
      <x:c r="Z121" s="373" t="n">
        <x:v>60</x:v>
      </x:c>
      <x:c r="AA121" s="374" t="n">
        <x:v>60</x:v>
      </x:c>
      <x:c r="AB121" s="344" t="n">
        <x:f>IF(COUNT(D121:AA121)=0,"",AVERAGE(D121:AA121))</x:f>
        <x:v>91.66666666666667</x:v>
      </x:c>
    </x:row>
    <x:row r="122">
      <x:c r="A122" s="52" t="str">
        <x:v>SH-7</x:v>
      </x:c>
      <x:c r="B122" s="53" t="str">
        <x:v>BASH, ZSH И macOS TERMINAL</x:v>
      </x:c>
      <x:c r="C122" s="53"/>
      <x:c r="D122" s="344" t="n">
        <x:v>100</x:v>
      </x:c>
      <x:c r="E122" s="344" t="n">
        <x:v>100</x:v>
      </x:c>
      <x:c r="F122" s="344" t="n">
        <x:v>100</x:v>
      </x:c>
      <x:c r="G122" s="344" t="n">
        <x:v>100</x:v>
      </x:c>
      <x:c r="H122" s="344" t="n">
        <x:v>100</x:v>
      </x:c>
      <x:c r="I122" s="344" t="n">
        <x:v>100</x:v>
      </x:c>
      <x:c r="J122" s="344" t="n">
        <x:v>100</x:v>
      </x:c>
      <x:c r="K122" s="344" t="n">
        <x:v>100</x:v>
      </x:c>
      <x:c r="L122" s="344" t="n">
        <x:v>100</x:v>
      </x:c>
      <x:c r="M122" s="344" t="n">
        <x:v>100</x:v>
      </x:c>
      <x:c r="N122" s="344" t="n">
        <x:v>100</x:v>
      </x:c>
      <x:c r="O122" s="344" t="n">
        <x:v>60</x:v>
      </x:c>
      <x:c r="P122" s="344" t="n">
        <x:v>60</x:v>
      </x:c>
      <x:c r="Q122" s="344" t="n">
        <x:v>80</x:v>
      </x:c>
      <x:c r="R122" s="344" t="n">
        <x:v>100</x:v>
      </x:c>
      <x:c r="S122" s="344" t="n">
        <x:v>100</x:v>
      </x:c>
      <x:c r="T122" s="344" t="n">
        <x:v>100</x:v>
      </x:c>
      <x:c r="U122" s="344" t="n">
        <x:v>80</x:v>
      </x:c>
      <x:c r="V122" s="373" t="n">
        <x:v>60</x:v>
      </x:c>
      <x:c r="W122" s="373" t="n">
        <x:v>60</x:v>
      </x:c>
      <x:c r="X122" s="373" t="n">
        <x:v>40</x:v>
      </x:c>
      <x:c r="Y122" s="373" t="n">
        <x:v>80</x:v>
      </x:c>
      <x:c r="Z122" s="373" t="n">
        <x:v>60</x:v>
      </x:c>
      <x:c r="AA122" s="374"/>
      <x:c r="AB122" s="344" t="n">
        <x:f>IF(COUNT(D122:AA122)=0,"",AVERAGE(D122:AA122))</x:f>
        <x:v>86.08695652173913</x:v>
      </x:c>
    </x:row>
    <x:row r="123">
      <x:c r="A123" s="52" t="str">
        <x:v>WIN-1</x:v>
      </x:c>
      <x:c r="B123" s="53" t="str">
        <x:v>WINDOWS CMD И POWERSHELL</x:v>
      </x:c>
      <x:c r="C123" s="53" t="str">
        <x:v>CMD</x:v>
      </x:c>
      <x:c r="D123" s="344" t="n">
        <x:v>100</x:v>
      </x:c>
      <x:c r="E123" s="344" t="n">
        <x:v>100</x:v>
      </x:c>
      <x:c r="F123" s="344" t="n">
        <x:v>100</x:v>
      </x:c>
      <x:c r="G123" s="344" t="n">
        <x:v>100</x:v>
      </x:c>
      <x:c r="H123" s="344" t="n">
        <x:v>100</x:v>
      </x:c>
      <x:c r="I123" s="344" t="n">
        <x:v>100</x:v>
      </x:c>
      <x:c r="J123" s="344" t="n">
        <x:v>100</x:v>
      </x:c>
      <x:c r="K123" s="344" t="n">
        <x:v>100</x:v>
      </x:c>
      <x:c r="L123" s="344" t="n">
        <x:v>100</x:v>
      </x:c>
      <x:c r="M123" s="344" t="n">
        <x:v>100</x:v>
      </x:c>
      <x:c r="N123" s="344" t="n">
        <x:v>100</x:v>
      </x:c>
      <x:c r="O123" s="344" t="n">
        <x:v>100</x:v>
      </x:c>
      <x:c r="P123" s="344" t="n">
        <x:v>100</x:v>
      </x:c>
      <x:c r="Q123" s="344" t="n">
        <x:v>100</x:v>
      </x:c>
      <x:c r="R123" s="344" t="n">
        <x:v>100</x:v>
      </x:c>
      <x:c r="S123" s="344" t="n">
        <x:v>100</x:v>
      </x:c>
      <x:c r="T123" s="344" t="n">
        <x:v>100</x:v>
      </x:c>
      <x:c r="U123" s="344" t="n">
        <x:v>100</x:v>
      </x:c>
      <x:c r="V123" s="373" t="n">
        <x:v>100</x:v>
      </x:c>
      <x:c r="W123" s="373" t="n">
        <x:v>100</x:v>
      </x:c>
      <x:c r="X123" s="373" t="n">
        <x:v>60</x:v>
      </x:c>
      <x:c r="Y123" s="373" t="n">
        <x:v>60</x:v>
      </x:c>
      <x:c r="Z123" s="373" t="n">
        <x:v>100</x:v>
      </x:c>
      <x:c r="AA123" s="374" t="n">
        <x:v>100</x:v>
      </x:c>
      <x:c r="AB123" s="344" t="n">
        <x:f>IF(COUNT(D123:AA123)=0,"",AVERAGE(D123:AA123))</x:f>
        <x:v>96.66666666666667</x:v>
      </x:c>
    </x:row>
    <x:row r="124">
      <x:c r="A124" s="52" t="str">
        <x:v>WIN-2</x:v>
      </x:c>
      <x:c r="B124" s="53" t="str">
        <x:v>WINDOWS CMD И POWERSHELL</x:v>
      </x:c>
      <x:c r="C124" s="53" t="str">
        <x:v>CMD quoting</x:v>
      </x:c>
      <x:c r="D124" s="344" t="n">
        <x:v>100</x:v>
      </x:c>
      <x:c r="E124" s="344" t="n">
        <x:v>100</x:v>
      </x:c>
      <x:c r="F124" s="344" t="n">
        <x:v>100</x:v>
      </x:c>
      <x:c r="G124" s="344" t="n">
        <x:v>100</x:v>
      </x:c>
      <x:c r="H124" s="344" t="n">
        <x:v>100</x:v>
      </x:c>
      <x:c r="I124" s="344" t="n">
        <x:v>100</x:v>
      </x:c>
      <x:c r="J124" s="344" t="n">
        <x:v>100</x:v>
      </x:c>
      <x:c r="K124" s="344" t="n">
        <x:v>100</x:v>
      </x:c>
      <x:c r="L124" s="344" t="n">
        <x:v>100</x:v>
      </x:c>
      <x:c r="M124" s="344" t="n">
        <x:v>100</x:v>
      </x:c>
      <x:c r="N124" s="344" t="n">
        <x:v>100</x:v>
      </x:c>
      <x:c r="O124" s="344" t="n">
        <x:v>100</x:v>
      </x:c>
      <x:c r="P124" s="344" t="n">
        <x:v>100</x:v>
      </x:c>
      <x:c r="Q124" s="344" t="n">
        <x:v>100</x:v>
      </x:c>
      <x:c r="R124" s="344" t="n">
        <x:v>100</x:v>
      </x:c>
      <x:c r="S124" s="344" t="n">
        <x:v>100</x:v>
      </x:c>
      <x:c r="T124" s="344" t="n">
        <x:v>100</x:v>
      </x:c>
      <x:c r="U124" s="344" t="n">
        <x:v>100</x:v>
      </x:c>
      <x:c r="V124" s="373" t="n">
        <x:v>100</x:v>
      </x:c>
      <x:c r="W124" s="373" t="n">
        <x:v>100</x:v>
      </x:c>
      <x:c r="X124" s="373" t="n">
        <x:v>80</x:v>
      </x:c>
      <x:c r="Y124" s="373" t="n">
        <x:v>80</x:v>
      </x:c>
      <x:c r="Z124" s="373" t="n">
        <x:v>80</x:v>
      </x:c>
      <x:c r="AA124" s="374" t="n">
        <x:v>80</x:v>
      </x:c>
      <x:c r="AB124" s="344" t="n">
        <x:f>IF(COUNT(D124:AA124)=0,"",AVERAGE(D124:AA124))</x:f>
        <x:v>96.66666666666667</x:v>
      </x:c>
    </x:row>
    <x:row r="125">
      <x:c r="A125" s="52" t="str">
        <x:v>WIN-3</x:v>
      </x:c>
      <x:c r="B125" s="53" t="str">
        <x:v>WINDOWS CMD И POWERSHELL</x:v>
      </x:c>
      <x:c r="C125" s="53" t="str">
        <x:v>PowerShell</x:v>
      </x:c>
      <x:c r="D125" s="344" t="n">
        <x:v>100</x:v>
      </x:c>
      <x:c r="E125" s="344" t="n">
        <x:v>100</x:v>
      </x:c>
      <x:c r="F125" s="344" t="n">
        <x:v>100</x:v>
      </x:c>
      <x:c r="G125" s="344" t="n">
        <x:v>100</x:v>
      </x:c>
      <x:c r="H125" s="344" t="n">
        <x:v>100</x:v>
      </x:c>
      <x:c r="I125" s="344" t="n">
        <x:v>100</x:v>
      </x:c>
      <x:c r="J125" s="344" t="n">
        <x:v>100</x:v>
      </x:c>
      <x:c r="K125" s="344" t="n">
        <x:v>100</x:v>
      </x:c>
      <x:c r="L125" s="344" t="n">
        <x:v>100</x:v>
      </x:c>
      <x:c r="M125" s="344" t="n">
        <x:v>100</x:v>
      </x:c>
      <x:c r="N125" s="344" t="n">
        <x:v>100</x:v>
      </x:c>
      <x:c r="O125" s="344" t="n">
        <x:v>100</x:v>
      </x:c>
      <x:c r="P125" s="344" t="n">
        <x:v>100</x:v>
      </x:c>
      <x:c r="Q125" s="344" t="n">
        <x:v>100</x:v>
      </x:c>
      <x:c r="R125" s="344" t="n">
        <x:v>100</x:v>
      </x:c>
      <x:c r="S125" s="344" t="n">
        <x:v>100</x:v>
      </x:c>
      <x:c r="T125" s="344" t="n">
        <x:v>100</x:v>
      </x:c>
      <x:c r="U125" s="344" t="n">
        <x:v>100</x:v>
      </x:c>
      <x:c r="V125" s="373" t="n">
        <x:v>60</x:v>
      </x:c>
      <x:c r="W125" s="373" t="n">
        <x:v>60</x:v>
      </x:c>
      <x:c r="X125" s="373" t="n">
        <x:v>100</x:v>
      </x:c>
      <x:c r="Y125" s="373" t="n">
        <x:v>100</x:v>
      </x:c>
      <x:c r="Z125" s="373" t="n">
        <x:v>0</x:v>
      </x:c>
      <x:c r="AA125" s="374" t="n">
        <x:v>0</x:v>
      </x:c>
      <x:c r="AB125" s="344" t="n">
        <x:f>IF(COUNT(D125:AA125)=0,"",AVERAGE(D125:AA125))</x:f>
        <x:v>88.33333333333333</x:v>
      </x:c>
    </x:row>
    <x:row r="126">
      <x:c r="A126" s="52" t="str">
        <x:v>WIN-4</x:v>
      </x:c>
      <x:c r="B126" s="53" t="str">
        <x:v>WINDOWS CMD И POWERSHELL</x:v>
      </x:c>
      <x:c r="C126" s="53" t="str">
        <x:v>PowerShell</x:v>
      </x:c>
      <x:c r="D126" s="344" t="n">
        <x:v>100</x:v>
      </x:c>
      <x:c r="E126" s="344" t="n">
        <x:v>100</x:v>
      </x:c>
      <x:c r="F126" s="344" t="n">
        <x:v>100</x:v>
      </x:c>
      <x:c r="G126" s="344" t="n">
        <x:v>100</x:v>
      </x:c>
      <x:c r="H126" s="344" t="n">
        <x:v>100</x:v>
      </x:c>
      <x:c r="I126" s="344" t="n">
        <x:v>100</x:v>
      </x:c>
      <x:c r="J126" s="344" t="n">
        <x:v>100</x:v>
      </x:c>
      <x:c r="K126" s="344" t="n">
        <x:v>100</x:v>
      </x:c>
      <x:c r="L126" s="344" t="n">
        <x:v>100</x:v>
      </x:c>
      <x:c r="M126" s="344" t="n">
        <x:v>100</x:v>
      </x:c>
      <x:c r="N126" s="344" t="n">
        <x:v>100</x:v>
      </x:c>
      <x:c r="O126" s="344" t="n">
        <x:v>100</x:v>
      </x:c>
      <x:c r="P126" s="344" t="n">
        <x:v>100</x:v>
      </x:c>
      <x:c r="Q126" s="344" t="n">
        <x:v>100</x:v>
      </x:c>
      <x:c r="R126" s="344" t="n">
        <x:v>100</x:v>
      </x:c>
      <x:c r="S126" s="344" t="n">
        <x:v>100</x:v>
      </x:c>
      <x:c r="T126" s="344" t="n">
        <x:v>100</x:v>
      </x:c>
      <x:c r="U126" s="344" t="n">
        <x:v>100</x:v>
      </x:c>
      <x:c r="V126" s="373" t="n">
        <x:v>100</x:v>
      </x:c>
      <x:c r="W126" s="373" t="n">
        <x:v>100</x:v>
      </x:c>
      <x:c r="X126" s="373" t="n">
        <x:v>80</x:v>
      </x:c>
      <x:c r="Y126" s="373" t="n">
        <x:v>80</x:v>
      </x:c>
      <x:c r="Z126" s="373" t="n">
        <x:v>80</x:v>
      </x:c>
      <x:c r="AA126" s="374" t="n">
        <x:v>80</x:v>
      </x:c>
      <x:c r="AB126" s="344" t="n">
        <x:f>IF(COUNT(D126:AA126)=0,"",AVERAGE(D126:AA126))</x:f>
        <x:v>96.66666666666667</x:v>
      </x:c>
    </x:row>
    <x:row r="127">
      <x:c r="A127" s="52" t="str">
        <x:v>WIN-5</x:v>
      </x:c>
      <x:c r="B127" s="53" t="str">
        <x:v>WINDOWS CMD И POWERSHELL</x:v>
      </x:c>
      <x:c r="C127" s="53" t="str">
        <x:v>PowerShell</x:v>
      </x:c>
      <x:c r="D127" s="344" t="n">
        <x:v>100</x:v>
      </x:c>
      <x:c r="E127" s="344" t="n">
        <x:v>100</x:v>
      </x:c>
      <x:c r="F127" s="344" t="n">
        <x:v>100</x:v>
      </x:c>
      <x:c r="G127" s="344" t="n">
        <x:v>100</x:v>
      </x:c>
      <x:c r="H127" s="344" t="n">
        <x:v>100</x:v>
      </x:c>
      <x:c r="I127" s="344" t="n">
        <x:v>100</x:v>
      </x:c>
      <x:c r="J127" s="344" t="n">
        <x:v>100</x:v>
      </x:c>
      <x:c r="K127" s="344" t="n">
        <x:v>100</x:v>
      </x:c>
      <x:c r="L127" s="344" t="n">
        <x:v>100</x:v>
      </x:c>
      <x:c r="M127" s="344" t="n">
        <x:v>100</x:v>
      </x:c>
      <x:c r="N127" s="344" t="n">
        <x:v>100</x:v>
      </x:c>
      <x:c r="O127" s="344" t="n">
        <x:v>100</x:v>
      </x:c>
      <x:c r="P127" s="344" t="n">
        <x:v>100</x:v>
      </x:c>
      <x:c r="Q127" s="344" t="n">
        <x:v>100</x:v>
      </x:c>
      <x:c r="R127" s="344" t="n">
        <x:v>100</x:v>
      </x:c>
      <x:c r="S127" s="344" t="n">
        <x:v>100</x:v>
      </x:c>
      <x:c r="T127" s="344" t="n">
        <x:v>100</x:v>
      </x:c>
      <x:c r="U127" s="344" t="n">
        <x:v>100</x:v>
      </x:c>
      <x:c r="V127" s="373" t="n">
        <x:v>100</x:v>
      </x:c>
      <x:c r="W127" s="373" t="n">
        <x:v>100</x:v>
      </x:c>
      <x:c r="X127" s="373" t="n">
        <x:v>80</x:v>
      </x:c>
      <x:c r="Y127" s="373" t="n">
        <x:v>80</x:v>
      </x:c>
      <x:c r="Z127" s="373" t="n">
        <x:v>80</x:v>
      </x:c>
      <x:c r="AA127" s="374" t="n">
        <x:v>80</x:v>
      </x:c>
      <x:c r="AB127" s="344" t="n">
        <x:f>IF(COUNT(D127:AA127)=0,"",AVERAGE(D127:AA127))</x:f>
        <x:v>96.66666666666667</x:v>
      </x:c>
    </x:row>
    <x:row r="128">
      <x:c r="A128" s="52" t="str">
        <x:v>WIN-6</x:v>
      </x:c>
      <x:c r="B128" s="53" t="str">
        <x:v>WINDOWS CMD И POWERSHELL</x:v>
      </x:c>
      <x:c r="C128" s="53" t="str">
        <x:v>Безопасность</x:v>
      </x:c>
      <x:c r="D128" s="344" t="n">
        <x:v>100</x:v>
      </x:c>
      <x:c r="E128" s="344" t="n">
        <x:v>100</x:v>
      </x:c>
      <x:c r="F128" s="344" t="n">
        <x:v>100</x:v>
      </x:c>
      <x:c r="G128" s="344" t="n">
        <x:v>100</x:v>
      </x:c>
      <x:c r="H128" s="344" t="n">
        <x:v>100</x:v>
      </x:c>
      <x:c r="I128" s="344" t="n">
        <x:v>100</x:v>
      </x:c>
      <x:c r="J128" s="344" t="n">
        <x:v>100</x:v>
      </x:c>
      <x:c r="K128" s="344" t="n">
        <x:v>100</x:v>
      </x:c>
      <x:c r="L128" s="344" t="n">
        <x:v>100</x:v>
      </x:c>
      <x:c r="M128" s="344" t="n">
        <x:v>100</x:v>
      </x:c>
      <x:c r="N128" s="344" t="n">
        <x:v>100</x:v>
      </x:c>
      <x:c r="O128" s="344" t="n">
        <x:v>100</x:v>
      </x:c>
      <x:c r="P128" s="344" t="n">
        <x:v>100</x:v>
      </x:c>
      <x:c r="Q128" s="344" t="n">
        <x:v>100</x:v>
      </x:c>
      <x:c r="R128" s="344" t="n">
        <x:v>100</x:v>
      </x:c>
      <x:c r="S128" s="344" t="n">
        <x:v>100</x:v>
      </x:c>
      <x:c r="T128" s="344" t="n">
        <x:v>100</x:v>
      </x:c>
      <x:c r="U128" s="344" t="n">
        <x:v>100</x:v>
      </x:c>
      <x:c r="V128" s="373" t="n">
        <x:v>100</x:v>
      </x:c>
      <x:c r="W128" s="373" t="n">
        <x:v>100</x:v>
      </x:c>
      <x:c r="X128" s="373" t="n">
        <x:v>80</x:v>
      </x:c>
      <x:c r="Y128" s="373" t="n">
        <x:v>80</x:v>
      </x:c>
      <x:c r="Z128" s="373" t="n">
        <x:v>80</x:v>
      </x:c>
      <x:c r="AA128" s="374" t="n">
        <x:v>80</x:v>
      </x:c>
      <x:c r="AB128" s="344" t="n">
        <x:f>IF(COUNT(D128:AA128)=0,"",AVERAGE(D128:AA128))</x:f>
        <x:v>96.66666666666667</x:v>
      </x:c>
    </x:row>
    <x:row r="129">
      <x:c r="A129" s="52" t="str">
        <x:v>GIT-1</x:v>
      </x:c>
      <x:c r="B129" s="53" t="str">
        <x:v>GIT</x:v>
      </x:c>
      <x:c r="C129" s="53"/>
      <x:c r="D129" s="344" t="n">
        <x:v>100</x:v>
      </x:c>
      <x:c r="E129" s="344" t="n">
        <x:v>100</x:v>
      </x:c>
      <x:c r="F129" s="344" t="n">
        <x:v>100</x:v>
      </x:c>
      <x:c r="G129" s="344" t="n">
        <x:v>100</x:v>
      </x:c>
      <x:c r="H129" s="344" t="n">
        <x:v>100</x:v>
      </x:c>
      <x:c r="I129" s="344" t="n">
        <x:v>90</x:v>
      </x:c>
      <x:c r="J129" s="344" t="n">
        <x:v>100</x:v>
      </x:c>
      <x:c r="K129" s="344" t="n">
        <x:v>100</x:v>
      </x:c>
      <x:c r="L129" s="344" t="n">
        <x:v>100</x:v>
      </x:c>
      <x:c r="M129" s="344" t="n">
        <x:v>100</x:v>
      </x:c>
      <x:c r="N129" s="344" t="n">
        <x:v>90</x:v>
      </x:c>
      <x:c r="O129" s="344" t="n">
        <x:v>100</x:v>
      </x:c>
      <x:c r="P129" s="344" t="n">
        <x:v>100</x:v>
      </x:c>
      <x:c r="Q129" s="344" t="n">
        <x:v>100</x:v>
      </x:c>
      <x:c r="R129" s="344" t="n">
        <x:v>90</x:v>
      </x:c>
      <x:c r="S129" s="344" t="n">
        <x:v>80</x:v>
      </x:c>
      <x:c r="T129" s="344" t="n">
        <x:v>90</x:v>
      </x:c>
      <x:c r="U129" s="344" t="n">
        <x:v>80</x:v>
      </x:c>
      <x:c r="V129" s="373" t="n">
        <x:v>100</x:v>
      </x:c>
      <x:c r="W129" s="373" t="n">
        <x:v>60</x:v>
      </x:c>
      <x:c r="X129" s="373" t="n">
        <x:v>100</x:v>
      </x:c>
      <x:c r="Y129" s="373" t="n">
        <x:v>100</x:v>
      </x:c>
      <x:c r="Z129" s="373" t="n">
        <x:v>100</x:v>
      </x:c>
      <x:c r="AA129" s="374" t="n">
        <x:v>100</x:v>
      </x:c>
      <x:c r="AB129" s="344" t="n">
        <x:f>IF(COUNT(D129:AA129)=0,"",AVERAGE(D129:AA129))</x:f>
        <x:v>95</x:v>
      </x:c>
    </x:row>
    <x:row r="130">
      <x:c r="A130" s="52" t="str">
        <x:v>GIT-2</x:v>
      </x:c>
      <x:c r="B130" s="53" t="str">
        <x:v>GIT</x:v>
      </x:c>
      <x:c r="C130" s="53"/>
      <x:c r="D130" s="344" t="n">
        <x:v>100</x:v>
      </x:c>
      <x:c r="E130" s="344" t="n">
        <x:v>100</x:v>
      </x:c>
      <x:c r="F130" s="344" t="n">
        <x:v>100</x:v>
      </x:c>
      <x:c r="G130" s="344" t="n">
        <x:v>100</x:v>
      </x:c>
      <x:c r="H130" s="344" t="n">
        <x:v>100</x:v>
      </x:c>
      <x:c r="I130" s="344" t="n">
        <x:v>100</x:v>
      </x:c>
      <x:c r="J130" s="344" t="n">
        <x:v>100</x:v>
      </x:c>
      <x:c r="K130" s="344" t="n">
        <x:v>100</x:v>
      </x:c>
      <x:c r="L130" s="344" t="n">
        <x:v>100</x:v>
      </x:c>
      <x:c r="M130" s="344" t="n">
        <x:v>100</x:v>
      </x:c>
      <x:c r="N130" s="344" t="n">
        <x:v>100</x:v>
      </x:c>
      <x:c r="O130" s="344" t="n">
        <x:v>100</x:v>
      </x:c>
      <x:c r="P130" s="344" t="n">
        <x:v>100</x:v>
      </x:c>
      <x:c r="Q130" s="344" t="n">
        <x:v>100</x:v>
      </x:c>
      <x:c r="R130" s="344" t="n">
        <x:v>100</x:v>
      </x:c>
      <x:c r="S130" s="344" t="n">
        <x:v>100</x:v>
      </x:c>
      <x:c r="T130" s="344" t="n">
        <x:v>100</x:v>
      </x:c>
      <x:c r="U130" s="344" t="n">
        <x:v>100</x:v>
      </x:c>
      <x:c r="V130" s="373" t="n">
        <x:v>100</x:v>
      </x:c>
      <x:c r="W130" s="373" t="n">
        <x:v>100</x:v>
      </x:c>
      <x:c r="X130" s="373" t="n">
        <x:v>100</x:v>
      </x:c>
      <x:c r="Y130" s="373" t="n">
        <x:v>100</x:v>
      </x:c>
      <x:c r="Z130" s="373" t="n">
        <x:v>100</x:v>
      </x:c>
      <x:c r="AA130" s="374" t="n">
        <x:v>100</x:v>
      </x:c>
      <x:c r="AB130" s="344" t="n">
        <x:f>IF(COUNT(D130:AA130)=0,"",AVERAGE(D130:AA130))</x:f>
        <x:v>100</x:v>
      </x:c>
    </x:row>
    <x:row r="131">
      <x:c r="A131" s="52" t="str">
        <x:v>GIT-3</x:v>
      </x:c>
      <x:c r="B131" s="53" t="str">
        <x:v>GIT</x:v>
      </x:c>
      <x:c r="C131" s="53"/>
      <x:c r="D131" s="344" t="n">
        <x:v>100</x:v>
      </x:c>
      <x:c r="E131" s="344" t="n">
        <x:v>100</x:v>
      </x:c>
      <x:c r="F131" s="344" t="n">
        <x:v>100</x:v>
      </x:c>
      <x:c r="G131" s="344" t="n">
        <x:v>100</x:v>
      </x:c>
      <x:c r="H131" s="344" t="n">
        <x:v>100</x:v>
      </x:c>
      <x:c r="I131" s="344" t="n">
        <x:v>100</x:v>
      </x:c>
      <x:c r="J131" s="344" t="n">
        <x:v>80</x:v>
      </x:c>
      <x:c r="K131" s="344" t="n">
        <x:v>100</x:v>
      </x:c>
      <x:c r="L131" s="344" t="n">
        <x:v>100</x:v>
      </x:c>
      <x:c r="M131" s="344" t="n">
        <x:v>80</x:v>
      </x:c>
      <x:c r="N131" s="344" t="n">
        <x:v>100</x:v>
      </x:c>
      <x:c r="O131" s="344" t="n">
        <x:v>100</x:v>
      </x:c>
      <x:c r="P131" s="344" t="n">
        <x:v>100</x:v>
      </x:c>
      <x:c r="Q131" s="344" t="n">
        <x:v>100</x:v>
      </x:c>
      <x:c r="R131" s="344" t="n">
        <x:v>80</x:v>
      </x:c>
      <x:c r="S131" s="344" t="n">
        <x:v>80</x:v>
      </x:c>
      <x:c r="T131" s="344" t="n">
        <x:v>80</x:v>
      </x:c>
      <x:c r="U131" s="344" t="n">
        <x:v>100</x:v>
      </x:c>
      <x:c r="V131" s="373" t="n">
        <x:v>100</x:v>
      </x:c>
      <x:c r="W131" s="373" t="n">
        <x:v>100</x:v>
      </x:c>
      <x:c r="X131" s="373" t="n">
        <x:v>100</x:v>
      </x:c>
      <x:c r="Y131" s="373" t="n">
        <x:v>100</x:v>
      </x:c>
      <x:c r="Z131" s="373" t="n">
        <x:v>100</x:v>
      </x:c>
      <x:c r="AA131" s="374" t="n">
        <x:v>100</x:v>
      </x:c>
      <x:c r="AB131" s="344" t="n">
        <x:f>IF(COUNT(D131:AA131)=0,"",AVERAGE(D131:AA131))</x:f>
        <x:v>95.83333333333333</x:v>
      </x:c>
    </x:row>
    <x:row r="132">
      <x:c r="A132" s="52" t="str">
        <x:v>GIT-4</x:v>
      </x:c>
      <x:c r="B132" s="53" t="str">
        <x:v>GIT</x:v>
      </x:c>
      <x:c r="C132" s="53"/>
      <x:c r="D132" s="344" t="n">
        <x:v>100</x:v>
      </x:c>
      <x:c r="E132" s="344" t="n">
        <x:v>100</x:v>
      </x:c>
      <x:c r="F132" s="344" t="n">
        <x:v>100</x:v>
      </x:c>
      <x:c r="G132" s="344" t="n">
        <x:v>100</x:v>
      </x:c>
      <x:c r="H132" s="344" t="n">
        <x:v>100</x:v>
      </x:c>
      <x:c r="I132" s="344" t="n">
        <x:v>100</x:v>
      </x:c>
      <x:c r="J132" s="344" t="n">
        <x:v>100</x:v>
      </x:c>
      <x:c r="K132" s="344" t="n">
        <x:v>100</x:v>
      </x:c>
      <x:c r="L132" s="344" t="n">
        <x:v>100</x:v>
      </x:c>
      <x:c r="M132" s="344" t="n">
        <x:v>100</x:v>
      </x:c>
      <x:c r="N132" s="344" t="n">
        <x:v>100</x:v>
      </x:c>
      <x:c r="O132" s="344" t="n">
        <x:v>100</x:v>
      </x:c>
      <x:c r="P132" s="344" t="n">
        <x:v>100</x:v>
      </x:c>
      <x:c r="Q132" s="344" t="n">
        <x:v>100</x:v>
      </x:c>
      <x:c r="R132" s="344" t="n">
        <x:v>100</x:v>
      </x:c>
      <x:c r="S132" s="344" t="n">
        <x:v>100</x:v>
      </x:c>
      <x:c r="T132" s="344" t="n">
        <x:v>100</x:v>
      </x:c>
      <x:c r="U132" s="344" t="n">
        <x:v>100</x:v>
      </x:c>
      <x:c r="V132" s="373" t="n">
        <x:v>100</x:v>
      </x:c>
      <x:c r="W132" s="373" t="n">
        <x:v>100</x:v>
      </x:c>
      <x:c r="X132" s="373" t="n">
        <x:v>100</x:v>
      </x:c>
      <x:c r="Y132" s="373" t="n">
        <x:v>100</x:v>
      </x:c>
      <x:c r="Z132" s="373" t="n">
        <x:v>100</x:v>
      </x:c>
      <x:c r="AA132" s="374" t="n">
        <x:v>100</x:v>
      </x:c>
      <x:c r="AB132" s="344" t="n">
        <x:f>IF(COUNT(D132:AA132)=0,"",AVERAGE(D132:AA132))</x:f>
        <x:v>100</x:v>
      </x:c>
    </x:row>
    <x:row r="133">
      <x:c r="A133" s="52" t="str">
        <x:v>GIT-5</x:v>
      </x:c>
      <x:c r="B133" s="53" t="str">
        <x:v>GIT</x:v>
      </x:c>
      <x:c r="C133" s="53"/>
      <x:c r="D133" s="344" t="n">
        <x:v>100</x:v>
      </x:c>
      <x:c r="E133" s="344" t="n">
        <x:v>100</x:v>
      </x:c>
      <x:c r="F133" s="344" t="n">
        <x:v>100</x:v>
      </x:c>
      <x:c r="G133" s="344" t="n">
        <x:v>100</x:v>
      </x:c>
      <x:c r="H133" s="344" t="n">
        <x:v>100</x:v>
      </x:c>
      <x:c r="I133" s="344" t="n">
        <x:v>100</x:v>
      </x:c>
      <x:c r="J133" s="344" t="n">
        <x:v>100</x:v>
      </x:c>
      <x:c r="K133" s="344" t="n">
        <x:v>60</x:v>
      </x:c>
      <x:c r="L133" s="344" t="n">
        <x:v>100</x:v>
      </x:c>
      <x:c r="M133" s="344" t="n">
        <x:v>100</x:v>
      </x:c>
      <x:c r="N133" s="344" t="n">
        <x:v>90</x:v>
      </x:c>
      <x:c r="O133" s="344" t="n">
        <x:v>100</x:v>
      </x:c>
      <x:c r="P133" s="344" t="n">
        <x:v>100</x:v>
      </x:c>
      <x:c r="Q133" s="344" t="n">
        <x:v>80</x:v>
      </x:c>
      <x:c r="R133" s="344" t="n">
        <x:v>100</x:v>
      </x:c>
      <x:c r="S133" s="344" t="n">
        <x:v>100</x:v>
      </x:c>
      <x:c r="T133" s="344" t="n">
        <x:v>50</x:v>
      </x:c>
      <x:c r="U133" s="344" t="n">
        <x:v>80</x:v>
      </x:c>
      <x:c r="V133" s="373" t="n">
        <x:v>100</x:v>
      </x:c>
      <x:c r="W133" s="373" t="n">
        <x:v>60</x:v>
      </x:c>
      <x:c r="X133" s="373" t="n">
        <x:v>100</x:v>
      </x:c>
      <x:c r="Y133" s="373" t="n">
        <x:v>100</x:v>
      </x:c>
      <x:c r="Z133" s="373" t="n">
        <x:v>100</x:v>
      </x:c>
      <x:c r="AA133" s="374" t="n">
        <x:v>100</x:v>
      </x:c>
      <x:c r="AB133" s="344" t="n">
        <x:f>IF(COUNT(D133:AA133)=0,"",AVERAGE(D133:AA133))</x:f>
        <x:v>92.5</x:v>
      </x:c>
    </x:row>
    <x:row r="134">
      <x:c r="A134" s="52" t="str">
        <x:v>REGEX-1</x:v>
      </x:c>
      <x:c r="B134" s="53" t="str">
        <x:v>РЕГУЛЯРНЫЕ ВЫРАЖЕНИЯ И ПАРСИНГ</x:v>
      </x:c>
      <x:c r="C134" s="53"/>
      <x:c r="D134" s="344" t="n">
        <x:v>100</x:v>
      </x:c>
      <x:c r="E134" s="344" t="n">
        <x:v>100</x:v>
      </x:c>
      <x:c r="F134" s="344" t="n">
        <x:v>100</x:v>
      </x:c>
      <x:c r="G134" s="344" t="n">
        <x:v>100</x:v>
      </x:c>
      <x:c r="H134" s="344" t="n">
        <x:v>100</x:v>
      </x:c>
      <x:c r="I134" s="344" t="n">
        <x:v>100</x:v>
      </x:c>
      <x:c r="J134" s="344" t="n">
        <x:v>100</x:v>
      </x:c>
      <x:c r="K134" s="344" t="n">
        <x:v>100</x:v>
      </x:c>
      <x:c r="L134" s="344" t="n">
        <x:v>100</x:v>
      </x:c>
      <x:c r="M134" s="344" t="n">
        <x:v>100</x:v>
      </x:c>
      <x:c r="N134" s="344" t="n">
        <x:v>100</x:v>
      </x:c>
      <x:c r="O134" s="344" t="n">
        <x:v>100</x:v>
      </x:c>
      <x:c r="P134" s="344" t="n">
        <x:v>100</x:v>
      </x:c>
      <x:c r="Q134" s="344" t="n">
        <x:v>100</x:v>
      </x:c>
      <x:c r="R134" s="344" t="n">
        <x:v>100</x:v>
      </x:c>
      <x:c r="S134" s="344" t="n">
        <x:v>100</x:v>
      </x:c>
      <x:c r="T134" s="344" t="n">
        <x:v>100</x:v>
      </x:c>
      <x:c r="U134" s="344" t="n">
        <x:v>100</x:v>
      </x:c>
      <x:c r="V134" s="373" t="n">
        <x:v>100</x:v>
      </x:c>
      <x:c r="W134" s="373" t="n">
        <x:v>100</x:v>
      </x:c>
      <x:c r="X134" s="373" t="n">
        <x:v>100</x:v>
      </x:c>
      <x:c r="Y134" s="373" t="n">
        <x:v>100</x:v>
      </x:c>
      <x:c r="Z134" s="373" t="n">
        <x:v>60</x:v>
      </x:c>
      <x:c r="AA134" s="374"/>
      <x:c r="AB134" s="344" t="n">
        <x:f>IF(COUNT(D134:AA134)=0,"",AVERAGE(D134:AA134))</x:f>
        <x:v>98.26086956521739</x:v>
      </x:c>
    </x:row>
    <x:row r="135">
      <x:c r="A135" s="52" t="str">
        <x:v>REGEX-2</x:v>
      </x:c>
      <x:c r="B135" s="53" t="str">
        <x:v>РЕГУЛЯРНЫЕ ВЫРАЖЕНИЯ И ПАРСИНГ</x:v>
      </x:c>
      <x:c r="C135" s="53"/>
      <x:c r="D135" s="344" t="n">
        <x:v>100</x:v>
      </x:c>
      <x:c r="E135" s="344" t="n">
        <x:v>100</x:v>
      </x:c>
      <x:c r="F135" s="344" t="n">
        <x:v>100</x:v>
      </x:c>
      <x:c r="G135" s="344" t="n">
        <x:v>100</x:v>
      </x:c>
      <x:c r="H135" s="344" t="n">
        <x:v>100</x:v>
      </x:c>
      <x:c r="I135" s="344" t="n">
        <x:v>100</x:v>
      </x:c>
      <x:c r="J135" s="344" t="n">
        <x:v>100</x:v>
      </x:c>
      <x:c r="K135" s="344" t="n">
        <x:v>100</x:v>
      </x:c>
      <x:c r="L135" s="344" t="n">
        <x:v>100</x:v>
      </x:c>
      <x:c r="M135" s="344" t="n">
        <x:v>100</x:v>
      </x:c>
      <x:c r="N135" s="344" t="n">
        <x:v>100</x:v>
      </x:c>
      <x:c r="O135" s="344" t="n">
        <x:v>100</x:v>
      </x:c>
      <x:c r="P135" s="344" t="n">
        <x:v>100</x:v>
      </x:c>
      <x:c r="Q135" s="344" t="n">
        <x:v>100</x:v>
      </x:c>
      <x:c r="R135" s="344" t="n">
        <x:v>90</x:v>
      </x:c>
      <x:c r="S135" s="344" t="n">
        <x:v>80</x:v>
      </x:c>
      <x:c r="T135" s="344" t="n">
        <x:v>90</x:v>
      </x:c>
      <x:c r="U135" s="344" t="n">
        <x:v>100</x:v>
      </x:c>
      <x:c r="V135" s="373" t="n">
        <x:v>100</x:v>
      </x:c>
      <x:c r="W135" s="373" t="n">
        <x:v>100</x:v>
      </x:c>
      <x:c r="X135" s="373" t="n">
        <x:v>100</x:v>
      </x:c>
      <x:c r="Y135" s="373" t="n">
        <x:v>100</x:v>
      </x:c>
      <x:c r="Z135" s="373" t="n">
        <x:v>80</x:v>
      </x:c>
      <x:c r="AA135" s="374"/>
      <x:c r="AB135" s="344" t="n">
        <x:f>IF(COUNT(D135:AA135)=0,"",AVERAGE(D135:AA135))</x:f>
        <x:v>97.3913043478261</x:v>
      </x:c>
    </x:row>
    <x:row r="136">
      <x:c r="A136" s="52" t="str">
        <x:v>REGEX-3</x:v>
      </x:c>
      <x:c r="B136" s="53" t="str">
        <x:v>РЕГУЛЯРНЫЕ ВЫРАЖЕНИЯ И ПАРСИНГ</x:v>
      </x:c>
      <x:c r="C136" s="53"/>
      <x:c r="D136" s="344" t="n">
        <x:v>100</x:v>
      </x:c>
      <x:c r="E136" s="344" t="n">
        <x:v>100</x:v>
      </x:c>
      <x:c r="F136" s="344" t="n">
        <x:v>100</x:v>
      </x:c>
      <x:c r="G136" s="344" t="n">
        <x:v>100</x:v>
      </x:c>
      <x:c r="H136" s="344" t="n">
        <x:v>100</x:v>
      </x:c>
      <x:c r="I136" s="344" t="n">
        <x:v>100</x:v>
      </x:c>
      <x:c r="J136" s="344" t="n">
        <x:v>100</x:v>
      </x:c>
      <x:c r="K136" s="344" t="n">
        <x:v>100</x:v>
      </x:c>
      <x:c r="L136" s="344" t="n">
        <x:v>100</x:v>
      </x:c>
      <x:c r="M136" s="344" t="n">
        <x:v>100</x:v>
      </x:c>
      <x:c r="N136" s="344" t="n">
        <x:v>100</x:v>
      </x:c>
      <x:c r="O136" s="344" t="n">
        <x:v>100</x:v>
      </x:c>
      <x:c r="P136" s="344" t="n">
        <x:v>100</x:v>
      </x:c>
      <x:c r="Q136" s="344" t="n">
        <x:v>100</x:v>
      </x:c>
      <x:c r="R136" s="344" t="n">
        <x:v>100</x:v>
      </x:c>
      <x:c r="S136" s="344" t="n">
        <x:v>100</x:v>
      </x:c>
      <x:c r="T136" s="344" t="n">
        <x:v>100</x:v>
      </x:c>
      <x:c r="U136" s="344" t="n">
        <x:v>100</x:v>
      </x:c>
      <x:c r="V136" s="373" t="n">
        <x:v>100</x:v>
      </x:c>
      <x:c r="W136" s="373" t="n">
        <x:v>100</x:v>
      </x:c>
      <x:c r="X136" s="373" t="n">
        <x:v>100</x:v>
      </x:c>
      <x:c r="Y136" s="373" t="n">
        <x:v>100</x:v>
      </x:c>
      <x:c r="Z136" s="373" t="n">
        <x:v>80</x:v>
      </x:c>
      <x:c r="AA136" s="374"/>
      <x:c r="AB136" s="344" t="n">
        <x:f>IF(COUNT(D136:AA136)=0,"",AVERAGE(D136:AA136))</x:f>
        <x:v>99.1304347826087</x:v>
      </x:c>
    </x:row>
    <x:row r="137">
      <x:c r="A137" s="52" t="str">
        <x:v>LANG-1</x:v>
      </x:c>
      <x:c r="B137" s="53" t="str">
        <x:v>МНОГОЯЗЫЧНОСТЬ</x:v>
      </x:c>
      <x:c r="C137" s="53" t="str">
        <x:v>Русский → английский</x:v>
      </x:c>
      <x:c r="D137" s="344" t="n">
        <x:v>100</x:v>
      </x:c>
      <x:c r="E137" s="344" t="n">
        <x:v>100</x:v>
      </x:c>
      <x:c r="F137" s="344" t="n">
        <x:v>100</x:v>
      </x:c>
      <x:c r="G137" s="344" t="n">
        <x:v>100</x:v>
      </x:c>
      <x:c r="H137" s="344" t="n">
        <x:v>100</x:v>
      </x:c>
      <x:c r="I137" s="344" t="n">
        <x:v>100</x:v>
      </x:c>
      <x:c r="J137" s="344" t="n">
        <x:v>100</x:v>
      </x:c>
      <x:c r="K137" s="344" t="n">
        <x:v>100</x:v>
      </x:c>
      <x:c r="L137" s="344" t="n">
        <x:v>100</x:v>
      </x:c>
      <x:c r="M137" s="344" t="n">
        <x:v>100</x:v>
      </x:c>
      <x:c r="N137" s="344" t="n">
        <x:v>100</x:v>
      </x:c>
      <x:c r="O137" s="344" t="n">
        <x:v>100</x:v>
      </x:c>
      <x:c r="P137" s="344" t="n">
        <x:v>100</x:v>
      </x:c>
      <x:c r="Q137" s="344" t="n">
        <x:v>100</x:v>
      </x:c>
      <x:c r="R137" s="344" t="n">
        <x:v>100</x:v>
      </x:c>
      <x:c r="S137" s="344" t="n">
        <x:v>100</x:v>
      </x:c>
      <x:c r="T137" s="344" t="n">
        <x:v>90</x:v>
      </x:c>
      <x:c r="U137" s="344" t="n">
        <x:v>100</x:v>
      </x:c>
      <x:c r="V137" s="373" t="n">
        <x:v>100</x:v>
      </x:c>
      <x:c r="W137" s="373" t="n">
        <x:v>100</x:v>
      </x:c>
      <x:c r="X137" s="373" t="n">
        <x:v>80</x:v>
      </x:c>
      <x:c r="Y137" s="373" t="n">
        <x:v>80</x:v>
      </x:c>
      <x:c r="Z137" s="373" t="n">
        <x:v>80</x:v>
      </x:c>
      <x:c r="AA137" s="374"/>
      <x:c r="AB137" s="344" t="n">
        <x:f>IF(COUNT(D137:AA137)=0,"",AVERAGE(D137:AA137))</x:f>
        <x:v>96.95652173913044</x:v>
      </x:c>
    </x:row>
    <x:row r="138">
      <x:c r="A138" s="52" t="str">
        <x:v>LANG-2</x:v>
      </x:c>
      <x:c r="B138" s="53" t="str">
        <x:v>МНОГОЯЗЫЧНОСТЬ</x:v>
      </x:c>
      <x:c r="C138" s="53" t="str">
        <x:v>Английский → русский</x:v>
      </x:c>
      <x:c r="D138" s="344" t="n">
        <x:v>100</x:v>
      </x:c>
      <x:c r="E138" s="344" t="n">
        <x:v>80</x:v>
      </x:c>
      <x:c r="F138" s="344" t="n">
        <x:v>60</x:v>
      </x:c>
      <x:c r="G138" s="344" t="n">
        <x:v>80</x:v>
      </x:c>
      <x:c r="H138" s="344" t="n">
        <x:v>90</x:v>
      </x:c>
      <x:c r="I138" s="344" t="n">
        <x:v>60</x:v>
      </x:c>
      <x:c r="J138" s="344" t="n">
        <x:v>100</x:v>
      </x:c>
      <x:c r="K138" s="344" t="n">
        <x:v>80</x:v>
      </x:c>
      <x:c r="L138" s="344" t="n">
        <x:v>60</x:v>
      </x:c>
      <x:c r="M138" s="344" t="n">
        <x:v>90</x:v>
      </x:c>
      <x:c r="N138" s="344" t="n">
        <x:v>70</x:v>
      </x:c>
      <x:c r="O138" s="344" t="n">
        <x:v>100</x:v>
      </x:c>
      <x:c r="P138" s="344" t="n">
        <x:v>100</x:v>
      </x:c>
      <x:c r="Q138" s="344" t="n">
        <x:v>100</x:v>
      </x:c>
      <x:c r="R138" s="344" t="n">
        <x:v>100</x:v>
      </x:c>
      <x:c r="S138" s="344" t="n">
        <x:v>100</x:v>
      </x:c>
      <x:c r="T138" s="344" t="n">
        <x:v>80</x:v>
      </x:c>
      <x:c r="U138" s="344" t="n">
        <x:v>100</x:v>
      </x:c>
      <x:c r="V138" s="373" t="n">
        <x:v>100</x:v>
      </x:c>
      <x:c r="W138" s="373" t="n">
        <x:v>100</x:v>
      </x:c>
      <x:c r="X138" s="373" t="n">
        <x:v>80</x:v>
      </x:c>
      <x:c r="Y138" s="373" t="n">
        <x:v>80</x:v>
      </x:c>
      <x:c r="Z138" s="373" t="n">
        <x:v>80</x:v>
      </x:c>
      <x:c r="AA138" s="374"/>
      <x:c r="AB138" s="344" t="n">
        <x:f>IF(COUNT(D138:AA138)=0,"",AVERAGE(D138:AA138))</x:f>
        <x:v>86.52173913043478</x:v>
      </x:c>
    </x:row>
    <x:row r="139">
      <x:c r="A139" s="52" t="str">
        <x:v>LANG-3</x:v>
      </x:c>
      <x:c r="B139" s="53" t="str">
        <x:v>МНОГОЯЗЫЧНОСТЬ</x:v>
      </x:c>
      <x:c r="C139" s="53" t="str">
        <x:v>Русский → армянский</x:v>
      </x:c>
      <x:c r="D139" s="344" t="n">
        <x:v>100</x:v>
      </x:c>
      <x:c r="E139" s="344" t="n">
        <x:v>100</x:v>
      </x:c>
      <x:c r="F139" s="344" t="n">
        <x:v>100</x:v>
      </x:c>
      <x:c r="G139" s="344" t="n">
        <x:v>100</x:v>
      </x:c>
      <x:c r="H139" s="344" t="n">
        <x:v>100</x:v>
      </x:c>
      <x:c r="I139" s="344" t="n">
        <x:v>100</x:v>
      </x:c>
      <x:c r="J139" s="344" t="n">
        <x:v>100</x:v>
      </x:c>
      <x:c r="K139" s="344" t="n">
        <x:v>100</x:v>
      </x:c>
      <x:c r="L139" s="344" t="n">
        <x:v>100</x:v>
      </x:c>
      <x:c r="M139" s="344" t="n">
        <x:v>95</x:v>
      </x:c>
      <x:c r="N139" s="344" t="n">
        <x:v>100</x:v>
      </x:c>
      <x:c r="O139" s="344" t="n">
        <x:v>100</x:v>
      </x:c>
      <x:c r="P139" s="344" t="n">
        <x:v>100</x:v>
      </x:c>
      <x:c r="Q139" s="344" t="n">
        <x:v>100</x:v>
      </x:c>
      <x:c r="R139" s="344" t="n">
        <x:v>100</x:v>
      </x:c>
      <x:c r="S139" s="344" t="n">
        <x:v>100</x:v>
      </x:c>
      <x:c r="T139" s="344" t="n">
        <x:v>100</x:v>
      </x:c>
      <x:c r="U139" s="344" t="n">
        <x:v>100</x:v>
      </x:c>
      <x:c r="V139" s="373" t="n">
        <x:v>0</x:v>
      </x:c>
      <x:c r="W139" s="373" t="n">
        <x:v>0</x:v>
      </x:c>
      <x:c r="X139" s="373" t="n">
        <x:v>60</x:v>
      </x:c>
      <x:c r="Y139" s="373" t="n">
        <x:v>60</x:v>
      </x:c>
      <x:c r="Z139" s="373" t="n">
        <x:v>60</x:v>
      </x:c>
      <x:c r="AA139" s="374"/>
      <x:c r="AB139" s="344" t="n">
        <x:f>IF(COUNT(D139:AA139)=0,"",AVERAGE(D139:AA139))</x:f>
        <x:v>85.8695652173913</x:v>
      </x:c>
    </x:row>
    <x:row r="140">
      <x:c r="A140" s="52" t="str">
        <x:v>LANG-4</x:v>
      </x:c>
      <x:c r="B140" s="53" t="str">
        <x:v>МНОГОЯЗЫЧНОСТЬ</x:v>
      </x:c>
      <x:c r="C140" s="53" t="str">
        <x:v>Терминология</x:v>
      </x:c>
      <x:c r="D140" s="344" t="n">
        <x:v>100</x:v>
      </x:c>
      <x:c r="E140" s="344" t="n">
        <x:v>100</x:v>
      </x:c>
      <x:c r="F140" s="344" t="n">
        <x:v>100</x:v>
      </x:c>
      <x:c r="G140" s="344" t="n">
        <x:v>100</x:v>
      </x:c>
      <x:c r="H140" s="344" t="n">
        <x:v>100</x:v>
      </x:c>
      <x:c r="I140" s="344" t="n">
        <x:v>100</x:v>
      </x:c>
      <x:c r="J140" s="344" t="n">
        <x:v>100</x:v>
      </x:c>
      <x:c r="K140" s="344" t="n">
        <x:v>100</x:v>
      </x:c>
      <x:c r="L140" s="344" t="n">
        <x:v>100</x:v>
      </x:c>
      <x:c r="M140" s="344" t="n">
        <x:v>100</x:v>
      </x:c>
      <x:c r="N140" s="344" t="n">
        <x:v>100</x:v>
      </x:c>
      <x:c r="O140" s="344" t="n">
        <x:v>100</x:v>
      </x:c>
      <x:c r="P140" s="344" t="n">
        <x:v>100</x:v>
      </x:c>
      <x:c r="Q140" s="344" t="n">
        <x:v>100</x:v>
      </x:c>
      <x:c r="R140" s="344" t="n">
        <x:v>100</x:v>
      </x:c>
      <x:c r="S140" s="344" t="n">
        <x:v>100</x:v>
      </x:c>
      <x:c r="T140" s="344" t="n">
        <x:v>100</x:v>
      </x:c>
      <x:c r="U140" s="344" t="n">
        <x:v>100</x:v>
      </x:c>
      <x:c r="V140" s="373" t="n">
        <x:v>100</x:v>
      </x:c>
      <x:c r="W140" s="373" t="n">
        <x:v>100</x:v>
      </x:c>
      <x:c r="X140" s="373" t="n">
        <x:v>80</x:v>
      </x:c>
      <x:c r="Y140" s="373" t="n">
        <x:v>80</x:v>
      </x:c>
      <x:c r="Z140" s="373" t="n">
        <x:v>80</x:v>
      </x:c>
      <x:c r="AA140" s="374"/>
      <x:c r="AB140" s="344" t="n">
        <x:f>IF(COUNT(D140:AA140)=0,"",AVERAGE(D140:AA140))</x:f>
        <x:v>97.3913043478261</x:v>
      </x:c>
    </x:row>
    <x:row r="141">
      <x:c r="A141" s="52" t="str">
        <x:v>DATA-1</x:v>
      </x:c>
      <x:c r="B141" s="53" t="str">
        <x:v>СТРУКТУРИРОВАННЫЕ ДАННЫЕ</x:v>
      </x:c>
      <x:c r="C141" s="53" t="str">
        <x:v>JSON</x:v>
      </x:c>
      <x:c r="D141" s="344" t="n">
        <x:v>80</x:v>
      </x:c>
      <x:c r="E141" s="344" t="n">
        <x:v>80</x:v>
      </x:c>
      <x:c r="F141" s="344" t="n">
        <x:v>100</x:v>
      </x:c>
      <x:c r="G141" s="344" t="n">
        <x:v>100</x:v>
      </x:c>
      <x:c r="H141" s="344" t="n">
        <x:v>80</x:v>
      </x:c>
      <x:c r="I141" s="344" t="n">
        <x:v>80</x:v>
      </x:c>
      <x:c r="J141" s="344" t="n">
        <x:v>100</x:v>
      </x:c>
      <x:c r="K141" s="344" t="n">
        <x:v>100</x:v>
      </x:c>
      <x:c r="L141" s="344" t="n">
        <x:v>100</x:v>
      </x:c>
      <x:c r="M141" s="344" t="n">
        <x:v>100</x:v>
      </x:c>
      <x:c r="N141" s="344" t="n">
        <x:v>80</x:v>
      </x:c>
      <x:c r="O141" s="344" t="n">
        <x:v>80</x:v>
      </x:c>
      <x:c r="P141" s="344" t="n">
        <x:v>80</x:v>
      </x:c>
      <x:c r="Q141" s="344" t="n">
        <x:v>100</x:v>
      </x:c>
      <x:c r="R141" s="344" t="n">
        <x:v>80</x:v>
      </x:c>
      <x:c r="S141" s="344" t="n">
        <x:v>80</x:v>
      </x:c>
      <x:c r="T141" s="344" t="n">
        <x:v>80</x:v>
      </x:c>
      <x:c r="U141" s="344" t="n">
        <x:v>100</x:v>
      </x:c>
      <x:c r="V141" s="373" t="n">
        <x:v>80</x:v>
      </x:c>
      <x:c r="W141" s="373" t="n">
        <x:v>80</x:v>
      </x:c>
      <x:c r="X141" s="373" t="n">
        <x:v>60</x:v>
      </x:c>
      <x:c r="Y141" s="373" t="n">
        <x:v>60</x:v>
      </x:c>
      <x:c r="Z141" s="373" t="n">
        <x:v>60</x:v>
      </x:c>
      <x:c r="AA141" s="374" t="n">
        <x:v>60</x:v>
      </x:c>
      <x:c r="AB141" s="344" t="n">
        <x:f>IF(COUNT(D141:AA141)=0,"",AVERAGE(D141:AA141))</x:f>
        <x:v>83.33333333333333</x:v>
      </x:c>
    </x:row>
    <x:row r="142">
      <x:c r="A142" s="52" t="str">
        <x:v>DATA-2</x:v>
      </x:c>
      <x:c r="B142" s="53" t="str">
        <x:v>СТРУКТУРИРОВАННЫЕ ДАННЫЕ</x:v>
      </x:c>
      <x:c r="C142" s="53" t="str">
        <x:v>YAML</x:v>
      </x:c>
      <x:c r="D142" s="344" t="n">
        <x:v>100</x:v>
      </x:c>
      <x:c r="E142" s="344" t="n">
        <x:v>100</x:v>
      </x:c>
      <x:c r="F142" s="344" t="n">
        <x:v>100</x:v>
      </x:c>
      <x:c r="G142" s="344" t="n">
        <x:v>100</x:v>
      </x:c>
      <x:c r="H142" s="344" t="n">
        <x:v>100</x:v>
      </x:c>
      <x:c r="I142" s="344" t="n">
        <x:v>100</x:v>
      </x:c>
      <x:c r="J142" s="344" t="n">
        <x:v>100</x:v>
      </x:c>
      <x:c r="K142" s="344" t="n">
        <x:v>100</x:v>
      </x:c>
      <x:c r="L142" s="344" t="n">
        <x:v>100</x:v>
      </x:c>
      <x:c r="M142" s="344" t="n">
        <x:v>100</x:v>
      </x:c>
      <x:c r="N142" s="344" t="n">
        <x:v>100</x:v>
      </x:c>
      <x:c r="O142" s="344" t="n">
        <x:v>100</x:v>
      </x:c>
      <x:c r="P142" s="344" t="n">
        <x:v>100</x:v>
      </x:c>
      <x:c r="Q142" s="344" t="n">
        <x:v>100</x:v>
      </x:c>
      <x:c r="R142" s="344" t="n">
        <x:v>100</x:v>
      </x:c>
      <x:c r="S142" s="344" t="n">
        <x:v>100</x:v>
      </x:c>
      <x:c r="T142" s="344" t="n">
        <x:v>100</x:v>
      </x:c>
      <x:c r="U142" s="344" t="n">
        <x:v>100</x:v>
      </x:c>
      <x:c r="V142" s="373" t="n">
        <x:v>100</x:v>
      </x:c>
      <x:c r="W142" s="373" t="n">
        <x:v>100</x:v>
      </x:c>
      <x:c r="X142" s="373" t="n">
        <x:v>80</x:v>
      </x:c>
      <x:c r="Y142" s="373" t="n">
        <x:v>80</x:v>
      </x:c>
      <x:c r="Z142" s="373" t="n">
        <x:v>80</x:v>
      </x:c>
      <x:c r="AA142" s="374" t="n">
        <x:v>80</x:v>
      </x:c>
      <x:c r="AB142" s="344" t="n">
        <x:f>IF(COUNT(D142:AA142)=0,"",AVERAGE(D142:AA142))</x:f>
        <x:v>96.66666666666667</x:v>
      </x:c>
    </x:row>
    <x:row r="143">
      <x:c r="A143" s="52" t="str">
        <x:v>DATA-3</x:v>
      </x:c>
      <x:c r="B143" s="53" t="str">
        <x:v>СТРУКТУРИРОВАННЫЕ ДАННЫЕ</x:v>
      </x:c>
      <x:c r="C143" s="53" t="str">
        <x:v>XML</x:v>
      </x:c>
      <x:c r="D143" s="344" t="n">
        <x:v>100</x:v>
      </x:c>
      <x:c r="E143" s="344" t="n">
        <x:v>100</x:v>
      </x:c>
      <x:c r="F143" s="344" t="n">
        <x:v>100</x:v>
      </x:c>
      <x:c r="G143" s="344" t="n">
        <x:v>100</x:v>
      </x:c>
      <x:c r="H143" s="344" t="n">
        <x:v>100</x:v>
      </x:c>
      <x:c r="I143" s="344" t="n">
        <x:v>90</x:v>
      </x:c>
      <x:c r="J143" s="344" t="n">
        <x:v>100</x:v>
      </x:c>
      <x:c r="K143" s="344" t="n">
        <x:v>100</x:v>
      </x:c>
      <x:c r="L143" s="344" t="n">
        <x:v>100</x:v>
      </x:c>
      <x:c r="M143" s="344" t="n">
        <x:v>100</x:v>
      </x:c>
      <x:c r="N143" s="344" t="n">
        <x:v>100</x:v>
      </x:c>
      <x:c r="O143" s="344" t="n">
        <x:v>100</x:v>
      </x:c>
      <x:c r="P143" s="344" t="n">
        <x:v>100</x:v>
      </x:c>
      <x:c r="Q143" s="344" t="n">
        <x:v>100</x:v>
      </x:c>
      <x:c r="R143" s="344" t="n">
        <x:v>100</x:v>
      </x:c>
      <x:c r="S143" s="344" t="n">
        <x:v>100</x:v>
      </x:c>
      <x:c r="T143" s="344" t="n">
        <x:v>100</x:v>
      </x:c>
      <x:c r="U143" s="344" t="n">
        <x:v>100</x:v>
      </x:c>
      <x:c r="V143" s="373" t="n">
        <x:v>100</x:v>
      </x:c>
      <x:c r="W143" s="373" t="n">
        <x:v>20</x:v>
      </x:c>
      <x:c r="X143" s="373" t="n">
        <x:v>80</x:v>
      </x:c>
      <x:c r="Y143" s="373" t="n">
        <x:v>80</x:v>
      </x:c>
      <x:c r="Z143" s="373" t="n">
        <x:v>80</x:v>
      </x:c>
      <x:c r="AA143" s="374" t="n">
        <x:v>80</x:v>
      </x:c>
      <x:c r="AB143" s="344" t="n">
        <x:f>IF(COUNT(D143:AA143)=0,"",AVERAGE(D143:AA143))</x:f>
        <x:v>92.91666666666667</x:v>
      </x:c>
    </x:row>
    <x:row r="144">
      <x:c r="A144" s="52" t="str">
        <x:v>MEM-1</x:v>
      </x:c>
      <x:c r="B144" s="53" t="str">
        <x:v>ДЛИННЫЙ КОНТЕКСТ И ТОЧНОЕ СЛЕДОВАНИЕ РАННИМ УСЛОВИЯМ</x:v>
      </x:c>
      <x:c r="C144" s="53"/>
      <x:c r="D144" s="344" t="n">
        <x:v>100</x:v>
      </x:c>
      <x:c r="E144" s="344" t="n">
        <x:v>100</x:v>
      </x:c>
      <x:c r="F144" s="344" t="n">
        <x:v>100</x:v>
      </x:c>
      <x:c r="G144" s="344" t="n">
        <x:v>100</x:v>
      </x:c>
      <x:c r="H144" s="344" t="n">
        <x:v>100</x:v>
      </x:c>
      <x:c r="I144" s="344" t="n">
        <x:v>100</x:v>
      </x:c>
      <x:c r="J144" s="344" t="n">
        <x:v>100</x:v>
      </x:c>
      <x:c r="K144" s="344" t="n">
        <x:v>100</x:v>
      </x:c>
      <x:c r="L144" s="344" t="n">
        <x:v>100</x:v>
      </x:c>
      <x:c r="M144" s="344" t="n">
        <x:v>100</x:v>
      </x:c>
      <x:c r="N144" s="344" t="n">
        <x:v>100</x:v>
      </x:c>
      <x:c r="O144" s="344" t="n">
        <x:v>100</x:v>
      </x:c>
      <x:c r="P144" s="344" t="n">
        <x:v>100</x:v>
      </x:c>
      <x:c r="Q144" s="344" t="n">
        <x:v>100</x:v>
      </x:c>
      <x:c r="R144" s="344" t="n">
        <x:v>100</x:v>
      </x:c>
      <x:c r="S144" s="344" t="n">
        <x:v>100</x:v>
      </x:c>
      <x:c r="T144" s="344" t="n">
        <x:v>100</x:v>
      </x:c>
      <x:c r="U144" s="344" t="n">
        <x:v>100</x:v>
      </x:c>
      <x:c r="V144" s="373" t="n">
        <x:v>100</x:v>
      </x:c>
      <x:c r="W144" s="373" t="n">
        <x:v>100</x:v>
      </x:c>
      <x:c r="X144" s="373" t="n">
        <x:v>100</x:v>
      </x:c>
      <x:c r="Y144" s="373" t="n">
        <x:v>100</x:v>
      </x:c>
      <x:c r="Z144" s="373" t="n">
        <x:v>80</x:v>
      </x:c>
      <x:c r="AA144" s="374" t="n">
        <x:v>80</x:v>
      </x:c>
      <x:c r="AB144" s="344" t="n">
        <x:f>IF(COUNT(D144:AA144)=0,"",AVERAGE(D144:AA144))</x:f>
        <x:v>98.33333333333333</x:v>
      </x:c>
    </x:row>
    <x:row r="145">
      <x:c r="A145" s="52" t="str">
        <x:v>MEM-2</x:v>
      </x:c>
      <x:c r="B145" s="53" t="str">
        <x:v>ДЛИННЫЙ КОНТЕКСТ И ТОЧНОЕ СЛЕДОВАНИЕ РАННИМ УСЛОВИЯМ</x:v>
      </x:c>
      <x:c r="C145" s="53"/>
      <x:c r="D145" s="344" t="n">
        <x:v>100</x:v>
      </x:c>
      <x:c r="E145" s="344" t="n">
        <x:v>100</x:v>
      </x:c>
      <x:c r="F145" s="344" t="n">
        <x:v>100</x:v>
      </x:c>
      <x:c r="G145" s="344" t="n">
        <x:v>100</x:v>
      </x:c>
      <x:c r="H145" s="344" t="n">
        <x:v>100</x:v>
      </x:c>
      <x:c r="I145" s="344" t="n">
        <x:v>100</x:v>
      </x:c>
      <x:c r="J145" s="344" t="n">
        <x:v>100</x:v>
      </x:c>
      <x:c r="K145" s="344" t="n">
        <x:v>100</x:v>
      </x:c>
      <x:c r="L145" s="344" t="n">
        <x:v>100</x:v>
      </x:c>
      <x:c r="M145" s="344" t="n">
        <x:v>100</x:v>
      </x:c>
      <x:c r="N145" s="344" t="n">
        <x:v>100</x:v>
      </x:c>
      <x:c r="O145" s="344" t="n">
        <x:v>100</x:v>
      </x:c>
      <x:c r="P145" s="344" t="n">
        <x:v>100</x:v>
      </x:c>
      <x:c r="Q145" s="344" t="n">
        <x:v>100</x:v>
      </x:c>
      <x:c r="R145" s="344" t="n">
        <x:v>100</x:v>
      </x:c>
      <x:c r="S145" s="344" t="n">
        <x:v>100</x:v>
      </x:c>
      <x:c r="T145" s="344" t="n">
        <x:v>100</x:v>
      </x:c>
      <x:c r="U145" s="344" t="n">
        <x:v>100</x:v>
      </x:c>
      <x:c r="V145" s="373" t="n">
        <x:v>100</x:v>
      </x:c>
      <x:c r="W145" s="373" t="n">
        <x:v>100</x:v>
      </x:c>
      <x:c r="X145" s="373" t="n">
        <x:v>100</x:v>
      </x:c>
      <x:c r="Y145" s="373" t="n">
        <x:v>100</x:v>
      </x:c>
      <x:c r="Z145" s="373" t="n">
        <x:v>80</x:v>
      </x:c>
      <x:c r="AA145" s="374" t="n">
        <x:v>80</x:v>
      </x:c>
      <x:c r="AB145" s="344" t="n">
        <x:f>IF(COUNT(D145:AA145)=0,"",AVERAGE(D145:AA145))</x:f>
        <x:v>98.33333333333333</x:v>
      </x:c>
    </x:row>
    <x:row r="146">
      <x:c r="A146" s="52" t="str">
        <x:v>MEM-3</x:v>
      </x:c>
      <x:c r="B146" s="53" t="str">
        <x:v>ДЛИННЫЙ КОНТЕКСТ И ТОЧНОЕ СЛЕДОВАНИЕ РАННИМ УСЛОВИЯМ</x:v>
      </x:c>
      <x:c r="C146" s="53"/>
      <x:c r="D146" s="344" t="n">
        <x:v>100</x:v>
      </x:c>
      <x:c r="E146" s="344" t="n">
        <x:v>100</x:v>
      </x:c>
      <x:c r="F146" s="344" t="n">
        <x:v>100</x:v>
      </x:c>
      <x:c r="G146" s="344" t="n">
        <x:v>100</x:v>
      </x:c>
      <x:c r="H146" s="344" t="n">
        <x:v>100</x:v>
      </x:c>
      <x:c r="I146" s="344" t="n">
        <x:v>100</x:v>
      </x:c>
      <x:c r="J146" s="344" t="n">
        <x:v>100</x:v>
      </x:c>
      <x:c r="K146" s="344" t="n">
        <x:v>100</x:v>
      </x:c>
      <x:c r="L146" s="344" t="n">
        <x:v>100</x:v>
      </x:c>
      <x:c r="M146" s="344" t="n">
        <x:v>100</x:v>
      </x:c>
      <x:c r="N146" s="344" t="n">
        <x:v>100</x:v>
      </x:c>
      <x:c r="O146" s="344" t="n">
        <x:v>100</x:v>
      </x:c>
      <x:c r="P146" s="344" t="n">
        <x:v>100</x:v>
      </x:c>
      <x:c r="Q146" s="344" t="n">
        <x:v>100</x:v>
      </x:c>
      <x:c r="R146" s="344" t="n">
        <x:v>100</x:v>
      </x:c>
      <x:c r="S146" s="344" t="n">
        <x:v>100</x:v>
      </x:c>
      <x:c r="T146" s="344" t="n">
        <x:v>100</x:v>
      </x:c>
      <x:c r="U146" s="344" t="n">
        <x:v>100</x:v>
      </x:c>
      <x:c r="V146" s="373" t="n">
        <x:v>100</x:v>
      </x:c>
      <x:c r="W146" s="373" t="n">
        <x:v>100</x:v>
      </x:c>
      <x:c r="X146" s="373" t="n">
        <x:v>100</x:v>
      </x:c>
      <x:c r="Y146" s="373" t="n">
        <x:v>100</x:v>
      </x:c>
      <x:c r="Z146" s="373" t="n">
        <x:v>80</x:v>
      </x:c>
      <x:c r="AA146" s="374" t="n">
        <x:v>80</x:v>
      </x:c>
      <x:c r="AB146" s="344" t="n">
        <x:f>IF(COUNT(D146:AA146)=0,"",AVERAGE(D146:AA146))</x:f>
        <x:v>98.33333333333333</x:v>
      </x:c>
    </x:row>
    <x:row r="147">
      <x:c r="A147" s="52" t="str">
        <x:v>MEM-4</x:v>
      </x:c>
      <x:c r="B147" s="53" t="str">
        <x:v>ДЛИННЫЙ КОНТЕКСТ И ТОЧНОЕ СЛЕДОВАНИЕ РАННИМ УСЛОВИЯМ</x:v>
      </x:c>
      <x:c r="C147" s="53"/>
      <x:c r="D147" s="344" t="n">
        <x:v>100</x:v>
      </x:c>
      <x:c r="E147" s="344" t="n">
        <x:v>100</x:v>
      </x:c>
      <x:c r="F147" s="344" t="n">
        <x:v>100</x:v>
      </x:c>
      <x:c r="G147" s="344" t="n">
        <x:v>100</x:v>
      </x:c>
      <x:c r="H147" s="344" t="n">
        <x:v>100</x:v>
      </x:c>
      <x:c r="I147" s="344" t="n">
        <x:v>100</x:v>
      </x:c>
      <x:c r="J147" s="344" t="n">
        <x:v>100</x:v>
      </x:c>
      <x:c r="K147" s="344" t="n">
        <x:v>100</x:v>
      </x:c>
      <x:c r="L147" s="344" t="n">
        <x:v>100</x:v>
      </x:c>
      <x:c r="M147" s="344" t="n">
        <x:v>100</x:v>
      </x:c>
      <x:c r="N147" s="344" t="n">
        <x:v>100</x:v>
      </x:c>
      <x:c r="O147" s="344" t="n">
        <x:v>100</x:v>
      </x:c>
      <x:c r="P147" s="344" t="n">
        <x:v>100</x:v>
      </x:c>
      <x:c r="Q147" s="344" t="n">
        <x:v>100</x:v>
      </x:c>
      <x:c r="R147" s="344" t="n">
        <x:v>100</x:v>
      </x:c>
      <x:c r="S147" s="344" t="n">
        <x:v>100</x:v>
      </x:c>
      <x:c r="T147" s="344" t="n">
        <x:v>100</x:v>
      </x:c>
      <x:c r="U147" s="344" t="n">
        <x:v>100</x:v>
      </x:c>
      <x:c r="V147" s="373" t="n">
        <x:v>100</x:v>
      </x:c>
      <x:c r="W147" s="373" t="n">
        <x:v>100</x:v>
      </x:c>
      <x:c r="X147" s="373" t="n">
        <x:v>100</x:v>
      </x:c>
      <x:c r="Y147" s="373" t="n">
        <x:v>100</x:v>
      </x:c>
      <x:c r="Z147" s="373" t="n">
        <x:v>80</x:v>
      </x:c>
      <x:c r="AA147" s="374" t="n">
        <x:v>80</x:v>
      </x:c>
      <x:c r="AB147" s="344" t="n">
        <x:f>IF(COUNT(D147:AA147)=0,"",AVERAGE(D147:AA147))</x:f>
        <x:v>98.33333333333333</x:v>
      </x:c>
    </x:row>
    <x:row r="148">
      <x:c r="A148" s="52" t="str">
        <x:v>MEM-5</x:v>
      </x:c>
      <x:c r="B148" s="53" t="str">
        <x:v>ДЛИННЫЙ КОНТЕКСТ И ТОЧНОЕ СЛЕДОВАНИЕ РАННИМ УСЛОВИЯМ</x:v>
      </x:c>
      <x:c r="C148" s="53"/>
      <x:c r="D148" s="344" t="n">
        <x:v>100</x:v>
      </x:c>
      <x:c r="E148" s="344" t="n">
        <x:v>100</x:v>
      </x:c>
      <x:c r="F148" s="344" t="n">
        <x:v>100</x:v>
      </x:c>
      <x:c r="G148" s="344" t="n">
        <x:v>100</x:v>
      </x:c>
      <x:c r="H148" s="344" t="n">
        <x:v>100</x:v>
      </x:c>
      <x:c r="I148" s="344" t="n">
        <x:v>100</x:v>
      </x:c>
      <x:c r="J148" s="344" t="n">
        <x:v>100</x:v>
      </x:c>
      <x:c r="K148" s="344" t="n">
        <x:v>100</x:v>
      </x:c>
      <x:c r="L148" s="344" t="n">
        <x:v>100</x:v>
      </x:c>
      <x:c r="M148" s="344" t="n">
        <x:v>100</x:v>
      </x:c>
      <x:c r="N148" s="344" t="n">
        <x:v>100</x:v>
      </x:c>
      <x:c r="O148" s="344" t="n">
        <x:v>100</x:v>
      </x:c>
      <x:c r="P148" s="344" t="n">
        <x:v>100</x:v>
      </x:c>
      <x:c r="Q148" s="344" t="n">
        <x:v>100</x:v>
      </x:c>
      <x:c r="R148" s="344" t="n">
        <x:v>100</x:v>
      </x:c>
      <x:c r="S148" s="344" t="n">
        <x:v>100</x:v>
      </x:c>
      <x:c r="T148" s="344" t="n">
        <x:v>100</x:v>
      </x:c>
      <x:c r="U148" s="344" t="n">
        <x:v>100</x:v>
      </x:c>
      <x:c r="V148" s="373" t="n">
        <x:v>100</x:v>
      </x:c>
      <x:c r="W148" s="373" t="n">
        <x:v>100</x:v>
      </x:c>
      <x:c r="X148" s="373" t="n">
        <x:v>100</x:v>
      </x:c>
      <x:c r="Y148" s="373" t="n">
        <x:v>100</x:v>
      </x:c>
      <x:c r="Z148" s="373" t="n">
        <x:v>80</x:v>
      </x:c>
      <x:c r="AA148" s="374" t="n">
        <x:v>80</x:v>
      </x:c>
      <x:c r="AB148" s="344" t="n">
        <x:f>IF(COUNT(D148:AA148)=0,"",AVERAGE(D148:AA148))</x:f>
        <x:v>98.33333333333333</x:v>
      </x:c>
    </x:row>
    <x:row r="149">
      <x:c r="A149" s="52" t="str">
        <x:v>MEM-6</x:v>
      </x:c>
      <x:c r="B149" s="53" t="str">
        <x:v>ДЛИННЫЙ КОНТЕКСТ И ТОЧНОЕ СЛЕДОВАНИЕ РАННИМ УСЛОВИЯМ</x:v>
      </x:c>
      <x:c r="C149" s="53"/>
      <x:c r="D149" s="344" t="n">
        <x:v>100</x:v>
      </x:c>
      <x:c r="E149" s="344" t="n">
        <x:v>100</x:v>
      </x:c>
      <x:c r="F149" s="344" t="n">
        <x:v>100</x:v>
      </x:c>
      <x:c r="G149" s="344" t="n">
        <x:v>100</x:v>
      </x:c>
      <x:c r="H149" s="344" t="n">
        <x:v>100</x:v>
      </x:c>
      <x:c r="I149" s="344" t="n">
        <x:v>100</x:v>
      </x:c>
      <x:c r="J149" s="344" t="n">
        <x:v>100</x:v>
      </x:c>
      <x:c r="K149" s="344" t="n">
        <x:v>100</x:v>
      </x:c>
      <x:c r="L149" s="344" t="n">
        <x:v>100</x:v>
      </x:c>
      <x:c r="M149" s="344" t="n">
        <x:v>100</x:v>
      </x:c>
      <x:c r="N149" s="344" t="n">
        <x:v>100</x:v>
      </x:c>
      <x:c r="O149" s="344" t="n">
        <x:v>100</x:v>
      </x:c>
      <x:c r="P149" s="344" t="n">
        <x:v>100</x:v>
      </x:c>
      <x:c r="Q149" s="344" t="n">
        <x:v>100</x:v>
      </x:c>
      <x:c r="R149" s="344" t="n">
        <x:v>100</x:v>
      </x:c>
      <x:c r="S149" s="344" t="n">
        <x:v>100</x:v>
      </x:c>
      <x:c r="T149" s="344" t="n">
        <x:v>100</x:v>
      </x:c>
      <x:c r="U149" s="344" t="n">
        <x:v>100</x:v>
      </x:c>
      <x:c r="V149" s="373" t="n">
        <x:v>100</x:v>
      </x:c>
      <x:c r="W149" s="373" t="n">
        <x:v>100</x:v>
      </x:c>
      <x:c r="X149" s="373" t="n">
        <x:v>100</x:v>
      </x:c>
      <x:c r="Y149" s="373" t="n">
        <x:v>100</x:v>
      </x:c>
      <x:c r="Z149" s="373" t="n">
        <x:v>80</x:v>
      </x:c>
      <x:c r="AA149" s="374" t="n">
        <x:v>80</x:v>
      </x:c>
      <x:c r="AB149" s="344" t="n">
        <x:f>IF(COUNT(D149:AA149)=0,"",AVERAGE(D149:AA149))</x:f>
        <x:v>98.33333333333333</x:v>
      </x:c>
    </x:row>
    <x:row r="150">
      <x:c r="A150" s="52" t="str">
        <x:v>MEM-7</x:v>
      </x:c>
      <x:c r="B150" s="53" t="str">
        <x:v>ДЛИННЫЙ КОНТЕКСТ И ТОЧНОЕ СЛЕДОВАНИЕ РАННИМ УСЛОВИЯМ</x:v>
      </x:c>
      <x:c r="C150" s="53"/>
      <x:c r="D150" s="344" t="n">
        <x:v>100</x:v>
      </x:c>
      <x:c r="E150" s="344" t="n">
        <x:v>100</x:v>
      </x:c>
      <x:c r="F150" s="344" t="n">
        <x:v>100</x:v>
      </x:c>
      <x:c r="G150" s="344" t="n">
        <x:v>100</x:v>
      </x:c>
      <x:c r="H150" s="344" t="n">
        <x:v>100</x:v>
      </x:c>
      <x:c r="I150" s="344" t="n">
        <x:v>100</x:v>
      </x:c>
      <x:c r="J150" s="344" t="n">
        <x:v>100</x:v>
      </x:c>
      <x:c r="K150" s="344" t="n">
        <x:v>100</x:v>
      </x:c>
      <x:c r="L150" s="344" t="n">
        <x:v>100</x:v>
      </x:c>
      <x:c r="M150" s="344" t="n">
        <x:v>100</x:v>
      </x:c>
      <x:c r="N150" s="344" t="n">
        <x:v>100</x:v>
      </x:c>
      <x:c r="O150" s="344" t="n">
        <x:v>100</x:v>
      </x:c>
      <x:c r="P150" s="344" t="n">
        <x:v>100</x:v>
      </x:c>
      <x:c r="Q150" s="344" t="n">
        <x:v>100</x:v>
      </x:c>
      <x:c r="R150" s="344" t="n">
        <x:v>100</x:v>
      </x:c>
      <x:c r="S150" s="344" t="n">
        <x:v>100</x:v>
      </x:c>
      <x:c r="T150" s="344" t="n">
        <x:v>100</x:v>
      </x:c>
      <x:c r="U150" s="344" t="n">
        <x:v>100</x:v>
      </x:c>
      <x:c r="V150" s="373" t="n">
        <x:v>100</x:v>
      </x:c>
      <x:c r="W150" s="373" t="n">
        <x:v>100</x:v>
      </x:c>
      <x:c r="X150" s="373" t="n">
        <x:v>100</x:v>
      </x:c>
      <x:c r="Y150" s="373" t="n">
        <x:v>100</x:v>
      </x:c>
      <x:c r="Z150" s="373" t="n">
        <x:v>80</x:v>
      </x:c>
      <x:c r="AA150" s="374" t="n">
        <x:v>80</x:v>
      </x:c>
      <x:c r="AB150" s="344" t="n">
        <x:f>IF(COUNT(D150:AA150)=0,"",AVERAGE(D150:AA150))</x:f>
        <x:v>98.33333333333333</x:v>
      </x:c>
    </x:row>
    <x:row r="151">
      <x:c r="A151" s="52" t="str">
        <x:v>MEM-8</x:v>
      </x:c>
      <x:c r="B151" s="53" t="str">
        <x:v>ДЛИННЫЙ КОНТЕКСТ И ТОЧНОЕ СЛЕДОВАНИЕ РАННИМ УСЛОВИЯМ</x:v>
      </x:c>
      <x:c r="C151" s="53"/>
      <x:c r="D151" s="344" t="n">
        <x:v>100</x:v>
      </x:c>
      <x:c r="E151" s="344" t="n">
        <x:v>100</x:v>
      </x:c>
      <x:c r="F151" s="344" t="n">
        <x:v>100</x:v>
      </x:c>
      <x:c r="G151" s="344" t="n">
        <x:v>100</x:v>
      </x:c>
      <x:c r="H151" s="344" t="n">
        <x:v>100</x:v>
      </x:c>
      <x:c r="I151" s="344" t="n">
        <x:v>100</x:v>
      </x:c>
      <x:c r="J151" s="344" t="n">
        <x:v>100</x:v>
      </x:c>
      <x:c r="K151" s="344" t="n">
        <x:v>100</x:v>
      </x:c>
      <x:c r="L151" s="344" t="n">
        <x:v>100</x:v>
      </x:c>
      <x:c r="M151" s="344" t="n">
        <x:v>100</x:v>
      </x:c>
      <x:c r="N151" s="344" t="n">
        <x:v>100</x:v>
      </x:c>
      <x:c r="O151" s="344" t="n">
        <x:v>100</x:v>
      </x:c>
      <x:c r="P151" s="344" t="n">
        <x:v>100</x:v>
      </x:c>
      <x:c r="Q151" s="344" t="n">
        <x:v>100</x:v>
      </x:c>
      <x:c r="R151" s="344" t="n">
        <x:v>100</x:v>
      </x:c>
      <x:c r="S151" s="344" t="n">
        <x:v>100</x:v>
      </x:c>
      <x:c r="T151" s="344" t="n">
        <x:v>100</x:v>
      </x:c>
      <x:c r="U151" s="344" t="n">
        <x:v>100</x:v>
      </x:c>
      <x:c r="V151" s="373" t="n">
        <x:v>100</x:v>
      </x:c>
      <x:c r="W151" s="373" t="n">
        <x:v>100</x:v>
      </x:c>
      <x:c r="X151" s="373" t="n">
        <x:v>100</x:v>
      </x:c>
      <x:c r="Y151" s="373" t="n">
        <x:v>100</x:v>
      </x:c>
      <x:c r="Z151" s="373" t="n">
        <x:v>80</x:v>
      </x:c>
      <x:c r="AA151" s="374" t="n">
        <x:v>80</x:v>
      </x:c>
      <x:c r="AB151" s="344" t="n">
        <x:f>IF(COUNT(D151:AA151)=0,"",AVERAGE(D151:AA151))</x:f>
        <x:v>98.33333333333333</x:v>
      </x:c>
    </x:row>
    <x:row r="152">
      <x:c r="A152" s="52" t="str">
        <x:v>MEM-9</x:v>
      </x:c>
      <x:c r="B152" s="53" t="str">
        <x:v>ДЛИННЫЙ КОНТЕКСТ И ТОЧНОЕ СЛЕДОВАНИЕ РАННИМ УСЛОВИЯМ</x:v>
      </x:c>
      <x:c r="C152" s="53"/>
      <x:c r="D152" s="344" t="n">
        <x:v>100</x:v>
      </x:c>
      <x:c r="E152" s="344" t="n">
        <x:v>100</x:v>
      </x:c>
      <x:c r="F152" s="344" t="n">
        <x:v>100</x:v>
      </x:c>
      <x:c r="G152" s="344" t="n">
        <x:v>100</x:v>
      </x:c>
      <x:c r="H152" s="344" t="n">
        <x:v>100</x:v>
      </x:c>
      <x:c r="I152" s="344" t="n">
        <x:v>100</x:v>
      </x:c>
      <x:c r="J152" s="344" t="n">
        <x:v>100</x:v>
      </x:c>
      <x:c r="K152" s="344" t="n">
        <x:v>100</x:v>
      </x:c>
      <x:c r="L152" s="344" t="n">
        <x:v>100</x:v>
      </x:c>
      <x:c r="M152" s="344" t="n">
        <x:v>100</x:v>
      </x:c>
      <x:c r="N152" s="344" t="n">
        <x:v>100</x:v>
      </x:c>
      <x:c r="O152" s="344" t="n">
        <x:v>100</x:v>
      </x:c>
      <x:c r="P152" s="344" t="n">
        <x:v>100</x:v>
      </x:c>
      <x:c r="Q152" s="344" t="n">
        <x:v>100</x:v>
      </x:c>
      <x:c r="R152" s="344" t="n">
        <x:v>100</x:v>
      </x:c>
      <x:c r="S152" s="344" t="n">
        <x:v>100</x:v>
      </x:c>
      <x:c r="T152" s="344" t="n">
        <x:v>100</x:v>
      </x:c>
      <x:c r="U152" s="344" t="n">
        <x:v>100</x:v>
      </x:c>
      <x:c r="V152" s="373" t="n">
        <x:v>100</x:v>
      </x:c>
      <x:c r="W152" s="373" t="n">
        <x:v>100</x:v>
      </x:c>
      <x:c r="X152" s="373" t="n">
        <x:v>100</x:v>
      </x:c>
      <x:c r="Y152" s="373" t="n">
        <x:v>80</x:v>
      </x:c>
      <x:c r="Z152" s="373" t="n">
        <x:v>80</x:v>
      </x:c>
      <x:c r="AA152" s="374" t="n">
        <x:v>80</x:v>
      </x:c>
      <x:c r="AB152" s="344" t="n">
        <x:f>IF(COUNT(D152:AA152)=0,"",AVERAGE(D152:AA152))</x:f>
        <x:v>97.5</x:v>
      </x:c>
    </x:row>
    <x:row r="153">
      <x:c r="A153" s="52" t="str">
        <x:v>MEM-10</x:v>
      </x:c>
      <x:c r="B153" s="53" t="str">
        <x:v>ДЛИННЫЙ КОНТЕКСТ И ТОЧНОЕ СЛЕДОВАНИЕ РАННИМ УСЛОВИЯМ</x:v>
      </x:c>
      <x:c r="C153" s="53"/>
      <x:c r="D153" s="344" t="n">
        <x:v>100</x:v>
      </x:c>
      <x:c r="E153" s="344" t="n">
        <x:v>100</x:v>
      </x:c>
      <x:c r="F153" s="344" t="n">
        <x:v>100</x:v>
      </x:c>
      <x:c r="G153" s="344" t="n">
        <x:v>100</x:v>
      </x:c>
      <x:c r="H153" s="344" t="n">
        <x:v>100</x:v>
      </x:c>
      <x:c r="I153" s="344" t="n">
        <x:v>100</x:v>
      </x:c>
      <x:c r="J153" s="344" t="n">
        <x:v>100</x:v>
      </x:c>
      <x:c r="K153" s="344" t="n">
        <x:v>100</x:v>
      </x:c>
      <x:c r="L153" s="344" t="n">
        <x:v>100</x:v>
      </x:c>
      <x:c r="M153" s="344" t="n">
        <x:v>100</x:v>
      </x:c>
      <x:c r="N153" s="344" t="n">
        <x:v>100</x:v>
      </x:c>
      <x:c r="O153" s="344" t="n">
        <x:v>100</x:v>
      </x:c>
      <x:c r="P153" s="344" t="n">
        <x:v>100</x:v>
      </x:c>
      <x:c r="Q153" s="344" t="n">
        <x:v>100</x:v>
      </x:c>
      <x:c r="R153" s="344" t="n">
        <x:v>100</x:v>
      </x:c>
      <x:c r="S153" s="344" t="n">
        <x:v>100</x:v>
      </x:c>
      <x:c r="T153" s="344" t="n">
        <x:v>100</x:v>
      </x:c>
      <x:c r="U153" s="344" t="n">
        <x:v>100</x:v>
      </x:c>
      <x:c r="V153" s="373" t="n">
        <x:v>100</x:v>
      </x:c>
      <x:c r="W153" s="373" t="n">
        <x:v>100</x:v>
      </x:c>
      <x:c r="X153" s="373" t="n">
        <x:v>100</x:v>
      </x:c>
      <x:c r="Y153" s="373" t="n">
        <x:v>100</x:v>
      </x:c>
      <x:c r="Z153" s="373" t="n">
        <x:v>80</x:v>
      </x:c>
      <x:c r="AA153" s="374" t="n">
        <x:v>80</x:v>
      </x:c>
      <x:c r="AB153" s="344" t="n">
        <x:f>IF(COUNT(D153:AA153)=0,"",AVERAGE(D153:AA153))</x:f>
        <x:v>98.33333333333333</x:v>
      </x:c>
    </x:row>
    <x:row r="154">
      <x:c r="A154" s="52" t="str">
        <x:v>MEM-11</x:v>
      </x:c>
      <x:c r="B154" s="53" t="str">
        <x:v>ДЛИННЫЙ КОНТЕКСТ И ТОЧНОЕ СЛЕДОВАНИЕ РАННИМ УСЛОВИЯМ</x:v>
      </x:c>
      <x:c r="C154" s="53"/>
      <x:c r="D154" s="344" t="n">
        <x:v>100</x:v>
      </x:c>
      <x:c r="E154" s="344" t="n">
        <x:v>100</x:v>
      </x:c>
      <x:c r="F154" s="344" t="n">
        <x:v>100</x:v>
      </x:c>
      <x:c r="G154" s="344" t="n">
        <x:v>100</x:v>
      </x:c>
      <x:c r="H154" s="344" t="n">
        <x:v>100</x:v>
      </x:c>
      <x:c r="I154" s="344" t="n">
        <x:v>100</x:v>
      </x:c>
      <x:c r="J154" s="344" t="n">
        <x:v>100</x:v>
      </x:c>
      <x:c r="K154" s="344" t="n">
        <x:v>100</x:v>
      </x:c>
      <x:c r="L154" s="344" t="n">
        <x:v>100</x:v>
      </x:c>
      <x:c r="M154" s="344" t="n">
        <x:v>100</x:v>
      </x:c>
      <x:c r="N154" s="344" t="n">
        <x:v>100</x:v>
      </x:c>
      <x:c r="O154" s="344" t="n">
        <x:v>100</x:v>
      </x:c>
      <x:c r="P154" s="344" t="n">
        <x:v>100</x:v>
      </x:c>
      <x:c r="Q154" s="344" t="n">
        <x:v>100</x:v>
      </x:c>
      <x:c r="R154" s="344" t="n">
        <x:v>100</x:v>
      </x:c>
      <x:c r="S154" s="344" t="n">
        <x:v>100</x:v>
      </x:c>
      <x:c r="T154" s="344" t="n">
        <x:v>100</x:v>
      </x:c>
      <x:c r="U154" s="344" t="n">
        <x:v>100</x:v>
      </x:c>
      <x:c r="V154" s="373" t="n">
        <x:v>100</x:v>
      </x:c>
      <x:c r="W154" s="373" t="n">
        <x:v>100</x:v>
      </x:c>
      <x:c r="X154" s="373" t="n">
        <x:v>100</x:v>
      </x:c>
      <x:c r="Y154" s="373" t="n">
        <x:v>100</x:v>
      </x:c>
      <x:c r="Z154" s="373" t="n">
        <x:v>80</x:v>
      </x:c>
      <x:c r="AA154" s="374" t="n">
        <x:v>80</x:v>
      </x:c>
      <x:c r="AB154" s="344" t="n">
        <x:f>IF(COUNT(D154:AA154)=0,"",AVERAGE(D154:AA154))</x:f>
        <x:v>98.33333333333333</x:v>
      </x:c>
    </x:row>
    <x:row r="155">
      <x:c r="A155" s="52" t="str">
        <x:v>MEM-12</x:v>
      </x:c>
      <x:c r="B155" s="53" t="str">
        <x:v>ДЛИННЫЙ КОНТЕКСТ И ТОЧНОЕ СЛЕДОВАНИЕ РАННИМ УСЛОВИЯМ</x:v>
      </x:c>
      <x:c r="C155" s="53"/>
      <x:c r="D155" s="344" t="n">
        <x:v>100</x:v>
      </x:c>
      <x:c r="E155" s="344" t="n">
        <x:v>100</x:v>
      </x:c>
      <x:c r="F155" s="344" t="n">
        <x:v>100</x:v>
      </x:c>
      <x:c r="G155" s="344" t="n">
        <x:v>100</x:v>
      </x:c>
      <x:c r="H155" s="344" t="n">
        <x:v>100</x:v>
      </x:c>
      <x:c r="I155" s="344" t="n">
        <x:v>100</x:v>
      </x:c>
      <x:c r="J155" s="344" t="n">
        <x:v>100</x:v>
      </x:c>
      <x:c r="K155" s="344" t="n">
        <x:v>100</x:v>
      </x:c>
      <x:c r="L155" s="344" t="n">
        <x:v>100</x:v>
      </x:c>
      <x:c r="M155" s="344" t="n">
        <x:v>100</x:v>
      </x:c>
      <x:c r="N155" s="344" t="n">
        <x:v>100</x:v>
      </x:c>
      <x:c r="O155" s="344" t="n">
        <x:v>100</x:v>
      </x:c>
      <x:c r="P155" s="344" t="n">
        <x:v>100</x:v>
      </x:c>
      <x:c r="Q155" s="344" t="n">
        <x:v>100</x:v>
      </x:c>
      <x:c r="R155" s="344" t="n">
        <x:v>100</x:v>
      </x:c>
      <x:c r="S155" s="344" t="n">
        <x:v>100</x:v>
      </x:c>
      <x:c r="T155" s="344" t="n">
        <x:v>100</x:v>
      </x:c>
      <x:c r="U155" s="344" t="n">
        <x:v>100</x:v>
      </x:c>
      <x:c r="V155" s="373" t="n">
        <x:v>100</x:v>
      </x:c>
      <x:c r="W155" s="373" t="n">
        <x:v>100</x:v>
      </x:c>
      <x:c r="X155" s="373" t="n">
        <x:v>100</x:v>
      </x:c>
      <x:c r="Y155" s="373" t="n">
        <x:v>100</x:v>
      </x:c>
      <x:c r="Z155" s="373" t="n">
        <x:v>80</x:v>
      </x:c>
      <x:c r="AA155" s="374" t="n">
        <x:v>80</x:v>
      </x:c>
      <x:c r="AB155" s="344" t="n">
        <x:f>IF(COUNT(D155:AA155)=0,"",AVERAGE(D155:AA155))</x:f>
        <x:v>98.33333333333333</x:v>
      </x:c>
    </x:row>
    <x:row r="156">
      <x:c r="A156" s="52" t="str">
        <x:v>MEM-13</x:v>
      </x:c>
      <x:c r="B156" s="53" t="str">
        <x:v>ДЛИННЫЙ КОНТЕКСТ И ТОЧНОЕ СЛЕДОВАНИЕ РАННИМ УСЛОВИЯМ</x:v>
      </x:c>
      <x:c r="C156" s="53"/>
      <x:c r="D156" s="344" t="n">
        <x:v>100</x:v>
      </x:c>
      <x:c r="E156" s="344" t="n">
        <x:v>100</x:v>
      </x:c>
      <x:c r="F156" s="344" t="n">
        <x:v>100</x:v>
      </x:c>
      <x:c r="G156" s="344" t="n">
        <x:v>100</x:v>
      </x:c>
      <x:c r="H156" s="344" t="n">
        <x:v>100</x:v>
      </x:c>
      <x:c r="I156" s="344" t="n">
        <x:v>100</x:v>
      </x:c>
      <x:c r="J156" s="344" t="n">
        <x:v>100</x:v>
      </x:c>
      <x:c r="K156" s="344" t="n">
        <x:v>100</x:v>
      </x:c>
      <x:c r="L156" s="344" t="n">
        <x:v>100</x:v>
      </x:c>
      <x:c r="M156" s="344" t="n">
        <x:v>100</x:v>
      </x:c>
      <x:c r="N156" s="344" t="n">
        <x:v>100</x:v>
      </x:c>
      <x:c r="O156" s="344" t="n">
        <x:v>100</x:v>
      </x:c>
      <x:c r="P156" s="344" t="n">
        <x:v>100</x:v>
      </x:c>
      <x:c r="Q156" s="344" t="n">
        <x:v>100</x:v>
      </x:c>
      <x:c r="R156" s="344" t="n">
        <x:v>100</x:v>
      </x:c>
      <x:c r="S156" s="344" t="n">
        <x:v>100</x:v>
      </x:c>
      <x:c r="T156" s="344" t="n">
        <x:v>100</x:v>
      </x:c>
      <x:c r="U156" s="344" t="n">
        <x:v>100</x:v>
      </x:c>
      <x:c r="V156" s="373" t="n">
        <x:v>100</x:v>
      </x:c>
      <x:c r="W156" s="373" t="n">
        <x:v>100</x:v>
      </x:c>
      <x:c r="X156" s="373" t="n">
        <x:v>100</x:v>
      </x:c>
      <x:c r="Y156" s="373" t="n">
        <x:v>100</x:v>
      </x:c>
      <x:c r="Z156" s="373"/>
      <x:c r="AA156" s="374" t="n">
        <x:v>80</x:v>
      </x:c>
      <x:c r="AB156" s="344" t="n">
        <x:f>IF(COUNT(D156:AA156)=0,"",AVERAGE(D156:AA156))</x:f>
        <x:v>99.1304347826087</x:v>
      </x:c>
    </x:row>
    <x:row r="157">
      <x:c r="A157" s="52" t="str">
        <x:v>MEM-14</x:v>
      </x:c>
      <x:c r="B157" s="53" t="str">
        <x:v>ДЛИННЫЙ КОНТЕКСТ И ТОЧНОЕ СЛЕДОВАНИЕ РАННИМ УСЛОВИЯМ</x:v>
      </x:c>
      <x:c r="C157" s="53" t="str">
        <x:v>Совмещение фактов</x:v>
      </x:c>
      <x:c r="D157" s="344" t="n">
        <x:v>100</x:v>
      </x:c>
      <x:c r="E157" s="344" t="n">
        <x:v>100</x:v>
      </x:c>
      <x:c r="F157" s="344" t="n">
        <x:v>100</x:v>
      </x:c>
      <x:c r="G157" s="344" t="n">
        <x:v>100</x:v>
      </x:c>
      <x:c r="H157" s="344" t="n">
        <x:v>100</x:v>
      </x:c>
      <x:c r="I157" s="344" t="n">
        <x:v>100</x:v>
      </x:c>
      <x:c r="J157" s="344" t="n">
        <x:v>100</x:v>
      </x:c>
      <x:c r="K157" s="344" t="n">
        <x:v>100</x:v>
      </x:c>
      <x:c r="L157" s="344" t="n">
        <x:v>100</x:v>
      </x:c>
      <x:c r="M157" s="344" t="n">
        <x:v>100</x:v>
      </x:c>
      <x:c r="N157" s="344" t="n">
        <x:v>100</x:v>
      </x:c>
      <x:c r="O157" s="344" t="n">
        <x:v>80</x:v>
      </x:c>
      <x:c r="P157" s="344" t="n">
        <x:v>80</x:v>
      </x:c>
      <x:c r="Q157" s="344" t="n">
        <x:v>100</x:v>
      </x:c>
      <x:c r="R157" s="344" t="n">
        <x:v>100</x:v>
      </x:c>
      <x:c r="S157" s="344" t="n">
        <x:v>100</x:v>
      </x:c>
      <x:c r="T157" s="344" t="n">
        <x:v>90</x:v>
      </x:c>
      <x:c r="U157" s="344" t="n">
        <x:v>40</x:v>
      </x:c>
      <x:c r="V157" s="373" t="n">
        <x:v>100</x:v>
      </x:c>
      <x:c r="W157" s="373" t="n">
        <x:v>100</x:v>
      </x:c>
      <x:c r="X157" s="373" t="n">
        <x:v>80</x:v>
      </x:c>
      <x:c r="Y157" s="373" t="n">
        <x:v>80</x:v>
      </x:c>
      <x:c r="Z157" s="373" t="n">
        <x:v>40</x:v>
      </x:c>
      <x:c r="AA157" s="374" t="n">
        <x:v>40</x:v>
      </x:c>
      <x:c r="AB157" s="344" t="n">
        <x:f>IF(COUNT(D157:AA157)=0,"",AVERAGE(D157:AA157))</x:f>
        <x:v>88.75</x:v>
      </x:c>
    </x:row>
    <x:row r="158">
      <x:c r="A158" s="52" t="str">
        <x:v>AMB-1</x:v>
      </x:c>
      <x:c r="B158" s="53" t="str">
        <x:v>НЕОДНОЗНАЧНОСТЬ И ПРОТИВОРЕЧИВЫЕ ТРЕБОВАНИЯ</x:v>
      </x:c>
      <x:c r="C158" s="53"/>
      <x:c r="D158" s="344" t="n">
        <x:v>100</x:v>
      </x:c>
      <x:c r="E158" s="344" t="n">
        <x:v>100</x:v>
      </x:c>
      <x:c r="F158" s="344" t="n">
        <x:v>100</x:v>
      </x:c>
      <x:c r="G158" s="344" t="n">
        <x:v>100</x:v>
      </x:c>
      <x:c r="H158" s="344" t="n">
        <x:v>100</x:v>
      </x:c>
      <x:c r="I158" s="344" t="n">
        <x:v>100</x:v>
      </x:c>
      <x:c r="J158" s="344" t="n">
        <x:v>100</x:v>
      </x:c>
      <x:c r="K158" s="344" t="n">
        <x:v>100</x:v>
      </x:c>
      <x:c r="L158" s="344" t="n">
        <x:v>100</x:v>
      </x:c>
      <x:c r="M158" s="344" t="n">
        <x:v>100</x:v>
      </x:c>
      <x:c r="N158" s="344" t="n">
        <x:v>100</x:v>
      </x:c>
      <x:c r="O158" s="344" t="n">
        <x:v>100</x:v>
      </x:c>
      <x:c r="P158" s="344" t="n">
        <x:v>100</x:v>
      </x:c>
      <x:c r="Q158" s="344" t="n">
        <x:v>100</x:v>
      </x:c>
      <x:c r="R158" s="344" t="n">
        <x:v>100</x:v>
      </x:c>
      <x:c r="S158" s="344" t="n">
        <x:v>100</x:v>
      </x:c>
      <x:c r="T158" s="344" t="n">
        <x:v>100</x:v>
      </x:c>
      <x:c r="U158" s="344" t="n">
        <x:v>100</x:v>
      </x:c>
      <x:c r="V158" s="373" t="n">
        <x:v>100</x:v>
      </x:c>
      <x:c r="W158" s="373" t="n">
        <x:v>100</x:v>
      </x:c>
      <x:c r="X158" s="373" t="n">
        <x:v>100</x:v>
      </x:c>
      <x:c r="Y158" s="373" t="n">
        <x:v>100</x:v>
      </x:c>
      <x:c r="Z158" s="373" t="n">
        <x:v>80</x:v>
      </x:c>
      <x:c r="AA158" s="374"/>
      <x:c r="AB158" s="344" t="n">
        <x:f>IF(COUNT(D158:AA158)=0,"",AVERAGE(D158:AA158))</x:f>
        <x:v>99.1304347826087</x:v>
      </x:c>
    </x:row>
    <x:row r="159">
      <x:c r="A159" s="52" t="str">
        <x:v>AMB-2</x:v>
      </x:c>
      <x:c r="B159" s="53" t="str">
        <x:v>НЕОДНОЗНАЧНОСТЬ И ПРОТИВОРЕЧИВЫЕ ТРЕБОВАНИЯ</x:v>
      </x:c>
      <x:c r="C159" s="53"/>
      <x:c r="D159" s="344" t="n">
        <x:v>100</x:v>
      </x:c>
      <x:c r="E159" s="344" t="n">
        <x:v>100</x:v>
      </x:c>
      <x:c r="F159" s="344" t="n">
        <x:v>100</x:v>
      </x:c>
      <x:c r="G159" s="344" t="n">
        <x:v>100</x:v>
      </x:c>
      <x:c r="H159" s="344" t="n">
        <x:v>100</x:v>
      </x:c>
      <x:c r="I159" s="344" t="n">
        <x:v>100</x:v>
      </x:c>
      <x:c r="J159" s="344" t="n">
        <x:v>100</x:v>
      </x:c>
      <x:c r="K159" s="344" t="n">
        <x:v>100</x:v>
      </x:c>
      <x:c r="L159" s="344" t="n">
        <x:v>100</x:v>
      </x:c>
      <x:c r="M159" s="344" t="n">
        <x:v>100</x:v>
      </x:c>
      <x:c r="N159" s="344" t="n">
        <x:v>100</x:v>
      </x:c>
      <x:c r="O159" s="344" t="n">
        <x:v>100</x:v>
      </x:c>
      <x:c r="P159" s="344" t="n">
        <x:v>100</x:v>
      </x:c>
      <x:c r="Q159" s="344" t="n">
        <x:v>100</x:v>
      </x:c>
      <x:c r="R159" s="344" t="n">
        <x:v>100</x:v>
      </x:c>
      <x:c r="S159" s="344" t="n">
        <x:v>100</x:v>
      </x:c>
      <x:c r="T159" s="344" t="n">
        <x:v>100</x:v>
      </x:c>
      <x:c r="U159" s="344" t="n">
        <x:v>100</x:v>
      </x:c>
      <x:c r="V159" s="373" t="n">
        <x:v>100</x:v>
      </x:c>
      <x:c r="W159" s="373" t="n">
        <x:v>80</x:v>
      </x:c>
      <x:c r="X159" s="373" t="n">
        <x:v>100</x:v>
      </x:c>
      <x:c r="Y159" s="373" t="n">
        <x:v>100</x:v>
      </x:c>
      <x:c r="Z159" s="373" t="n">
        <x:v>80</x:v>
      </x:c>
      <x:c r="AA159" s="374"/>
      <x:c r="AB159" s="344" t="n">
        <x:f>IF(COUNT(D159:AA159)=0,"",AVERAGE(D159:AA159))</x:f>
        <x:v>98.26086956521739</x:v>
      </x:c>
    </x:row>
    <x:row r="160">
      <x:c r="A160" s="52" t="str">
        <x:v>AMB-3</x:v>
      </x:c>
      <x:c r="B160" s="53" t="str">
        <x:v>НЕОДНОЗНАЧНОСТЬ И ПРОТИВОРЕЧИВЫЕ ТРЕБОВАНИЯ</x:v>
      </x:c>
      <x:c r="C160" s="53"/>
      <x:c r="D160" s="344" t="n">
        <x:v>100</x:v>
      </x:c>
      <x:c r="E160" s="344" t="n">
        <x:v>100</x:v>
      </x:c>
      <x:c r="F160" s="344" t="n">
        <x:v>100</x:v>
      </x:c>
      <x:c r="G160" s="344" t="n">
        <x:v>100</x:v>
      </x:c>
      <x:c r="H160" s="344" t="n">
        <x:v>100</x:v>
      </x:c>
      <x:c r="I160" s="344" t="n">
        <x:v>100</x:v>
      </x:c>
      <x:c r="J160" s="344" t="n">
        <x:v>100</x:v>
      </x:c>
      <x:c r="K160" s="344" t="n">
        <x:v>100</x:v>
      </x:c>
      <x:c r="L160" s="344" t="n">
        <x:v>100</x:v>
      </x:c>
      <x:c r="M160" s="344" t="n">
        <x:v>100</x:v>
      </x:c>
      <x:c r="N160" s="344" t="n">
        <x:v>100</x:v>
      </x:c>
      <x:c r="O160" s="344" t="n">
        <x:v>100</x:v>
      </x:c>
      <x:c r="P160" s="344" t="n">
        <x:v>100</x:v>
      </x:c>
      <x:c r="Q160" s="344" t="n">
        <x:v>60</x:v>
      </x:c>
      <x:c r="R160" s="344" t="n">
        <x:v>100</x:v>
      </x:c>
      <x:c r="S160" s="344" t="n">
        <x:v>100</x:v>
      </x:c>
      <x:c r="T160" s="344" t="n">
        <x:v>100</x:v>
      </x:c>
      <x:c r="U160" s="344" t="n">
        <x:v>100</x:v>
      </x:c>
      <x:c r="V160" s="373" t="n">
        <x:v>60</x:v>
      </x:c>
      <x:c r="W160" s="373" t="n">
        <x:v>100</x:v>
      </x:c>
      <x:c r="X160" s="373" t="n">
        <x:v>100</x:v>
      </x:c>
      <x:c r="Y160" s="373" t="n">
        <x:v>100</x:v>
      </x:c>
      <x:c r="Z160" s="373" t="n">
        <x:v>80</x:v>
      </x:c>
      <x:c r="AA160" s="374"/>
      <x:c r="AB160" s="344" t="n">
        <x:f>IF(COUNT(D160:AA160)=0,"",AVERAGE(D160:AA160))</x:f>
        <x:v>95.65217391304348</x:v>
      </x:c>
    </x:row>
    <x:row r="161">
      <x:c r="A161" s="52" t="str">
        <x:v>SELF-1</x:v>
      </x:c>
      <x:c r="B161" s="53" t="str">
        <x:v>САМОПРОВЕРКА И ИСПРАВЛЕНИЕ СОБСТВЕННОГО РЕШЕНИЯ</x:v>
      </x:c>
      <x:c r="C161" s="53"/>
      <x:c r="D161" s="344" t="n">
        <x:v>100</x:v>
      </x:c>
      <x:c r="E161" s="344" t="n">
        <x:v>100</x:v>
      </x:c>
      <x:c r="F161" s="344" t="n">
        <x:v>100</x:v>
      </x:c>
      <x:c r="G161" s="344" t="n">
        <x:v>100</x:v>
      </x:c>
      <x:c r="H161" s="344" t="n">
        <x:v>100</x:v>
      </x:c>
      <x:c r="I161" s="344" t="n">
        <x:v>100</x:v>
      </x:c>
      <x:c r="J161" s="344" t="n">
        <x:v>80</x:v>
      </x:c>
      <x:c r="K161" s="344" t="n">
        <x:v>100</x:v>
      </x:c>
      <x:c r="L161" s="344" t="n">
        <x:v>100</x:v>
      </x:c>
      <x:c r="M161" s="344" t="n">
        <x:v>100</x:v>
      </x:c>
      <x:c r="N161" s="344" t="n">
        <x:v>100</x:v>
      </x:c>
      <x:c r="O161" s="344" t="n">
        <x:v>80</x:v>
      </x:c>
      <x:c r="P161" s="344" t="n">
        <x:v>80</x:v>
      </x:c>
      <x:c r="Q161" s="344" t="n">
        <x:v>100</x:v>
      </x:c>
      <x:c r="R161" s="344" t="n">
        <x:v>60</x:v>
      </x:c>
      <x:c r="S161" s="344" t="n">
        <x:v>100</x:v>
      </x:c>
      <x:c r="T161" s="344" t="n">
        <x:v>60</x:v>
      </x:c>
      <x:c r="U161" s="344" t="n">
        <x:v>80</x:v>
      </x:c>
      <x:c r="V161" s="373" t="n">
        <x:v>100</x:v>
      </x:c>
      <x:c r="W161" s="373" t="n">
        <x:v>80</x:v>
      </x:c>
      <x:c r="X161" s="373" t="n">
        <x:v>80</x:v>
      </x:c>
      <x:c r="Y161" s="373" t="n">
        <x:v>80</x:v>
      </x:c>
      <x:c r="Z161" s="373" t="n">
        <x:v>80</x:v>
      </x:c>
      <x:c r="AA161" s="374"/>
      <x:c r="AB161" s="344" t="n">
        <x:f>IF(COUNT(D161:AA161)=0,"",AVERAGE(D161:AA161))</x:f>
        <x:v>89.56521739130434</x:v>
      </x:c>
    </x:row>
    <x:row r="162">
      <x:c r="A162" s="52" t="str">
        <x:v>SELF-2</x:v>
      </x:c>
      <x:c r="B162" s="53" t="str">
        <x:v>САМОПРОВЕРКА И ИСПРАВЛЕНИЕ СОБСТВЕННОГО РЕШЕНИЯ</x:v>
      </x:c>
      <x:c r="C162" s="53"/>
      <x:c r="D162" s="344" t="n">
        <x:v>100</x:v>
      </x:c>
      <x:c r="E162" s="344" t="n">
        <x:v>100</x:v>
      </x:c>
      <x:c r="F162" s="344" t="n">
        <x:v>100</x:v>
      </x:c>
      <x:c r="G162" s="344" t="n">
        <x:v>100</x:v>
      </x:c>
      <x:c r="H162" s="344" t="n">
        <x:v>100</x:v>
      </x:c>
      <x:c r="I162" s="344" t="n">
        <x:v>100</x:v>
      </x:c>
      <x:c r="J162" s="344" t="n">
        <x:v>100</x:v>
      </x:c>
      <x:c r="K162" s="344" t="n">
        <x:v>100</x:v>
      </x:c>
      <x:c r="L162" s="344" t="n">
        <x:v>100</x:v>
      </x:c>
      <x:c r="M162" s="344" t="n">
        <x:v>100</x:v>
      </x:c>
      <x:c r="N162" s="344" t="n">
        <x:v>100</x:v>
      </x:c>
      <x:c r="O162" s="344" t="n">
        <x:v>100</x:v>
      </x:c>
      <x:c r="P162" s="344" t="n">
        <x:v>100</x:v>
      </x:c>
      <x:c r="Q162" s="344" t="n">
        <x:v>100</x:v>
      </x:c>
      <x:c r="R162" s="344" t="n">
        <x:v>100</x:v>
      </x:c>
      <x:c r="S162" s="344" t="n">
        <x:v>100</x:v>
      </x:c>
      <x:c r="T162" s="344" t="n">
        <x:v>100</x:v>
      </x:c>
      <x:c r="U162" s="344" t="n">
        <x:v>100</x:v>
      </x:c>
      <x:c r="V162" s="373" t="n">
        <x:v>100</x:v>
      </x:c>
      <x:c r="W162" s="373" t="n">
        <x:v>100</x:v>
      </x:c>
      <x:c r="X162" s="373" t="n">
        <x:v>80</x:v>
      </x:c>
      <x:c r="Y162" s="373" t="n">
        <x:v>80</x:v>
      </x:c>
      <x:c r="Z162" s="373" t="n">
        <x:v>80</x:v>
      </x:c>
      <x:c r="AA162" s="374"/>
      <x:c r="AB162" s="344" t="n">
        <x:f>IF(COUNT(D162:AA162)=0,"",AVERAGE(D162:AA162))</x:f>
        <x:v>97.3913043478261</x:v>
      </x:c>
    </x:row>
    <x:row r="163">
      <x:c r="A163" s="52" t="str">
        <x:v>DIAG-1</x:v>
      </x:c>
      <x:c r="B163" s="53" t="str">
        <x:v>ПРАКТИЧЕСКАЯ СИСТЕМНАЯ ДИАГНОСТИКА</x:v>
      </x:c>
      <x:c r="C163" s="53" t="str">
        <x:v>Медленный API</x:v>
      </x:c>
      <x:c r="D163" s="344" t="n">
        <x:v>100</x:v>
      </x:c>
      <x:c r="E163" s="344" t="n">
        <x:v>100</x:v>
      </x:c>
      <x:c r="F163" s="344" t="n">
        <x:v>100</x:v>
      </x:c>
      <x:c r="G163" s="344" t="n">
        <x:v>100</x:v>
      </x:c>
      <x:c r="H163" s="344" t="n">
        <x:v>100</x:v>
      </x:c>
      <x:c r="I163" s="344" t="n">
        <x:v>100</x:v>
      </x:c>
      <x:c r="J163" s="344" t="n">
        <x:v>100</x:v>
      </x:c>
      <x:c r="K163" s="344" t="n">
        <x:v>100</x:v>
      </x:c>
      <x:c r="L163" s="344" t="n">
        <x:v>100</x:v>
      </x:c>
      <x:c r="M163" s="344" t="n">
        <x:v>100</x:v>
      </x:c>
      <x:c r="N163" s="344" t="n">
        <x:v>100</x:v>
      </x:c>
      <x:c r="O163" s="344" t="n">
        <x:v>100</x:v>
      </x:c>
      <x:c r="P163" s="344" t="n">
        <x:v>100</x:v>
      </x:c>
      <x:c r="Q163" s="344" t="n">
        <x:v>100</x:v>
      </x:c>
      <x:c r="R163" s="344" t="n">
        <x:v>80</x:v>
      </x:c>
      <x:c r="S163" s="344" t="n">
        <x:v>80</x:v>
      </x:c>
      <x:c r="T163" s="344" t="n">
        <x:v>70</x:v>
      </x:c>
      <x:c r="U163" s="344" t="n">
        <x:v>80</x:v>
      </x:c>
      <x:c r="V163" s="373" t="n">
        <x:v>80</x:v>
      </x:c>
      <x:c r="W163" s="373" t="n">
        <x:v>80</x:v>
      </x:c>
      <x:c r="X163" s="373" t="n">
        <x:v>100</x:v>
      </x:c>
      <x:c r="Y163" s="373" t="n">
        <x:v>100</x:v>
      </x:c>
      <x:c r="Z163" s="373" t="n">
        <x:v>60</x:v>
      </x:c>
      <x:c r="AA163" s="374"/>
      <x:c r="AB163" s="344" t="n">
        <x:f>IF(COUNT(D163:AA163)=0,"",AVERAGE(D163:AA163))</x:f>
        <x:v>92.6086956521739</x:v>
      </x:c>
    </x:row>
    <x:row r="164">
      <x:c r="A164" s="52" t="str">
        <x:v>DIAG-2</x:v>
      </x:c>
      <x:c r="B164" s="53" t="str">
        <x:v>ПРАКТИЧЕСКАЯ СИСТЕМНАЯ ДИАГНОСТИКА</x:v>
      </x:c>
      <x:c r="C164" s="53" t="str">
        <x:v>Docker</x:v>
      </x:c>
      <x:c r="D164" s="344" t="n">
        <x:v>100</x:v>
      </x:c>
      <x:c r="E164" s="344" t="n">
        <x:v>100</x:v>
      </x:c>
      <x:c r="F164" s="344" t="n">
        <x:v>100</x:v>
      </x:c>
      <x:c r="G164" s="344" t="n">
        <x:v>100</x:v>
      </x:c>
      <x:c r="H164" s="344" t="n">
        <x:v>100</x:v>
      </x:c>
      <x:c r="I164" s="344" t="n">
        <x:v>100</x:v>
      </x:c>
      <x:c r="J164" s="344" t="n">
        <x:v>100</x:v>
      </x:c>
      <x:c r="K164" s="344" t="n">
        <x:v>100</x:v>
      </x:c>
      <x:c r="L164" s="344" t="n">
        <x:v>100</x:v>
      </x:c>
      <x:c r="M164" s="344" t="n">
        <x:v>100</x:v>
      </x:c>
      <x:c r="N164" s="344" t="n">
        <x:v>100</x:v>
      </x:c>
      <x:c r="O164" s="344" t="n">
        <x:v>100</x:v>
      </x:c>
      <x:c r="P164" s="344" t="n">
        <x:v>100</x:v>
      </x:c>
      <x:c r="Q164" s="344" t="n">
        <x:v>100</x:v>
      </x:c>
      <x:c r="R164" s="344" t="n">
        <x:v>100</x:v>
      </x:c>
      <x:c r="S164" s="344" t="n">
        <x:v>100</x:v>
      </x:c>
      <x:c r="T164" s="344" t="n">
        <x:v>100</x:v>
      </x:c>
      <x:c r="U164" s="344" t="n">
        <x:v>100</x:v>
      </x:c>
      <x:c r="V164" s="373" t="n">
        <x:v>100</x:v>
      </x:c>
      <x:c r="W164" s="373" t="n">
        <x:v>80</x:v>
      </x:c>
      <x:c r="X164" s="373" t="n">
        <x:v>80</x:v>
      </x:c>
      <x:c r="Y164" s="373" t="n">
        <x:v>80</x:v>
      </x:c>
      <x:c r="Z164" s="373" t="n">
        <x:v>80</x:v>
      </x:c>
      <x:c r="AA164" s="374"/>
      <x:c r="AB164" s="344" t="n">
        <x:f>IF(COUNT(D164:AA164)=0,"",AVERAGE(D164:AA164))</x:f>
        <x:v>96.52173913043478</x:v>
      </x:c>
    </x:row>
    <x:row r="165">
      <x:c r="A165" s="52" t="str">
        <x:v>DIAG-3</x:v>
      </x:c>
      <x:c r="B165" s="53" t="str">
        <x:v>ПРАКТИЧЕСКАЯ СИСТЕМНАЯ ДИАГНОСТИКА</x:v>
      </x:c>
      <x:c r="C165" s="53" t="str">
        <x:v>DNS</x:v>
      </x:c>
      <x:c r="D165" s="344" t="n">
        <x:v>100</x:v>
      </x:c>
      <x:c r="E165" s="344" t="n">
        <x:v>100</x:v>
      </x:c>
      <x:c r="F165" s="344" t="n">
        <x:v>100</x:v>
      </x:c>
      <x:c r="G165" s="344" t="n">
        <x:v>100</x:v>
      </x:c>
      <x:c r="H165" s="344" t="n">
        <x:v>100</x:v>
      </x:c>
      <x:c r="I165" s="344" t="n">
        <x:v>85</x:v>
      </x:c>
      <x:c r="J165" s="344" t="n">
        <x:v>100</x:v>
      </x:c>
      <x:c r="K165" s="344" t="n">
        <x:v>80</x:v>
      </x:c>
      <x:c r="L165" s="344" t="n">
        <x:v>100</x:v>
      </x:c>
      <x:c r="M165" s="344" t="n">
        <x:v>90</x:v>
      </x:c>
      <x:c r="N165" s="344" t="n">
        <x:v>100</x:v>
      </x:c>
      <x:c r="O165" s="344" t="n">
        <x:v>60</x:v>
      </x:c>
      <x:c r="P165" s="344" t="n">
        <x:v>60</x:v>
      </x:c>
      <x:c r="Q165" s="344" t="n">
        <x:v>80</x:v>
      </x:c>
      <x:c r="R165" s="344" t="n">
        <x:v>70</x:v>
      </x:c>
      <x:c r="S165" s="344" t="n">
        <x:v>60</x:v>
      </x:c>
      <x:c r="T165" s="344" t="n">
        <x:v>70</x:v>
      </x:c>
      <x:c r="U165" s="344" t="n">
        <x:v>80</x:v>
      </x:c>
      <x:c r="V165" s="373" t="n">
        <x:v>80</x:v>
      </x:c>
      <x:c r="W165" s="373" t="n">
        <x:v>40</x:v>
      </x:c>
      <x:c r="X165" s="373" t="n">
        <x:v>80</x:v>
      </x:c>
      <x:c r="Y165" s="373" t="n">
        <x:v>80</x:v>
      </x:c>
      <x:c r="Z165" s="373" t="n">
        <x:v>40</x:v>
      </x:c>
      <x:c r="AA165" s="374"/>
      <x:c r="AB165" s="344" t="n">
        <x:f>IF(COUNT(D165:AA165)=0,"",AVERAGE(D165:AA165))</x:f>
        <x:v>80.65217391304348</x:v>
      </x:c>
    </x:row>
    <x:row r="166">
      <x:c r="A166" s="52" t="str">
        <x:v>DIAG-4</x:v>
      </x:c>
      <x:c r="B166" s="53" t="str">
        <x:v>ПРАКТИЧЕСКАЯ СИСТЕМНАЯ ДИАГНОСТИКА</x:v>
      </x:c>
      <x:c r="C166" s="53" t="str">
        <x:v>Linux permissions</x:v>
      </x:c>
      <x:c r="D166" s="344" t="n">
        <x:v>100</x:v>
      </x:c>
      <x:c r="E166" s="344" t="n">
        <x:v>100</x:v>
      </x:c>
      <x:c r="F166" s="344" t="n">
        <x:v>100</x:v>
      </x:c>
      <x:c r="G166" s="344" t="n">
        <x:v>100</x:v>
      </x:c>
      <x:c r="H166" s="344" t="n">
        <x:v>100</x:v>
      </x:c>
      <x:c r="I166" s="344" t="n">
        <x:v>100</x:v>
      </x:c>
      <x:c r="J166" s="344" t="n">
        <x:v>100</x:v>
      </x:c>
      <x:c r="K166" s="344" t="n">
        <x:v>100</x:v>
      </x:c>
      <x:c r="L166" s="344" t="n">
        <x:v>100</x:v>
      </x:c>
      <x:c r="M166" s="344" t="n">
        <x:v>100</x:v>
      </x:c>
      <x:c r="N166" s="344" t="n">
        <x:v>100</x:v>
      </x:c>
      <x:c r="O166" s="344" t="n">
        <x:v>100</x:v>
      </x:c>
      <x:c r="P166" s="344" t="n">
        <x:v>60</x:v>
      </x:c>
      <x:c r="Q166" s="344" t="n">
        <x:v>100</x:v>
      </x:c>
      <x:c r="R166" s="344" t="n">
        <x:v>80</x:v>
      </x:c>
      <x:c r="S166" s="344" t="n">
        <x:v>80</x:v>
      </x:c>
      <x:c r="T166" s="344" t="n">
        <x:v>100</x:v>
      </x:c>
      <x:c r="U166" s="344" t="n">
        <x:v>80</x:v>
      </x:c>
      <x:c r="V166" s="373" t="n">
        <x:v>60</x:v>
      </x:c>
      <x:c r="W166" s="373" t="n">
        <x:v>40</x:v>
      </x:c>
      <x:c r="X166" s="373" t="n">
        <x:v>100</x:v>
      </x:c>
      <x:c r="Y166" s="373" t="n">
        <x:v>100</x:v>
      </x:c>
      <x:c r="Z166" s="373" t="n">
        <x:v>60</x:v>
      </x:c>
      <x:c r="AA166" s="374"/>
      <x:c r="AB166" s="344" t="n">
        <x:f>IF(COUNT(D166:AA166)=0,"",AVERAGE(D166:AA166))</x:f>
        <x:v>89.56521739130434</x:v>
      </x:c>
    </x:row>
    <x:row r="167">
      <x:c r="A167" s="52" t="str">
        <x:v>SYS-1</x:v>
      </x:c>
      <x:c r="B167" s="53" t="str">
        <x:v>ПРОЕКТИРОВАНИЕ НЕБОЛЬШОЙ СИСТЕМЫ</x:v>
      </x:c>
      <x:c r="C167" s="53"/>
      <x:c r="D167" s="344" t="n">
        <x:v>100</x:v>
      </x:c>
      <x:c r="E167" s="344" t="n">
        <x:v>100</x:v>
      </x:c>
      <x:c r="F167" s="344" t="n">
        <x:v>100</x:v>
      </x:c>
      <x:c r="G167" s="344" t="n">
        <x:v>100</x:v>
      </x:c>
      <x:c r="H167" s="344" t="n">
        <x:v>100</x:v>
      </x:c>
      <x:c r="I167" s="344" t="n">
        <x:v>90</x:v>
      </x:c>
      <x:c r="J167" s="344" t="n">
        <x:v>80</x:v>
      </x:c>
      <x:c r="K167" s="344" t="n">
        <x:v>80</x:v>
      </x:c>
      <x:c r="L167" s="344" t="n">
        <x:v>100</x:v>
      </x:c>
      <x:c r="M167" s="344" t="n">
        <x:v>80</x:v>
      </x:c>
      <x:c r="N167" s="344" t="n">
        <x:v>85</x:v>
      </x:c>
      <x:c r="O167" s="344" t="n">
        <x:v>40</x:v>
      </x:c>
      <x:c r="P167" s="344" t="n">
        <x:v>40</x:v>
      </x:c>
      <x:c r="Q167" s="344"/>
      <x:c r="R167" s="344" t="n">
        <x:v>60</x:v>
      </x:c>
      <x:c r="S167" s="344" t="n">
        <x:v>60</x:v>
      </x:c>
      <x:c r="T167" s="344" t="n">
        <x:v>50</x:v>
      </x:c>
      <x:c r="U167" s="344" t="n">
        <x:v>40</x:v>
      </x:c>
      <x:c r="V167" s="373" t="n">
        <x:v>60</x:v>
      </x:c>
      <x:c r="W167" s="373" t="n">
        <x:v>40</x:v>
      </x:c>
      <x:c r="X167" s="373" t="n">
        <x:v>60</x:v>
      </x:c>
      <x:c r="Y167" s="373"/>
      <x:c r="Z167" s="373" t="n">
        <x:v>80</x:v>
      </x:c>
      <x:c r="AA167" s="374"/>
      <x:c r="AB167" s="344" t="n">
        <x:f>IF(COUNT(D167:AA167)=0,"",AVERAGE(D167:AA167))</x:f>
        <x:v>73.57142857142857</x:v>
      </x:c>
    </x:row>
    <x:row r="168">
      <x:c r="A168" s="52" t="str">
        <x:v>INST-1</x:v>
      </x:c>
      <x:c r="B168" s="53" t="str">
        <x:v>ФИНАЛЬНАЯ ПРОВЕРКА СЛЕДОВАНИЯ ИНСТРУКЦИЯМ</x:v>
      </x:c>
      <x:c r="C168" s="53"/>
      <x:c r="D168" s="344" t="n">
        <x:v>100</x:v>
      </x:c>
      <x:c r="E168" s="344" t="n">
        <x:v>100</x:v>
      </x:c>
      <x:c r="F168" s="344" t="n">
        <x:v>100</x:v>
      </x:c>
      <x:c r="G168" s="344" t="n">
        <x:v>100</x:v>
      </x:c>
      <x:c r="H168" s="344" t="n">
        <x:v>100</x:v>
      </x:c>
      <x:c r="I168" s="344" t="n">
        <x:v>100</x:v>
      </x:c>
      <x:c r="J168" s="344" t="n">
        <x:v>100</x:v>
      </x:c>
      <x:c r="K168" s="344" t="n">
        <x:v>100</x:v>
      </x:c>
      <x:c r="L168" s="344" t="n">
        <x:v>100</x:v>
      </x:c>
      <x:c r="M168" s="344" t="n">
        <x:v>100</x:v>
      </x:c>
      <x:c r="N168" s="344" t="n">
        <x:v>100</x:v>
      </x:c>
      <x:c r="O168" s="344" t="n">
        <x:v>100</x:v>
      </x:c>
      <x:c r="P168" s="344" t="n">
        <x:v>100</x:v>
      </x:c>
      <x:c r="Q168" s="344" t="n">
        <x:v>100</x:v>
      </x:c>
      <x:c r="R168" s="344" t="n">
        <x:v>80</x:v>
      </x:c>
      <x:c r="S168" s="344" t="n">
        <x:v>100</x:v>
      </x:c>
      <x:c r="T168" s="344" t="n">
        <x:v>100</x:v>
      </x:c>
      <x:c r="U168" s="344" t="n">
        <x:v>100</x:v>
      </x:c>
      <x:c r="V168" s="373" t="n">
        <x:v>60</x:v>
      </x:c>
      <x:c r="W168" s="373" t="n">
        <x:v>100</x:v>
      </x:c>
      <x:c r="X168" s="373" t="n">
        <x:v>40</x:v>
      </x:c>
      <x:c r="Y168" s="373" t="n">
        <x:v>40</x:v>
      </x:c>
      <x:c r="Z168" s="373" t="n">
        <x:v>40</x:v>
      </x:c>
      <x:c r="AA168" s="374" t="n">
        <x:v>20</x:v>
      </x:c>
      <x:c r="AB168" s="344" t="n">
        <x:f>IF(COUNT(D168:AA168)=0,"",AVERAGE(D168:AA168))</x:f>
        <x:v>86.66666666666667</x:v>
      </x:c>
    </x:row>
    <x:row r="169">
      <x:c r="A169" s="52" t="str">
        <x:v>INST-2</x:v>
      </x:c>
      <x:c r="B169" s="53" t="str">
        <x:v>ФИНАЛЬНАЯ ПРОВЕРКА СЛЕДОВАНИЯ ИНСТРУКЦИЯМ</x:v>
      </x:c>
      <x:c r="C169" s="53"/>
      <x:c r="D169" s="344" t="n">
        <x:v>100</x:v>
      </x:c>
      <x:c r="E169" s="344" t="n">
        <x:v>100</x:v>
      </x:c>
      <x:c r="F169" s="344" t="n">
        <x:v>100</x:v>
      </x:c>
      <x:c r="G169" s="344" t="n">
        <x:v>90</x:v>
      </x:c>
      <x:c r="H169" s="344" t="n">
        <x:v>100</x:v>
      </x:c>
      <x:c r="I169" s="344" t="n">
        <x:v>80</x:v>
      </x:c>
      <x:c r="J169" s="344" t="n">
        <x:v>60</x:v>
      </x:c>
      <x:c r="K169" s="344" t="n">
        <x:v>100</x:v>
      </x:c>
      <x:c r="L169" s="344" t="n">
        <x:v>80</x:v>
      </x:c>
      <x:c r="M169" s="344" t="n">
        <x:v>80</x:v>
      </x:c>
      <x:c r="N169" s="344" t="n">
        <x:v>100</x:v>
      </x:c>
      <x:c r="O169" s="344" t="n">
        <x:v>80</x:v>
      </x:c>
      <x:c r="P169" s="344" t="n">
        <x:v>100</x:v>
      </x:c>
      <x:c r="Q169" s="344" t="n">
        <x:v>100</x:v>
      </x:c>
      <x:c r="R169" s="344" t="n">
        <x:v>80</x:v>
      </x:c>
      <x:c r="S169" s="344" t="n">
        <x:v>100</x:v>
      </x:c>
      <x:c r="T169" s="344" t="n">
        <x:v>80</x:v>
      </x:c>
      <x:c r="U169" s="344" t="n">
        <x:v>100</x:v>
      </x:c>
      <x:c r="V169" s="373" t="n">
        <x:v>100</x:v>
      </x:c>
      <x:c r="W169" s="373" t="n">
        <x:v>100</x:v>
      </x:c>
      <x:c r="X169" s="373" t="n">
        <x:v>80</x:v>
      </x:c>
      <x:c r="Y169" s="373" t="n">
        <x:v>40</x:v>
      </x:c>
      <x:c r="Z169" s="373" t="n">
        <x:v>80</x:v>
      </x:c>
      <x:c r="AA169" s="374" t="n">
        <x:v>40</x:v>
      </x:c>
      <x:c r="AB169" s="344" t="n">
        <x:f>IF(COUNT(D169:AA169)=0,"",AVERAGE(D169:AA169))</x:f>
        <x:v>86.25</x:v>
      </x:c>
    </x:row>
    <x:row r="170">
      <x:c r="A170" s="52" t="str">
        <x:v>INST-3</x:v>
      </x:c>
      <x:c r="B170" s="53" t="str">
        <x:v>ФИНАЛЬНАЯ ПРОВЕРКА СЛЕДОВАНИЯ ИНСТРУКЦИЯМ</x:v>
      </x:c>
      <x:c r="C170" s="53"/>
      <x:c r="D170" s="344" t="n">
        <x:v>100</x:v>
      </x:c>
      <x:c r="E170" s="344" t="n">
        <x:v>100</x:v>
      </x:c>
      <x:c r="F170" s="344" t="n">
        <x:v>100</x:v>
      </x:c>
      <x:c r="G170" s="344" t="n">
        <x:v>100</x:v>
      </x:c>
      <x:c r="H170" s="344" t="n">
        <x:v>100</x:v>
      </x:c>
      <x:c r="I170" s="344" t="n">
        <x:v>100</x:v>
      </x:c>
      <x:c r="J170" s="344" t="n">
        <x:v>100</x:v>
      </x:c>
      <x:c r="K170" s="344" t="n">
        <x:v>100</x:v>
      </x:c>
      <x:c r="L170" s="344" t="n">
        <x:v>100</x:v>
      </x:c>
      <x:c r="M170" s="344" t="n">
        <x:v>100</x:v>
      </x:c>
      <x:c r="N170" s="344" t="n">
        <x:v>100</x:v>
      </x:c>
      <x:c r="O170" s="344" t="n">
        <x:v>20</x:v>
      </x:c>
      <x:c r="P170" s="344" t="n">
        <x:v>100</x:v>
      </x:c>
      <x:c r="Q170" s="344" t="n">
        <x:v>100</x:v>
      </x:c>
      <x:c r="R170" s="344" t="n">
        <x:v>100</x:v>
      </x:c>
      <x:c r="S170" s="344" t="n">
        <x:v>100</x:v>
      </x:c>
      <x:c r="T170" s="344" t="n">
        <x:v>100</x:v>
      </x:c>
      <x:c r="U170" s="344" t="n">
        <x:v>0</x:v>
      </x:c>
      <x:c r="V170" s="373" t="n">
        <x:v>100</x:v>
      </x:c>
      <x:c r="W170" s="373" t="n">
        <x:v>100</x:v>
      </x:c>
      <x:c r="X170" s="373" t="n">
        <x:v>100</x:v>
      </x:c>
      <x:c r="Y170" s="373" t="n">
        <x:v>20</x:v>
      </x:c>
      <x:c r="Z170" s="373" t="n">
        <x:v>100</x:v>
      </x:c>
      <x:c r="AA170" s="374" t="n">
        <x:v>20</x:v>
      </x:c>
      <x:c r="AB170" s="344" t="n">
        <x:f>IF(COUNT(D170:AA170)=0,"",AVERAGE(D170:AA170))</x:f>
        <x:v>85.83333333333333</x:v>
      </x:c>
    </x:row>
    <x:row r="171">
      <x:c r="A171" s="55" t="str">
        <x:v>INST-4</x:v>
      </x:c>
      <x:c r="B171" s="56" t="str">
        <x:v>ФИНАЛЬНАЯ ПРОВЕРКА СЛЕДОВАНИЯ ИНСТРУКЦИЯМ</x:v>
      </x:c>
      <x:c r="C171" s="56"/>
      <x:c r="D171" s="345" t="n">
        <x:v>80</x:v>
      </x:c>
      <x:c r="E171" s="345" t="n">
        <x:v>80</x:v>
      </x:c>
      <x:c r="F171" s="345" t="n">
        <x:v>100</x:v>
      </x:c>
      <x:c r="G171" s="345" t="n">
        <x:v>80</x:v>
      </x:c>
      <x:c r="H171" s="345" t="n">
        <x:v>80</x:v>
      </x:c>
      <x:c r="I171" s="345" t="n">
        <x:v>100</x:v>
      </x:c>
      <x:c r="J171" s="345" t="n">
        <x:v>100</x:v>
      </x:c>
      <x:c r="K171" s="345" t="n">
        <x:v>60</x:v>
      </x:c>
      <x:c r="L171" s="345" t="n">
        <x:v>80</x:v>
      </x:c>
      <x:c r="M171" s="345" t="n">
        <x:v>80</x:v>
      </x:c>
      <x:c r="N171" s="345" t="n">
        <x:v>20</x:v>
      </x:c>
      <x:c r="O171" s="345" t="n">
        <x:v>40</x:v>
      </x:c>
      <x:c r="P171" s="345" t="n">
        <x:v>80</x:v>
      </x:c>
      <x:c r="Q171" s="345" t="n">
        <x:v>100</x:v>
      </x:c>
      <x:c r="R171" s="345" t="n">
        <x:v>40</x:v>
      </x:c>
      <x:c r="S171" s="345" t="n">
        <x:v>60</x:v>
      </x:c>
      <x:c r="T171" s="345" t="n">
        <x:v>40</x:v>
      </x:c>
      <x:c r="U171" s="345" t="n">
        <x:v>100</x:v>
      </x:c>
      <x:c r="V171" s="375" t="n">
        <x:v>100</x:v>
      </x:c>
      <x:c r="W171" s="375" t="n">
        <x:v>100</x:v>
      </x:c>
      <x:c r="X171" s="375" t="n">
        <x:v>80</x:v>
      </x:c>
      <x:c r="Y171" s="375" t="n">
        <x:v>80</x:v>
      </x:c>
      <x:c r="Z171" s="375" t="n">
        <x:v>80</x:v>
      </x:c>
      <x:c r="AA171" s="376" t="n">
        <x:v>80</x:v>
      </x:c>
      <x:c r="AB171" s="345" t="n">
        <x:f>IF(COUNT(D171:AA171)=0,"",AVERAGE(D171:AA171))</x:f>
        <x:v>76.66666666666667</x:v>
      </x:c>
    </x:row>
  </x:sheetData>
  <x:conditionalFormatting sqref="D2:D171">
    <x:cfRule type="expression" dxfId="0" priority="1">
      <x:formula>AND(ISNUMBER(D2),D2=100)</x:formula>
    </x:cfRule>
    <x:cfRule type="expression" dxfId="1" priority="2">
      <x:formula>AND(ISNUMBER(D2),D2&gt;=90,D2&lt;100)</x:formula>
    </x:cfRule>
    <x:cfRule type="expression" dxfId="2" priority="3">
      <x:formula>AND(ISNUMBER(D2),D2&gt;=80,D2&lt;90)</x:formula>
    </x:cfRule>
    <x:cfRule type="expression" dxfId="3" priority="4">
      <x:formula>AND(ISNUMBER(D2),D2&gt;=70,D2&lt;80)</x:formula>
    </x:cfRule>
    <x:cfRule type="expression" dxfId="4" priority="5">
      <x:formula>AND(ISNUMBER(D2),D2&gt;=60,D2&lt;70)</x:formula>
    </x:cfRule>
    <x:cfRule type="expression" dxfId="5" priority="6">
      <x:formula>AND(ISNUMBER(D2),D2&gt;=50,D2&lt;60)</x:formula>
    </x:cfRule>
    <x:cfRule type="expression" dxfId="6" priority="7">
      <x:formula>AND(ISNUMBER(D2),D2&gt;=40,D2&lt;50)</x:formula>
    </x:cfRule>
    <x:cfRule type="expression" dxfId="7" priority="8">
      <x:formula>AND(ISNUMBER(D2),D2&gt;=20,D2&lt;40)</x:formula>
    </x:cfRule>
    <x:cfRule type="expression" dxfId="8" priority="9">
      <x:formula>AND(ISNUMBER(D2),D2&lt;20)</x:formula>
    </x:cfRule>
  </x:conditionalFormatting>
  <x:conditionalFormatting sqref="F2:F171">
    <x:cfRule type="expression" dxfId="9" priority="10">
      <x:formula>AND(ISNUMBER(F2),F2=100)</x:formula>
    </x:cfRule>
    <x:cfRule type="expression" dxfId="10" priority="11">
      <x:formula>AND(ISNUMBER(F2),F2&gt;=90,F2&lt;100)</x:formula>
    </x:cfRule>
    <x:cfRule type="expression" dxfId="11" priority="12">
      <x:formula>AND(ISNUMBER(F2),F2&gt;=80,F2&lt;90)</x:formula>
    </x:cfRule>
    <x:cfRule type="expression" dxfId="12" priority="13">
      <x:formula>AND(ISNUMBER(F2),F2&gt;=70,F2&lt;80)</x:formula>
    </x:cfRule>
    <x:cfRule type="expression" dxfId="13" priority="14">
      <x:formula>AND(ISNUMBER(F2),F2&gt;=60,F2&lt;70)</x:formula>
    </x:cfRule>
    <x:cfRule type="expression" dxfId="14" priority="15">
      <x:formula>AND(ISNUMBER(F2),F2&gt;=50,F2&lt;60)</x:formula>
    </x:cfRule>
    <x:cfRule type="expression" dxfId="15" priority="16">
      <x:formula>AND(ISNUMBER(F2),F2&gt;=40,F2&lt;50)</x:formula>
    </x:cfRule>
    <x:cfRule type="expression" dxfId="16" priority="17">
      <x:formula>AND(ISNUMBER(F2),F2&gt;=20,F2&lt;40)</x:formula>
    </x:cfRule>
    <x:cfRule type="expression" dxfId="17" priority="18">
      <x:formula>AND(ISNUMBER(F2),F2&lt;20)</x:formula>
    </x:cfRule>
  </x:conditionalFormatting>
  <x:conditionalFormatting sqref="G2:G171">
    <x:cfRule type="expression" dxfId="18" priority="19">
      <x:formula>AND(ISNUMBER(G2),G2=100)</x:formula>
    </x:cfRule>
    <x:cfRule type="expression" dxfId="19" priority="20">
      <x:formula>AND(ISNUMBER(G2),G2&gt;=90,G2&lt;100)</x:formula>
    </x:cfRule>
    <x:cfRule type="expression" dxfId="20" priority="21">
      <x:formula>AND(ISNUMBER(G2),G2&gt;=80,G2&lt;90)</x:formula>
    </x:cfRule>
    <x:cfRule type="expression" dxfId="21" priority="22">
      <x:formula>AND(ISNUMBER(G2),G2&gt;=70,G2&lt;80)</x:formula>
    </x:cfRule>
    <x:cfRule type="expression" dxfId="22" priority="23">
      <x:formula>AND(ISNUMBER(G2),G2&gt;=60,G2&lt;70)</x:formula>
    </x:cfRule>
    <x:cfRule type="expression" dxfId="23" priority="24">
      <x:formula>AND(ISNUMBER(G2),G2&gt;=50,G2&lt;60)</x:formula>
    </x:cfRule>
    <x:cfRule type="expression" dxfId="24" priority="25">
      <x:formula>AND(ISNUMBER(G2),G2&gt;=40,G2&lt;50)</x:formula>
    </x:cfRule>
    <x:cfRule type="expression" dxfId="25" priority="26">
      <x:formula>AND(ISNUMBER(G2),G2&gt;=20,G2&lt;40)</x:formula>
    </x:cfRule>
    <x:cfRule type="expression" dxfId="26" priority="27">
      <x:formula>AND(ISNUMBER(G2),G2&lt;20)</x:formula>
    </x:cfRule>
  </x:conditionalFormatting>
  <x:conditionalFormatting sqref="H2:H171">
    <x:cfRule type="expression" dxfId="27" priority="28">
      <x:formula>AND(ISNUMBER(H2),H2=100)</x:formula>
    </x:cfRule>
    <x:cfRule type="expression" dxfId="28" priority="29">
      <x:formula>AND(ISNUMBER(H2),H2&gt;=90,H2&lt;100)</x:formula>
    </x:cfRule>
    <x:cfRule type="expression" dxfId="29" priority="30">
      <x:formula>AND(ISNUMBER(H2),H2&gt;=80,H2&lt;90)</x:formula>
    </x:cfRule>
    <x:cfRule type="expression" dxfId="30" priority="31">
      <x:formula>AND(ISNUMBER(H2),H2&gt;=70,H2&lt;80)</x:formula>
    </x:cfRule>
    <x:cfRule type="expression" dxfId="31" priority="32">
      <x:formula>AND(ISNUMBER(H2),H2&gt;=60,H2&lt;70)</x:formula>
    </x:cfRule>
    <x:cfRule type="expression" dxfId="32" priority="33">
      <x:formula>AND(ISNUMBER(H2),H2&gt;=50,H2&lt;60)</x:formula>
    </x:cfRule>
    <x:cfRule type="expression" dxfId="33" priority="34">
      <x:formula>AND(ISNUMBER(H2),H2&gt;=40,H2&lt;50)</x:formula>
    </x:cfRule>
    <x:cfRule type="expression" dxfId="34" priority="35">
      <x:formula>AND(ISNUMBER(H2),H2&gt;=20,H2&lt;40)</x:formula>
    </x:cfRule>
    <x:cfRule type="expression" dxfId="35" priority="36">
      <x:formula>AND(ISNUMBER(H2),H2&lt;20)</x:formula>
    </x:cfRule>
  </x:conditionalFormatting>
  <x:conditionalFormatting sqref="I2:I171">
    <x:cfRule type="expression" dxfId="36" priority="37">
      <x:formula>AND(ISNUMBER(I2),I2=100)</x:formula>
    </x:cfRule>
    <x:cfRule type="expression" dxfId="37" priority="38">
      <x:formula>AND(ISNUMBER(I2),I2&gt;=90,I2&lt;100)</x:formula>
    </x:cfRule>
    <x:cfRule type="expression" dxfId="38" priority="39">
      <x:formula>AND(ISNUMBER(I2),I2&gt;=80,I2&lt;90)</x:formula>
    </x:cfRule>
    <x:cfRule type="expression" dxfId="39" priority="40">
      <x:formula>AND(ISNUMBER(I2),I2&gt;=70,I2&lt;80)</x:formula>
    </x:cfRule>
    <x:cfRule type="expression" dxfId="40" priority="41">
      <x:formula>AND(ISNUMBER(I2),I2&gt;=60,I2&lt;70)</x:formula>
    </x:cfRule>
    <x:cfRule type="expression" dxfId="41" priority="42">
      <x:formula>AND(ISNUMBER(I2),I2&gt;=50,I2&lt;60)</x:formula>
    </x:cfRule>
    <x:cfRule type="expression" dxfId="42" priority="43">
      <x:formula>AND(ISNUMBER(I2),I2&gt;=40,I2&lt;50)</x:formula>
    </x:cfRule>
    <x:cfRule type="expression" dxfId="43" priority="44">
      <x:formula>AND(ISNUMBER(I2),I2&gt;=20,I2&lt;40)</x:formula>
    </x:cfRule>
    <x:cfRule type="expression" dxfId="44" priority="45">
      <x:formula>AND(ISNUMBER(I2),I2&lt;20)</x:formula>
    </x:cfRule>
  </x:conditionalFormatting>
  <x:conditionalFormatting sqref="J2:J171">
    <x:cfRule type="expression" dxfId="45" priority="46">
      <x:formula>AND(ISNUMBER(J2),J2=100)</x:formula>
    </x:cfRule>
    <x:cfRule type="expression" dxfId="46" priority="47">
      <x:formula>AND(ISNUMBER(J2),J2&gt;=90,J2&lt;100)</x:formula>
    </x:cfRule>
    <x:cfRule type="expression" dxfId="47" priority="48">
      <x:formula>AND(ISNUMBER(J2),J2&gt;=80,J2&lt;90)</x:formula>
    </x:cfRule>
    <x:cfRule type="expression" dxfId="48" priority="49">
      <x:formula>AND(ISNUMBER(J2),J2&gt;=70,J2&lt;80)</x:formula>
    </x:cfRule>
    <x:cfRule type="expression" dxfId="49" priority="50">
      <x:formula>AND(ISNUMBER(J2),J2&gt;=60,J2&lt;70)</x:formula>
    </x:cfRule>
    <x:cfRule type="expression" dxfId="50" priority="51">
      <x:formula>AND(ISNUMBER(J2),J2&gt;=50,J2&lt;60)</x:formula>
    </x:cfRule>
    <x:cfRule type="expression" dxfId="51" priority="52">
      <x:formula>AND(ISNUMBER(J2),J2&gt;=40,J2&lt;50)</x:formula>
    </x:cfRule>
    <x:cfRule type="expression" dxfId="52" priority="53">
      <x:formula>AND(ISNUMBER(J2),J2&gt;=20,J2&lt;40)</x:formula>
    </x:cfRule>
    <x:cfRule type="expression" dxfId="53" priority="54">
      <x:formula>AND(ISNUMBER(J2),J2&lt;20)</x:formula>
    </x:cfRule>
  </x:conditionalFormatting>
  <x:conditionalFormatting sqref="K2:K171">
    <x:cfRule type="expression" dxfId="54" priority="55">
      <x:formula>AND(ISNUMBER(K2),K2=100)</x:formula>
    </x:cfRule>
    <x:cfRule type="expression" dxfId="55" priority="56">
      <x:formula>AND(ISNUMBER(K2),K2&gt;=90,K2&lt;100)</x:formula>
    </x:cfRule>
    <x:cfRule type="expression" dxfId="56" priority="57">
      <x:formula>AND(ISNUMBER(K2),K2&gt;=80,K2&lt;90)</x:formula>
    </x:cfRule>
    <x:cfRule type="expression" dxfId="57" priority="58">
      <x:formula>AND(ISNUMBER(K2),K2&gt;=70,K2&lt;80)</x:formula>
    </x:cfRule>
    <x:cfRule type="expression" dxfId="58" priority="59">
      <x:formula>AND(ISNUMBER(K2),K2&gt;=60,K2&lt;70)</x:formula>
    </x:cfRule>
    <x:cfRule type="expression" dxfId="59" priority="60">
      <x:formula>AND(ISNUMBER(K2),K2&gt;=50,K2&lt;60)</x:formula>
    </x:cfRule>
    <x:cfRule type="expression" dxfId="60" priority="61">
      <x:formula>AND(ISNUMBER(K2),K2&gt;=40,K2&lt;50)</x:formula>
    </x:cfRule>
    <x:cfRule type="expression" dxfId="61" priority="62">
      <x:formula>AND(ISNUMBER(K2),K2&gt;=20,K2&lt;40)</x:formula>
    </x:cfRule>
    <x:cfRule type="expression" dxfId="62" priority="63">
      <x:formula>AND(ISNUMBER(K2),K2&lt;20)</x:formula>
    </x:cfRule>
  </x:conditionalFormatting>
  <x:conditionalFormatting sqref="L2:L171">
    <x:cfRule type="expression" dxfId="63" priority="64">
      <x:formula>AND(ISNUMBER(L2),L2=100)</x:formula>
    </x:cfRule>
    <x:cfRule type="expression" dxfId="64" priority="65">
      <x:formula>AND(ISNUMBER(L2),L2&gt;=90,L2&lt;100)</x:formula>
    </x:cfRule>
    <x:cfRule type="expression" dxfId="65" priority="66">
      <x:formula>AND(ISNUMBER(L2),L2&gt;=80,L2&lt;90)</x:formula>
    </x:cfRule>
    <x:cfRule type="expression" dxfId="66" priority="67">
      <x:formula>AND(ISNUMBER(L2),L2&gt;=70,L2&lt;80)</x:formula>
    </x:cfRule>
    <x:cfRule type="expression" dxfId="67" priority="68">
      <x:formula>AND(ISNUMBER(L2),L2&gt;=60,L2&lt;70)</x:formula>
    </x:cfRule>
    <x:cfRule type="expression" dxfId="68" priority="69">
      <x:formula>AND(ISNUMBER(L2),L2&gt;=50,L2&lt;60)</x:formula>
    </x:cfRule>
    <x:cfRule type="expression" dxfId="69" priority="70">
      <x:formula>AND(ISNUMBER(L2),L2&gt;=40,L2&lt;50)</x:formula>
    </x:cfRule>
    <x:cfRule type="expression" dxfId="70" priority="71">
      <x:formula>AND(ISNUMBER(L2),L2&gt;=20,L2&lt;40)</x:formula>
    </x:cfRule>
    <x:cfRule type="expression" dxfId="71" priority="72">
      <x:formula>AND(ISNUMBER(L2),L2&lt;20)</x:formula>
    </x:cfRule>
  </x:conditionalFormatting>
  <x:conditionalFormatting sqref="M2:M171">
    <x:cfRule type="expression" dxfId="72" priority="73">
      <x:formula>AND(ISNUMBER(M2),M2=100)</x:formula>
    </x:cfRule>
    <x:cfRule type="expression" dxfId="73" priority="74">
      <x:formula>AND(ISNUMBER(M2),M2&gt;=90,M2&lt;100)</x:formula>
    </x:cfRule>
    <x:cfRule type="expression" dxfId="74" priority="75">
      <x:formula>AND(ISNUMBER(M2),M2&gt;=80,M2&lt;90)</x:formula>
    </x:cfRule>
    <x:cfRule type="expression" dxfId="75" priority="76">
      <x:formula>AND(ISNUMBER(M2),M2&gt;=70,M2&lt;80)</x:formula>
    </x:cfRule>
    <x:cfRule type="expression" dxfId="76" priority="77">
      <x:formula>AND(ISNUMBER(M2),M2&gt;=60,M2&lt;70)</x:formula>
    </x:cfRule>
    <x:cfRule type="expression" dxfId="77" priority="78">
      <x:formula>AND(ISNUMBER(M2),M2&gt;=50,M2&lt;60)</x:formula>
    </x:cfRule>
    <x:cfRule type="expression" dxfId="78" priority="79">
      <x:formula>AND(ISNUMBER(M2),M2&gt;=40,M2&lt;50)</x:formula>
    </x:cfRule>
    <x:cfRule type="expression" dxfId="79" priority="80">
      <x:formula>AND(ISNUMBER(M2),M2&gt;=20,M2&lt;40)</x:formula>
    </x:cfRule>
    <x:cfRule type="expression" dxfId="80" priority="81">
      <x:formula>AND(ISNUMBER(M2),M2&lt;20)</x:formula>
    </x:cfRule>
  </x:conditionalFormatting>
  <x:conditionalFormatting sqref="N2:N171">
    <x:cfRule type="expression" dxfId="81" priority="82">
      <x:formula>AND(ISNUMBER(N2),N2=100)</x:formula>
    </x:cfRule>
    <x:cfRule type="expression" dxfId="82" priority="83">
      <x:formula>AND(ISNUMBER(N2),N2&gt;=90,N2&lt;100)</x:formula>
    </x:cfRule>
    <x:cfRule type="expression" dxfId="83" priority="84">
      <x:formula>AND(ISNUMBER(N2),N2&gt;=80,N2&lt;90)</x:formula>
    </x:cfRule>
    <x:cfRule type="expression" dxfId="84" priority="85">
      <x:formula>AND(ISNUMBER(N2),N2&gt;=70,N2&lt;80)</x:formula>
    </x:cfRule>
    <x:cfRule type="expression" dxfId="85" priority="86">
      <x:formula>AND(ISNUMBER(N2),N2&gt;=60,N2&lt;70)</x:formula>
    </x:cfRule>
    <x:cfRule type="expression" dxfId="86" priority="87">
      <x:formula>AND(ISNUMBER(N2),N2&gt;=50,N2&lt;60)</x:formula>
    </x:cfRule>
    <x:cfRule type="expression" dxfId="87" priority="88">
      <x:formula>AND(ISNUMBER(N2),N2&gt;=40,N2&lt;50)</x:formula>
    </x:cfRule>
    <x:cfRule type="expression" dxfId="88" priority="89">
      <x:formula>AND(ISNUMBER(N2),N2&gt;=20,N2&lt;40)</x:formula>
    </x:cfRule>
    <x:cfRule type="expression" dxfId="89" priority="90">
      <x:formula>AND(ISNUMBER(N2),N2&lt;20)</x:formula>
    </x:cfRule>
  </x:conditionalFormatting>
  <x:conditionalFormatting sqref="O2:O171">
    <x:cfRule type="expression" dxfId="90" priority="91">
      <x:formula>AND(ISNUMBER(O2),O2=100)</x:formula>
    </x:cfRule>
    <x:cfRule type="expression" dxfId="91" priority="92">
      <x:formula>AND(ISNUMBER(O2),O2&gt;=90,O2&lt;100)</x:formula>
    </x:cfRule>
    <x:cfRule type="expression" dxfId="92" priority="93">
      <x:formula>AND(ISNUMBER(O2),O2&gt;=80,O2&lt;90)</x:formula>
    </x:cfRule>
    <x:cfRule type="expression" dxfId="93" priority="94">
      <x:formula>AND(ISNUMBER(O2),O2&gt;=70,O2&lt;80)</x:formula>
    </x:cfRule>
    <x:cfRule type="expression" dxfId="94" priority="95">
      <x:formula>AND(ISNUMBER(O2),O2&gt;=60,O2&lt;70)</x:formula>
    </x:cfRule>
    <x:cfRule type="expression" dxfId="95" priority="96">
      <x:formula>AND(ISNUMBER(O2),O2&gt;=50,O2&lt;60)</x:formula>
    </x:cfRule>
    <x:cfRule type="expression" dxfId="96" priority="97">
      <x:formula>AND(ISNUMBER(O2),O2&gt;=40,O2&lt;50)</x:formula>
    </x:cfRule>
    <x:cfRule type="expression" dxfId="97" priority="98">
      <x:formula>AND(ISNUMBER(O2),O2&gt;=20,O2&lt;40)</x:formula>
    </x:cfRule>
    <x:cfRule type="expression" dxfId="98" priority="99">
      <x:formula>AND(ISNUMBER(O2),O2&lt;20)</x:formula>
    </x:cfRule>
  </x:conditionalFormatting>
  <x:conditionalFormatting sqref="P2:P171">
    <x:cfRule type="expression" dxfId="99" priority="100">
      <x:formula>AND(ISNUMBER(P2),P2=100)</x:formula>
    </x:cfRule>
    <x:cfRule type="expression" dxfId="100" priority="101">
      <x:formula>AND(ISNUMBER(P2),P2&gt;=90,P2&lt;100)</x:formula>
    </x:cfRule>
    <x:cfRule type="expression" dxfId="101" priority="102">
      <x:formula>AND(ISNUMBER(P2),P2&gt;=80,P2&lt;90)</x:formula>
    </x:cfRule>
    <x:cfRule type="expression" dxfId="102" priority="103">
      <x:formula>AND(ISNUMBER(P2),P2&gt;=70,P2&lt;80)</x:formula>
    </x:cfRule>
    <x:cfRule type="expression" dxfId="103" priority="104">
      <x:formula>AND(ISNUMBER(P2),P2&gt;=60,P2&lt;70)</x:formula>
    </x:cfRule>
    <x:cfRule type="expression" dxfId="104" priority="105">
      <x:formula>AND(ISNUMBER(P2),P2&gt;=50,P2&lt;60)</x:formula>
    </x:cfRule>
    <x:cfRule type="expression" dxfId="105" priority="106">
      <x:formula>AND(ISNUMBER(P2),P2&gt;=40,P2&lt;50)</x:formula>
    </x:cfRule>
    <x:cfRule type="expression" dxfId="106" priority="107">
      <x:formula>AND(ISNUMBER(P2),P2&gt;=20,P2&lt;40)</x:formula>
    </x:cfRule>
    <x:cfRule type="expression" dxfId="107" priority="108">
      <x:formula>AND(ISNUMBER(P2),P2&lt;20)</x:formula>
    </x:cfRule>
  </x:conditionalFormatting>
  <x:conditionalFormatting sqref="Q2:Q171">
    <x:cfRule type="expression" dxfId="108" priority="109">
      <x:formula>AND(ISNUMBER(Q2),Q2=100)</x:formula>
    </x:cfRule>
    <x:cfRule type="expression" dxfId="109" priority="110">
      <x:formula>AND(ISNUMBER(Q2),Q2&gt;=90,Q2&lt;100)</x:formula>
    </x:cfRule>
    <x:cfRule type="expression" dxfId="110" priority="111">
      <x:formula>AND(ISNUMBER(Q2),Q2&gt;=80,Q2&lt;90)</x:formula>
    </x:cfRule>
    <x:cfRule type="expression" dxfId="111" priority="112">
      <x:formula>AND(ISNUMBER(Q2),Q2&gt;=70,Q2&lt;80)</x:formula>
    </x:cfRule>
    <x:cfRule type="expression" dxfId="112" priority="113">
      <x:formula>AND(ISNUMBER(Q2),Q2&gt;=60,Q2&lt;70)</x:formula>
    </x:cfRule>
    <x:cfRule type="expression" dxfId="113" priority="114">
      <x:formula>AND(ISNUMBER(Q2),Q2&gt;=50,Q2&lt;60)</x:formula>
    </x:cfRule>
    <x:cfRule type="expression" dxfId="114" priority="115">
      <x:formula>AND(ISNUMBER(Q2),Q2&gt;=40,Q2&lt;50)</x:formula>
    </x:cfRule>
    <x:cfRule type="expression" dxfId="115" priority="116">
      <x:formula>AND(ISNUMBER(Q2),Q2&gt;=20,Q2&lt;40)</x:formula>
    </x:cfRule>
    <x:cfRule type="expression" dxfId="116" priority="117">
      <x:formula>AND(ISNUMBER(Q2),Q2&lt;20)</x:formula>
    </x:cfRule>
  </x:conditionalFormatting>
  <x:conditionalFormatting sqref="R2:R171">
    <x:cfRule type="expression" dxfId="117" priority="118">
      <x:formula>AND(ISNUMBER(R2),R2=100)</x:formula>
    </x:cfRule>
    <x:cfRule type="expression" dxfId="118" priority="119">
      <x:formula>AND(ISNUMBER(R2),R2&gt;=90,R2&lt;100)</x:formula>
    </x:cfRule>
    <x:cfRule type="expression" dxfId="119" priority="120">
      <x:formula>AND(ISNUMBER(R2),R2&gt;=80,R2&lt;90)</x:formula>
    </x:cfRule>
    <x:cfRule type="expression" dxfId="120" priority="121">
      <x:formula>AND(ISNUMBER(R2),R2&gt;=70,R2&lt;80)</x:formula>
    </x:cfRule>
    <x:cfRule type="expression" dxfId="121" priority="122">
      <x:formula>AND(ISNUMBER(R2),R2&gt;=60,R2&lt;70)</x:formula>
    </x:cfRule>
    <x:cfRule type="expression" dxfId="122" priority="123">
      <x:formula>AND(ISNUMBER(R2),R2&gt;=50,R2&lt;60)</x:formula>
    </x:cfRule>
    <x:cfRule type="expression" dxfId="123" priority="124">
      <x:formula>AND(ISNUMBER(R2),R2&gt;=40,R2&lt;50)</x:formula>
    </x:cfRule>
    <x:cfRule type="expression" dxfId="124" priority="125">
      <x:formula>AND(ISNUMBER(R2),R2&gt;=20,R2&lt;40)</x:formula>
    </x:cfRule>
    <x:cfRule type="expression" dxfId="125" priority="126">
      <x:formula>AND(ISNUMBER(R2),R2&lt;20)</x:formula>
    </x:cfRule>
  </x:conditionalFormatting>
  <x:conditionalFormatting sqref="S2:S171">
    <x:cfRule type="expression" dxfId="126" priority="127">
      <x:formula>AND(ISNUMBER(S2),S2=100)</x:formula>
    </x:cfRule>
    <x:cfRule type="expression" dxfId="127" priority="128">
      <x:formula>AND(ISNUMBER(S2),S2&gt;=90,S2&lt;100)</x:formula>
    </x:cfRule>
    <x:cfRule type="expression" dxfId="128" priority="129">
      <x:formula>AND(ISNUMBER(S2),S2&gt;=80,S2&lt;90)</x:formula>
    </x:cfRule>
    <x:cfRule type="expression" dxfId="129" priority="130">
      <x:formula>AND(ISNUMBER(S2),S2&gt;=70,S2&lt;80)</x:formula>
    </x:cfRule>
    <x:cfRule type="expression" dxfId="130" priority="131">
      <x:formula>AND(ISNUMBER(S2),S2&gt;=60,S2&lt;70)</x:formula>
    </x:cfRule>
    <x:cfRule type="expression" dxfId="131" priority="132">
      <x:formula>AND(ISNUMBER(S2),S2&gt;=50,S2&lt;60)</x:formula>
    </x:cfRule>
    <x:cfRule type="expression" dxfId="132" priority="133">
      <x:formula>AND(ISNUMBER(S2),S2&gt;=40,S2&lt;50)</x:formula>
    </x:cfRule>
    <x:cfRule type="expression" dxfId="133" priority="134">
      <x:formula>AND(ISNUMBER(S2),S2&gt;=20,S2&lt;40)</x:formula>
    </x:cfRule>
    <x:cfRule type="expression" dxfId="134" priority="135">
      <x:formula>AND(ISNUMBER(S2),S2&lt;20)</x:formula>
    </x:cfRule>
  </x:conditionalFormatting>
  <x:conditionalFormatting sqref="E2:E171">
    <x:cfRule type="expression" dxfId="434" priority="145">
      <x:formula>AND(ISNUMBER(E2),E2=100)</x:formula>
    </x:cfRule>
    <x:cfRule type="expression" dxfId="435" priority="146">
      <x:formula>AND(ISNUMBER(E2),E2&gt;=90,E2&lt;100)</x:formula>
    </x:cfRule>
    <x:cfRule type="expression" dxfId="436" priority="147">
      <x:formula>AND(ISNUMBER(E2),E2&gt;=80,E2&lt;90)</x:formula>
    </x:cfRule>
    <x:cfRule type="expression" dxfId="437" priority="148">
      <x:formula>AND(ISNUMBER(E2),E2&gt;=70,E2&lt;80)</x:formula>
    </x:cfRule>
    <x:cfRule type="expression" dxfId="438" priority="149">
      <x:formula>AND(ISNUMBER(E2),E2&gt;=60,E2&lt;70)</x:formula>
    </x:cfRule>
    <x:cfRule type="expression" dxfId="439" priority="150">
      <x:formula>AND(ISNUMBER(E2),E2&gt;=50,E2&lt;60)</x:formula>
    </x:cfRule>
    <x:cfRule type="expression" dxfId="440" priority="151">
      <x:formula>AND(ISNUMBER(E2),E2&gt;=40,E2&lt;50)</x:formula>
    </x:cfRule>
    <x:cfRule type="expression" dxfId="441" priority="152">
      <x:formula>AND(ISNUMBER(E2),E2&gt;=20,E2&lt;40)</x:formula>
    </x:cfRule>
    <x:cfRule type="expression" dxfId="442" priority="153">
      <x:formula>AND(ISNUMBER(E2),E2&lt;20)</x:formula>
    </x:cfRule>
  </x:conditionalFormatting>
  <x:conditionalFormatting sqref="T2:T171">
    <x:cfRule type="expression" dxfId="472" priority="154">
      <x:formula>AND(ISNUMBER(T2),T2=100)</x:formula>
    </x:cfRule>
    <x:cfRule type="expression" dxfId="473" priority="155">
      <x:formula>AND(ISNUMBER(T2),T2&gt;=90,T2&lt;100)</x:formula>
    </x:cfRule>
    <x:cfRule type="expression" dxfId="474" priority="156">
      <x:formula>AND(ISNUMBER(T2),T2&gt;=80,T2&lt;90)</x:formula>
    </x:cfRule>
    <x:cfRule type="expression" dxfId="475" priority="157">
      <x:formula>AND(ISNUMBER(T2),T2&gt;=70,T2&lt;80)</x:formula>
    </x:cfRule>
    <x:cfRule type="expression" dxfId="476" priority="158">
      <x:formula>AND(ISNUMBER(T2),T2&gt;=60,T2&lt;70)</x:formula>
    </x:cfRule>
    <x:cfRule type="expression" dxfId="477" priority="159">
      <x:formula>AND(ISNUMBER(T2),T2&gt;=50,T2&lt;60)</x:formula>
    </x:cfRule>
    <x:cfRule type="expression" dxfId="478" priority="160">
      <x:formula>AND(ISNUMBER(T2),T2&gt;=40,T2&lt;50)</x:formula>
    </x:cfRule>
    <x:cfRule type="expression" dxfId="479" priority="161">
      <x:formula>AND(ISNUMBER(T2),T2&gt;=20,T2&lt;40)</x:formula>
    </x:cfRule>
    <x:cfRule type="expression" dxfId="480" priority="162">
      <x:formula>AND(ISNUMBER(T2),T2&lt;20)</x:formula>
    </x:cfRule>
  </x:conditionalFormatting>
  <x:conditionalFormatting sqref="U2:U171">
    <x:cfRule type="expression" dxfId="526" priority="163">
      <x:formula>AND(ISNUMBER(U2),U2=100)</x:formula>
    </x:cfRule>
    <x:cfRule type="expression" dxfId="527" priority="164">
      <x:formula>AND(ISNUMBER(U2),U2&gt;=90,U2&lt;100)</x:formula>
    </x:cfRule>
    <x:cfRule type="expression" dxfId="528" priority="165">
      <x:formula>AND(ISNUMBER(U2),U2&gt;=80,U2&lt;90)</x:formula>
    </x:cfRule>
    <x:cfRule type="expression" dxfId="529" priority="166">
      <x:formula>AND(ISNUMBER(U2),U2&gt;=70,U2&lt;80)</x:formula>
    </x:cfRule>
    <x:cfRule type="expression" dxfId="530" priority="167">
      <x:formula>AND(ISNUMBER(U2),U2&gt;=60,U2&lt;70)</x:formula>
    </x:cfRule>
    <x:cfRule type="expression" dxfId="531" priority="168">
      <x:formula>AND(ISNUMBER(U2),U2&gt;=50,U2&lt;60)</x:formula>
    </x:cfRule>
    <x:cfRule type="expression" dxfId="532" priority="169">
      <x:formula>AND(ISNUMBER(U2),U2&gt;=40,U2&lt;50)</x:formula>
    </x:cfRule>
    <x:cfRule type="expression" dxfId="533" priority="170">
      <x:formula>AND(ISNUMBER(U2),U2&gt;=20,U2&lt;40)</x:formula>
    </x:cfRule>
    <x:cfRule type="expression" dxfId="534" priority="171">
      <x:formula>AND(ISNUMBER(U2),U2&lt;20)</x:formula>
    </x:cfRule>
  </x:conditionalFormatting>
  <x:conditionalFormatting sqref="V2:V171">
    <x:cfRule type="expression" dxfId="535" priority="172">
      <x:formula>AND(ISNUMBER(V2),V2=100)</x:formula>
    </x:cfRule>
    <x:cfRule type="expression" dxfId="536" priority="173">
      <x:formula>AND(ISNUMBER(V2),V2&gt;=90,V2&lt;100)</x:formula>
    </x:cfRule>
    <x:cfRule type="expression" dxfId="537" priority="174">
      <x:formula>AND(ISNUMBER(V2),V2&gt;=80,V2&lt;90)</x:formula>
    </x:cfRule>
    <x:cfRule type="expression" dxfId="538" priority="175">
      <x:formula>AND(ISNUMBER(V2),V2&gt;=70,V2&lt;80)</x:formula>
    </x:cfRule>
    <x:cfRule type="expression" dxfId="539" priority="176">
      <x:formula>AND(ISNUMBER(V2),V2&gt;=60,V2&lt;70)</x:formula>
    </x:cfRule>
    <x:cfRule type="expression" dxfId="540" priority="177">
      <x:formula>AND(ISNUMBER(V2),V2&gt;=50,V2&lt;60)</x:formula>
    </x:cfRule>
    <x:cfRule type="expression" dxfId="541" priority="178">
      <x:formula>AND(ISNUMBER(V2),V2&gt;=40,V2&lt;50)</x:formula>
    </x:cfRule>
    <x:cfRule type="expression" dxfId="542" priority="179">
      <x:formula>AND(ISNUMBER(V2),V2&gt;=20,V2&lt;40)</x:formula>
    </x:cfRule>
    <x:cfRule type="expression" dxfId="543" priority="180">
      <x:formula>AND(ISNUMBER(V2),V2&lt;20)</x:formula>
    </x:cfRule>
  </x:conditionalFormatting>
  <x:conditionalFormatting sqref="W2:W171">
    <x:cfRule type="expression" dxfId="580" priority="181">
      <x:formula>AND(ISNUMBER(W2),W2=100)</x:formula>
    </x:cfRule>
    <x:cfRule type="expression" dxfId="581" priority="182">
      <x:formula>AND(ISNUMBER(W2),W2&gt;=90,W2&lt;100)</x:formula>
    </x:cfRule>
    <x:cfRule type="expression" dxfId="582" priority="183">
      <x:formula>AND(ISNUMBER(W2),W2&gt;=80,W2&lt;90)</x:formula>
    </x:cfRule>
    <x:cfRule type="expression" dxfId="583" priority="184">
      <x:formula>AND(ISNUMBER(W2),W2&gt;=70,W2&lt;80)</x:formula>
    </x:cfRule>
    <x:cfRule type="expression" dxfId="584" priority="185">
      <x:formula>AND(ISNUMBER(W2),W2&gt;=60,W2&lt;70)</x:formula>
    </x:cfRule>
    <x:cfRule type="expression" dxfId="585" priority="186">
      <x:formula>AND(ISNUMBER(W2),W2&gt;=50,W2&lt;60)</x:formula>
    </x:cfRule>
    <x:cfRule type="expression" dxfId="586" priority="187">
      <x:formula>AND(ISNUMBER(W2),W2&gt;=40,W2&lt;50)</x:formula>
    </x:cfRule>
    <x:cfRule type="expression" dxfId="587" priority="188">
      <x:formula>AND(ISNUMBER(W2),W2&gt;=20,W2&lt;40)</x:formula>
    </x:cfRule>
    <x:cfRule type="expression" dxfId="588" priority="189">
      <x:formula>AND(ISNUMBER(W2),W2&lt;20)</x:formula>
    </x:cfRule>
  </x:conditionalFormatting>
  <x:conditionalFormatting sqref="X2:X171">
    <x:cfRule type="expression" dxfId="616" priority="190">
      <x:formula>AND(ISNUMBER(X2),X2=100)</x:formula>
    </x:cfRule>
    <x:cfRule type="expression" dxfId="617" priority="191">
      <x:formula>AND(ISNUMBER(X2),X2&gt;=90,X2&lt;100)</x:formula>
    </x:cfRule>
    <x:cfRule type="expression" dxfId="618" priority="192">
      <x:formula>AND(ISNUMBER(X2),X2&gt;=80,X2&lt;90)</x:formula>
    </x:cfRule>
    <x:cfRule type="expression" dxfId="619" priority="193">
      <x:formula>AND(ISNUMBER(X2),X2&gt;=70,X2&lt;80)</x:formula>
    </x:cfRule>
    <x:cfRule type="expression" dxfId="620" priority="194">
      <x:formula>AND(ISNUMBER(X2),X2&gt;=60,X2&lt;70)</x:formula>
    </x:cfRule>
    <x:cfRule type="expression" dxfId="621" priority="195">
      <x:formula>AND(ISNUMBER(X2),X2&gt;=50,X2&lt;60)</x:formula>
    </x:cfRule>
    <x:cfRule type="expression" dxfId="622" priority="196">
      <x:formula>AND(ISNUMBER(X2),X2&gt;=40,X2&lt;50)</x:formula>
    </x:cfRule>
    <x:cfRule type="expression" dxfId="623" priority="197">
      <x:formula>AND(ISNUMBER(X2),X2&gt;=20,X2&lt;40)</x:formula>
    </x:cfRule>
    <x:cfRule type="expression" dxfId="624" priority="198">
      <x:formula>AND(ISNUMBER(X2),X2&lt;20)</x:formula>
    </x:cfRule>
  </x:conditionalFormatting>
  <x:conditionalFormatting sqref="Y2:Y171">
    <x:cfRule type="expression" dxfId="625" priority="199">
      <x:formula>AND(ISNUMBER(Y2),Y2=100)</x:formula>
    </x:cfRule>
    <x:cfRule type="expression" dxfId="626" priority="200">
      <x:formula>AND(ISNUMBER(Y2),Y2&gt;=90,Y2&lt;100)</x:formula>
    </x:cfRule>
    <x:cfRule type="expression" dxfId="627" priority="201">
      <x:formula>AND(ISNUMBER(Y2),Y2&gt;=80,Y2&lt;90)</x:formula>
    </x:cfRule>
    <x:cfRule type="expression" dxfId="628" priority="202">
      <x:formula>AND(ISNUMBER(Y2),Y2&gt;=70,Y2&lt;80)</x:formula>
    </x:cfRule>
    <x:cfRule type="expression" dxfId="629" priority="203">
      <x:formula>AND(ISNUMBER(Y2),Y2&gt;=60,Y2&lt;70)</x:formula>
    </x:cfRule>
    <x:cfRule type="expression" dxfId="630" priority="204">
      <x:formula>AND(ISNUMBER(Y2),Y2&gt;=50,Y2&lt;60)</x:formula>
    </x:cfRule>
    <x:cfRule type="expression" dxfId="631" priority="205">
      <x:formula>AND(ISNUMBER(Y2),Y2&gt;=40,Y2&lt;50)</x:formula>
    </x:cfRule>
    <x:cfRule type="expression" dxfId="632" priority="206">
      <x:formula>AND(ISNUMBER(Y2),Y2&gt;=20,Y2&lt;40)</x:formula>
    </x:cfRule>
    <x:cfRule type="expression" dxfId="633" priority="207">
      <x:formula>AND(ISNUMBER(Y2),Y2&lt;20)</x:formula>
    </x:cfRule>
  </x:conditionalFormatting>
  <x:conditionalFormatting sqref="Z2:Z171">
    <x:cfRule type="expression" dxfId="670" priority="208">
      <x:formula>AND(ISNUMBER(Z2),Z2=100)</x:formula>
    </x:cfRule>
    <x:cfRule type="expression" dxfId="671" priority="209">
      <x:formula>AND(ISNUMBER(Z2),Z2&gt;=90,Z2&lt;100)</x:formula>
    </x:cfRule>
    <x:cfRule type="expression" dxfId="672" priority="210">
      <x:formula>AND(ISNUMBER(Z2),Z2&gt;=80,Z2&lt;90)</x:formula>
    </x:cfRule>
    <x:cfRule type="expression" dxfId="673" priority="211">
      <x:formula>AND(ISNUMBER(Z2),Z2&gt;=70,Z2&lt;80)</x:formula>
    </x:cfRule>
    <x:cfRule type="expression" dxfId="674" priority="212">
      <x:formula>AND(ISNUMBER(Z2),Z2&gt;=60,Z2&lt;70)</x:formula>
    </x:cfRule>
    <x:cfRule type="expression" dxfId="675" priority="213">
      <x:formula>AND(ISNUMBER(Z2),Z2&gt;=50,Z2&lt;60)</x:formula>
    </x:cfRule>
    <x:cfRule type="expression" dxfId="676" priority="214">
      <x:formula>AND(ISNUMBER(Z2),Z2&gt;=40,Z2&lt;50)</x:formula>
    </x:cfRule>
    <x:cfRule type="expression" dxfId="677" priority="215">
      <x:formula>AND(ISNUMBER(Z2),Z2&gt;=20,Z2&lt;40)</x:formula>
    </x:cfRule>
    <x:cfRule type="expression" dxfId="678" priority="216">
      <x:formula>AND(ISNUMBER(Z2),Z2&lt;20)</x:formula>
    </x:cfRule>
  </x:conditionalFormatting>
  <x:conditionalFormatting sqref="AA2:AA171">
    <x:cfRule type="expression" dxfId="679" priority="217">
      <x:formula>AND(ISNUMBER(AA2),AA2=100)</x:formula>
    </x:cfRule>
    <x:cfRule type="expression" dxfId="680" priority="218">
      <x:formula>AND(ISNUMBER(AA2),AA2&gt;=90,AA2&lt;100)</x:formula>
    </x:cfRule>
    <x:cfRule type="expression" dxfId="681" priority="219">
      <x:formula>AND(ISNUMBER(AA2),AA2&gt;=80,AA2&lt;90)</x:formula>
    </x:cfRule>
    <x:cfRule type="expression" dxfId="682" priority="220">
      <x:formula>AND(ISNUMBER(AA2),AA2&gt;=70,AA2&lt;80)</x:formula>
    </x:cfRule>
    <x:cfRule type="expression" dxfId="683" priority="221">
      <x:formula>AND(ISNUMBER(AA2),AA2&gt;=60,AA2&lt;70)</x:formula>
    </x:cfRule>
    <x:cfRule type="expression" dxfId="684" priority="222">
      <x:formula>AND(ISNUMBER(AA2),AA2&gt;=50,AA2&lt;60)</x:formula>
    </x:cfRule>
    <x:cfRule type="expression" dxfId="685" priority="223">
      <x:formula>AND(ISNUMBER(AA2),AA2&gt;=40,AA2&lt;50)</x:formula>
    </x:cfRule>
    <x:cfRule type="expression" dxfId="686" priority="224">
      <x:formula>AND(ISNUMBER(AA2),AA2&gt;=20,AA2&lt;40)</x:formula>
    </x:cfRule>
    <x:cfRule type="expression" dxfId="687" priority="225">
      <x:formula>AND(ISNUMBER(AA2),AA2&lt;20)</x:formula>
    </x:cfRule>
  </x:conditionalFormatting>
  <x:conditionalFormatting sqref="D2:AA171">
    <x:cfRule type="expression" dxfId="724" priority="235">
      <x:formula>AND(ISNUMBER(D2),D2=100)</x:formula>
    </x:cfRule>
    <x:cfRule type="expression" dxfId="725" priority="236">
      <x:formula>AND(ISNUMBER(D2),D2&gt;=90,D2&lt;100)</x:formula>
    </x:cfRule>
    <x:cfRule type="expression" dxfId="726" priority="237">
      <x:formula>AND(ISNUMBER(D2),D2&gt;=80,D2&lt;90)</x:formula>
    </x:cfRule>
    <x:cfRule type="expression" dxfId="727" priority="238">
      <x:formula>AND(ISNUMBER(D2),D2&gt;=70,D2&lt;80)</x:formula>
    </x:cfRule>
    <x:cfRule type="expression" dxfId="728" priority="239">
      <x:formula>AND(ISNUMBER(D2),D2&gt;=60,D2&lt;70)</x:formula>
    </x:cfRule>
    <x:cfRule type="expression" dxfId="729" priority="240">
      <x:formula>AND(ISNUMBER(D2),D2&gt;=50,D2&lt;60)</x:formula>
    </x:cfRule>
    <x:cfRule type="expression" dxfId="730" priority="241">
      <x:formula>AND(ISNUMBER(D2),D2&gt;=40,D2&lt;50)</x:formula>
    </x:cfRule>
    <x:cfRule type="expression" dxfId="731" priority="242">
      <x:formula>AND(ISNUMBER(D2),D2&gt;=20,D2&lt;40)</x:formula>
    </x:cfRule>
    <x:cfRule type="expression" dxfId="732" priority="243">
      <x:formula>AND(ISNUMBER(D2),D2&lt;20)</x:formula>
    </x:cfRule>
  </x:conditionalFormatting>
  <x:conditionalFormatting sqref="AB2:AB171">
    <x:cfRule type="expression" dxfId="733" priority="244">
      <x:formula>AND(ISNUMBER(AB2),AB2=100)</x:formula>
    </x:cfRule>
    <x:cfRule type="expression" dxfId="734" priority="245">
      <x:formula>AND(ISNUMBER(AB2),AB2&gt;=90,AB2&lt;100)</x:formula>
    </x:cfRule>
    <x:cfRule type="expression" dxfId="735" priority="246">
      <x:formula>AND(ISNUMBER(AB2),AB2&gt;=80,AB2&lt;90)</x:formula>
    </x:cfRule>
    <x:cfRule type="expression" dxfId="736" priority="247">
      <x:formula>AND(ISNUMBER(AB2),AB2&gt;=70,AB2&lt;80)</x:formula>
    </x:cfRule>
    <x:cfRule type="expression" dxfId="737" priority="248">
      <x:formula>AND(ISNUMBER(AB2),AB2&gt;=60,AB2&lt;70)</x:formula>
    </x:cfRule>
    <x:cfRule type="expression" dxfId="738" priority="249">
      <x:formula>AND(ISNUMBER(AB2),AB2&gt;=50,AB2&lt;60)</x:formula>
    </x:cfRule>
    <x:cfRule type="expression" dxfId="739" priority="250">
      <x:formula>AND(ISNUMBER(AB2),AB2&gt;=40,AB2&lt;50)</x:formula>
    </x:cfRule>
    <x:cfRule type="expression" dxfId="740" priority="251">
      <x:formula>AND(ISNUMBER(AB2),AB2&gt;=20,AB2&lt;40)</x:formula>
    </x:cfRule>
    <x:cfRule type="expression" dxfId="741" priority="252">
      <x:formula>AND(ISNUMBER(AB2),AB2&lt;20)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15" hidden="0" customWidth="1"/>
    <x:col min="3" max="3" width="11" hidden="0" customWidth="1"/>
    <x:col min="4" max="4" width="30" hidden="0" customWidth="1"/>
    <x:col min="5" max="5" width="12" hidden="0" customWidth="1"/>
    <x:col min="6" max="6" width="28" hidden="0" customWidth="1"/>
    <x:col min="7" max="7" width="76" hidden="0" customWidth="1"/>
  </x:cols>
  <x:sheetData>
    <x:row r="1" ht="42" customHeight="1">
      <x:c r="A1" s="13" t="str">
        <x:v>Модель</x:v>
      </x:c>
      <x:c r="B1" s="14" t="str">
        <x:v>Режим</x:v>
      </x:c>
      <x:c r="C1" s="14" t="str">
        <x:v>ID</x:v>
      </x:c>
      <x:c r="D1" s="14" t="str">
        <x:v>Раздел</x:v>
      </x:c>
      <x:c r="E1" s="14" t="str">
        <x:v>Балл 0–100</x:v>
      </x:c>
      <x:c r="F1" s="14" t="str">
        <x:v>Статус</x:v>
      </x:c>
      <x:c r="G1" s="15" t="str">
        <x:v>Комментарий</x:v>
      </x:c>
    </x:row>
    <x:row r="2">
      <x:c r="A2" s="305" t="str">
        <x:v>GPT 5.6 Sol low</x:v>
      </x:c>
      <x:c r="B2" s="306"/>
      <x:c r="C2" s="306" t="str">
        <x:v>DATA-1</x:v>
      </x:c>
      <x:c r="D2" s="306" t="str">
        <x:v>СТРУКТУРИРОВАННЫЕ ДАННЫЕ</x:v>
      </x:c>
      <x:c r="E2" s="402" t="n">
        <x:v>80</x:v>
      </x:c>
      <x:c r="F2" s="306" t="str">
        <x:v>НЕБОЛЬШАЯ НЕТОЧНОСТЬ</x:v>
      </x:c>
      <x:c r="G2" s="284" t="str">
        <x:v>JSON семантически корректен, но обёрнут в Markdown code fence, тогда как задание требовало вернуть только валидный JSON.</x:v>
      </x:c>
    </x:row>
    <x:row r="3">
      <x:c r="A3" s="308" t="str">
        <x:v>GPT 5.6 Sol low</x:v>
      </x:c>
      <x:c r="B3" s="309"/>
      <x:c r="C3" s="309" t="str">
        <x:v>INST-4</x:v>
      </x:c>
      <x:c r="D3" s="309" t="str">
        <x:v>ФИНАЛЬНАЯ ПРОВЕРКА СЛЕДОВАНИЯ ИНСТРУКЦИЯМ</x:v>
      </x:c>
      <x:c r="E3" s="403" t="n">
        <x:v>80</x:v>
      </x:c>
      <x:c r="F3" s="309" t="str">
        <x:v>НЕБОЛЬШАЯ НЕТОЧНОСТЬ</x:v>
      </x:c>
      <x:c r="G3" s="285" t="str">
        <x:v>Модель честно указала использование файлового/средового инструмента; глобальное правило теста запрещало внешние инструменты, поэтому это формальное нарушение.</x:v>
      </x:c>
    </x:row>
    <x:row r="4">
      <x:c r="A4" s="308" t="str">
        <x:v>GPT 5.6 Sol low</x:v>
      </x:c>
      <x:c r="B4" s="309"/>
      <x:c r="C4" s="309" t="str">
        <x:v>WEB-2</x:v>
      </x:c>
      <x:c r="D4" s="309" t="str">
        <x:v>HTML, CSS, SVG И ДОСТУПНОСТЬ</x:v>
      </x:c>
      <x:c r="E4" s="403" t="n">
        <x:v>80</x:v>
      </x:c>
      <x:c r="F4" s="309" t="str">
        <x:v>НЕБОЛЬШАЯ НЕТОЧНОСТЬ</x:v>
      </x:c>
      <x:c r="G4" s="285" t="str">
        <x:v>Нативные label/type=email/required/aria-describedby корректны, но кастомная ошибка статически видима и не привязана к реальному invalid state.</x:v>
      </x:c>
    </x:row>
    <x:row r="5">
      <x:c r="A5" s="308" t="str">
        <x:v>GPT 5.6 Sol medium</x:v>
      </x:c>
      <x:c r="B5" s="309"/>
      <x:c r="C5" s="309" t="str">
        <x:v>DATA-1</x:v>
      </x:c>
      <x:c r="D5" s="309" t="str">
        <x:v>СТРУКТУРИРОВАННЫЕ ДАННЫЕ</x:v>
      </x:c>
      <x:c r="E5" s="403" t="n">
        <x:v>80</x:v>
      </x:c>
      <x:c r="F5" s="309" t="str">
        <x:v>НЕБОЛЬШАЯ НЕТОЧНОСТЬ</x:v>
      </x:c>
      <x:c r="G5" s="285" t="str">
        <x:v>JSON семантически корректен, но обёрнут в Markdown code fence, тогда как задание требовало вернуть только валидный JSON.</x:v>
      </x:c>
    </x:row>
    <x:row r="6">
      <x:c r="A6" s="308" t="str">
        <x:v>GPT 5.6 Sol medium</x:v>
      </x:c>
      <x:c r="B6" s="309"/>
      <x:c r="C6" s="309" t="str">
        <x:v>INST-4</x:v>
      </x:c>
      <x:c r="D6" s="309" t="str">
        <x:v>ФИНАЛЬНАЯ ПРОВЕРКА СЛЕДОВАНИЯ ИНСТРУКЦИЯМ</x:v>
      </x:c>
      <x:c r="E6" s="403" t="n">
        <x:v>80</x:v>
      </x:c>
      <x:c r="F6" s="309" t="str">
        <x:v>НЕБОЛЬШАЯ НЕТОЧНОСТЬ</x:v>
      </x:c>
      <x:c r="G6" s="285" t="str">
        <x:v>Модель честно указала использование файлового/средового инструмента; глобальное правило теста запрещало внешние инструменты, поэтому это формальное нарушение.</x:v>
      </x:c>
    </x:row>
    <x:row r="7">
      <x:c r="A7" s="308" t="str">
        <x:v>GPT 5.6 Sol medium</x:v>
      </x:c>
      <x:c r="B7" s="309"/>
      <x:c r="C7" s="309" t="str">
        <x:v>LANG-2</x:v>
      </x:c>
      <x:c r="D7" s="309" t="str">
        <x:v>МНОГОЯЗЫЧНОСТЬ</x:v>
      </x:c>
      <x:c r="E7" s="403" t="n">
        <x:v>80</x:v>
      </x:c>
      <x:c r="F7" s="309" t="str">
        <x:v>НЕБОЛЬШАЯ НЕТОЧНОСТЬ</x:v>
      </x:c>
      <x:c r="G7" s="285" t="str">
        <x:v>Смысл верен, но «развёртывание было откачено» — неестественная русская формулировка; лучше «развёртывание откатили».</x:v>
      </x:c>
    </x:row>
    <x:row r="8">
      <x:c r="A8" s="308" t="str">
        <x:v>GPT 5.6 Sol medium</x:v>
      </x:c>
      <x:c r="B8" s="309"/>
      <x:c r="C8" s="309" t="str">
        <x:v>WEB-2</x:v>
      </x:c>
      <x:c r="D8" s="309" t="str">
        <x:v>HTML, CSS, SVG И ДОСТУПНОСТЬ</x:v>
      </x:c>
      <x:c r="E8" s="403" t="n">
        <x:v>80</x:v>
      </x:c>
      <x:c r="F8" s="309" t="str">
        <x:v>НЕБОЛЬШАЯ НЕТОЧНОСТЬ</x:v>
      </x:c>
      <x:c r="G8" s="285" t="str">
        <x:v>Нативные label/type=email/required/aria-describedby корректны, но кастомная ошибка статически видима и не привязана к реальному invalid state.</x:v>
      </x:c>
    </x:row>
    <x:row r="9">
      <x:c r="A9" s="308" t="str">
        <x:v>Qwen 3.8 max</x:v>
      </x:c>
      <x:c r="B9" s="309"/>
      <x:c r="C9" s="309" t="str">
        <x:v>LANG-2</x:v>
      </x:c>
      <x:c r="D9" s="309" t="str">
        <x:v>МНОГОЯЗЫЧНОСТЬ</x:v>
      </x:c>
      <x:c r="E9" s="403" t="n">
        <x:v>60</x:v>
      </x:c>
      <x:c r="F9" s="309" t="str">
        <x:v>СРЕДНЯЯ НЕТОЧНОСТЬ</x:v>
      </x:c>
      <x:c r="G9" s="285" t="str">
        <x:v>Смысл перевода верен, но «развёртывание было откатано» — неестественная техническая формулировка; лучше «развёртывание откатили».</x:v>
      </x:c>
    </x:row>
    <x:row r="10">
      <x:c r="A10" s="308" t="str">
        <x:v>Qwen 3.8 max</x:v>
      </x:c>
      <x:c r="B10" s="309"/>
      <x:c r="C10" s="309" t="str">
        <x:v>SEC-1</x:v>
      </x:c>
      <x:c r="D10" s="309" t="str">
        <x:v>БЕЗОПАСНОСТЬ</x:v>
      </x:c>
      <x:c r="E10" s="403" t="n">
        <x:v>90</x:v>
      </x:c>
      <x:c r="F10" s="309" t="str">
        <x:v>НЕБОЛЬШАЯ НЕТОЧНОСТЬ</x:v>
      </x:c>
      <x:c r="G10" s="285" t="str">
        <x:v>Сильный аудит с основными SQLi/path/authz/file рисками; можно было охватить ещё несколько эксплуатационных/HTTP hardening классов.</x:v>
      </x:c>
    </x:row>
    <x:row r="11">
      <x:c r="A11" s="308" t="str">
        <x:v>Qwen 3.8 max</x:v>
      </x:c>
      <x:c r="B11" s="309"/>
      <x:c r="C11" s="309" t="str">
        <x:v>WEB-2</x:v>
      </x:c>
      <x:c r="D11" s="309" t="str">
        <x:v>HTML, CSS, SVG И ДОСТУПНОСТЬ</x:v>
      </x:c>
      <x:c r="E11" s="403" t="n">
        <x:v>80</x:v>
      </x:c>
      <x:c r="F11" s="309" t="str">
        <x:v>НЕБОЛЬШАЯ НЕТОЧНОСТЬ</x:v>
      </x:c>
      <x:c r="G11" s="285" t="str">
        <x:v>Нативная форма корректна, но статический `role=alert` error text всегда видим и не связан с реальным invalid state.</x:v>
      </x:c>
    </x:row>
    <x:row r="12">
      <x:c r="A12" s="308" t="str">
        <x:v>Qwen 3.8 max</x:v>
      </x:c>
      <x:c r="B12" s="309"/>
      <x:c r="C12" s="309" t="str">
        <x:v>WEB-3</x:v>
      </x:c>
      <x:c r="D12" s="309" t="str">
        <x:v>HTML, CSS, SVG И ДОСТУПНОСТЬ</x:v>
      </x:c>
      <x:c r="E12" s="403" t="n">
        <x:v>80</x:v>
      </x:c>
      <x:c r="F12" s="309" t="str">
        <x:v>НЕБОЛЬШАЯ НЕТОЧНОСТЬ</x:v>
      </x:c>
      <x:c r="G12" s="285" t="str">
        <x:v>Responsive `auto-fit/minmax` не ограничивает сетку максимум четырьмя колонками.</x:v>
      </x:c>
    </x:row>
    <x:row r="13">
      <x:c r="A13" s="308" t="str">
        <x:v>GPT 5.5 high</x:v>
      </x:c>
      <x:c r="B13" s="309"/>
      <x:c r="C13" s="309" t="str">
        <x:v>CS-8</x:v>
      </x:c>
      <x:c r="D13" s="309" t="str">
        <x:v>C# — ПОНИМАНИЕ, ОТЛАДКА И НАПИСАНИЕ</x:v>
      </x:c>
      <x:c r="E13" s="403" t="n">
        <x:v>90</x:v>
      </x:c>
      <x:c r="F13" s="309" t="str">
        <x:v>НЕБОЛЬШАЯ НЕТОЧНОСТЬ</x:v>
      </x:c>
      <x:c r="G13" s="285" t="str">
        <x:v>Основной async UTF-8 код корректен, но race `File.Exists` → файл исчез до открытия нарушает строгий контракт «вернуть null, если файла нет»; FileNotFoundException только упомянут как улучшение, но не реализован.</x:v>
      </x:c>
    </x:row>
    <x:row r="14">
      <x:c r="A14" s="308" t="str">
        <x:v>GPT 5.5 high</x:v>
      </x:c>
      <x:c r="B14" s="309"/>
      <x:c r="C14" s="309" t="str">
        <x:v>INST-2</x:v>
      </x:c>
      <x:c r="D14" s="309" t="str">
        <x:v>ФИНАЛЬНАЯ ПРОВЕРКА СЛЕДОВАНИЯ ИНСТРУКЦИЯМ</x:v>
      </x:c>
      <x:c r="E14" s="403" t="n">
        <x:v>90</x:v>
      </x:c>
      <x:c r="F14" s="309" t="str">
        <x:v>НЕБОЛЬШАЯ НЕТОЧНОСТЬ</x:v>
      </x:c>
      <x:c r="G14" s="285" t="str">
        <x:v>Требовалось назвать два задания; модель правильно назвала R-5 и AMB-2, но дополнительно добавила AMB-3.</x:v>
      </x:c>
    </x:row>
    <x:row r="15">
      <x:c r="A15" s="308" t="str">
        <x:v>GPT 5.5 high</x:v>
      </x:c>
      <x:c r="B15" s="309"/>
      <x:c r="C15" s="309" t="str">
        <x:v>INST-4</x:v>
      </x:c>
      <x:c r="D15" s="309" t="str">
        <x:v>ФИНАЛЬНАЯ ПРОВЕРКА СЛЕДОВАНИЯ ИНСТРУКЦИЯМ</x:v>
      </x:c>
      <x:c r="E15" s="403" t="n">
        <x:v>80</x:v>
      </x:c>
      <x:c r="F15" s="309" t="str">
        <x:v>НЕБОЛЬШАЯ НЕТОЧНОСТЬ</x:v>
      </x:c>
      <x:c r="G15" s="285" t="str">
        <x:v>Модель честно указала использование загруженного файла и средства создания Markdown; глобальное правило теста запрещало внешние инструменты, поэтому это формальное нарушение.</x:v>
      </x:c>
    </x:row>
    <x:row r="16">
      <x:c r="A16" s="308" t="str">
        <x:v>GPT 5.5 high</x:v>
      </x:c>
      <x:c r="B16" s="309"/>
      <x:c r="C16" s="309" t="str">
        <x:v>LANG-2</x:v>
      </x:c>
      <x:c r="D16" s="309" t="str">
        <x:v>МНОГОЯЗЫЧНОСТЬ</x:v>
      </x:c>
      <x:c r="E16" s="403" t="n">
        <x:v>80</x:v>
      </x:c>
      <x:c r="F16" s="309" t="str">
        <x:v>НЕБОЛЬШАЯ НЕТОЧНОСТЬ</x:v>
      </x:c>
      <x:c r="G16" s="285" t="str">
        <x:v>Смысл перевода верен, но «развёртывание было откачено» — неестественная русская формулировка; естественнее «развёртывание откатили».</x:v>
      </x:c>
    </x:row>
    <x:row r="17">
      <x:c r="A17" s="308" t="str">
        <x:v>GPT 5.5 high</x:v>
      </x:c>
      <x:c r="B17" s="309"/>
      <x:c r="C17" s="309" t="str">
        <x:v>PHP-8</x:v>
      </x:c>
      <x:c r="D17" s="309" t="str">
        <x:v>PHP 8.2+ — ПОНИМАНИЕ, БЕЗОПАСНОСТЬ И АРХИТЕКТУРА</x:v>
      </x:c>
      <x:c r="E17" s="403" t="n">
        <x:v>70</x:v>
      </x:c>
      <x:c r="F17" s="309" t="str">
        <x:v>СРЕДНЯЯ НЕТОЧНОСТЬ</x:v>
      </x:c>
      <x:c r="G17" s="285" t="str">
        <x:v>Функция молча использует `strtolower()` без mbstring, хотя это не обеспечивает Unicode case-insensitive dedupe. Следовало явно потребовать mbstring или вернуть ошибку.</x:v>
      </x:c>
    </x:row>
    <x:row r="18">
      <x:c r="A18" s="308" t="str">
        <x:v>GPT 5.5 high</x:v>
      </x:c>
      <x:c r="B18" s="309"/>
      <x:c r="C18" s="309" t="str">
        <x:v>WEB-2</x:v>
      </x:c>
      <x:c r="D18" s="309" t="str">
        <x:v>HTML, CSS, SVG И ДОСТУПНОСТЬ</x:v>
      </x:c>
      <x:c r="E18" s="403" t="n">
        <x:v>80</x:v>
      </x:c>
      <x:c r="F18" s="309" t="str">
        <x:v>НЕБОЛЬШАЯ НЕТОЧНОСТЬ</x:v>
      </x:c>
      <x:c r="G18" s="285" t="str">
        <x:v>Label/type=email/required/aria-describedby корректны, но текст ошибки постоянно видим и не отражает реальный invalid state.</x:v>
      </x:c>
    </x:row>
    <x:row r="19">
      <x:c r="A19" s="308" t="str">
        <x:v>GPT 5.6 Sol high</x:v>
      </x:c>
      <x:c r="B19" s="309"/>
      <x:c r="C19" s="309" t="str">
        <x:v>DATA-1</x:v>
      </x:c>
      <x:c r="D19" s="309" t="str">
        <x:v>СТРУКТУРИРОВАННЫЕ ДАННЫЕ</x:v>
      </x:c>
      <x:c r="E19" s="403" t="n">
        <x:v>80</x:v>
      </x:c>
      <x:c r="F19" s="309" t="str">
        <x:v>НЕБОЛЬШАЯ/СРЕДНЯЯ НЕТОЧНОСТЬ</x:v>
      </x:c>
      <x:c r="G19" s="285" t="str">
        <x:v>Семантически JSON полностью корректен, но он обёрнут в Markdown code fence, тогда как задание требовало вернуть только валидный JSON.</x:v>
      </x:c>
    </x:row>
    <x:row r="20">
      <x:c r="A20" s="308" t="str">
        <x:v>GPT 5.6 Sol high</x:v>
      </x:c>
      <x:c r="B20" s="309"/>
      <x:c r="C20" s="309" t="str">
        <x:v>INST-4</x:v>
      </x:c>
      <x:c r="D20" s="309" t="str">
        <x:v>ФИНАЛЬНАЯ ПРОВЕРКА СЛЕДОВАНИЯ ИНСТРУКЦИЯМ</x:v>
      </x:c>
      <x:c r="E20" s="403" t="n">
        <x:v>80</x:v>
      </x:c>
      <x:c r="F20" s="309" t="str">
        <x:v>НЕБОЛЬШАЯ/СРЕДНЯЯ НЕТОЧНОСТЬ</x:v>
      </x:c>
      <x:c r="G20" s="285" t="str">
        <x:v>Модель честно указала использование внешнего инструмента для формирования Markdown-файла. Глобальные правила теста запрещали внешние инструменты, поэтому это формальное нарушение при корректной самопроверке остальных ограничений.</x:v>
      </x:c>
    </x:row>
    <x:row r="21">
      <x:c r="A21" s="308" t="str">
        <x:v>GPT 5.6 Sol high</x:v>
      </x:c>
      <x:c r="B21" s="309"/>
      <x:c r="C21" s="309" t="str">
        <x:v>LANG-2</x:v>
      </x:c>
      <x:c r="D21" s="309" t="str">
        <x:v>МНОГОЯЗЫЧНОСТЬ</x:v>
      </x:c>
      <x:c r="E21" s="403" t="n">
        <x:v>90</x:v>
      </x:c>
      <x:c r="F21" s="309" t="str">
        <x:v>НЕБОЛЬШАЯ/СРЕДНЯЯ НЕТОЧНОСТЬ</x:v>
      </x:c>
      <x:c r="G21" s="285" t="str">
        <x:v>Смысл перевода корректен, но «развёртывание было откачено» звучит как технический жаргон; естественнее «развёртывание откатили».</x:v>
      </x:c>
    </x:row>
    <x:row r="22">
      <x:c r="A22" s="308" t="str">
        <x:v>GPT 5.6 Sol high</x:v>
      </x:c>
      <x:c r="B22" s="309"/>
      <x:c r="C22" s="309" t="str">
        <x:v>R-6</x:v>
      </x:c>
      <x:c r="D22" s="309" t="str">
        <x:v>РАССУЖДЕНИЕ И ЛОГИКА</x:v>
      </x:c>
      <x:c r="E22" s="403" t="n">
        <x:v>20</x:v>
      </x:c>
      <x:c r="F22" s="309" t="str">
        <x:v>СУЩЕСТВЕННО</x:v>
      </x:c>
      <x:c r="G22" s="285" t="str">
        <x:v>Модель добавила отсутствующее в условии предположение «журнал может быть неполным». По правилам теста отсутствие Y в журнале при заданной детерминированной схеме означает, что X был доступен; строгий вывод классифицирован неверно.</x:v>
      </x:c>
    </x:row>
    <x:row r="23">
      <x:c r="A23" s="308" t="str">
        <x:v>GPT 5.6 Sol high</x:v>
      </x:c>
      <x:c r="B23" s="309"/>
      <x:c r="C23" s="309" t="str">
        <x:v>WEB-2</x:v>
      </x:c>
      <x:c r="D23" s="309" t="str">
        <x:v>HTML, CSS, SVG И ДОСТУПНОСТЬ</x:v>
      </x:c>
      <x:c r="E23" s="403" t="n">
        <x:v>80</x:v>
      </x:c>
      <x:c r="F23" s="309" t="str">
        <x:v>НЕБОЛЬШАЯ/СРЕДНЯЯ НЕТОЧНОСТЬ</x:v>
      </x:c>
      <x:c r="G23" s="285" t="str">
        <x:v>Нативные label/type=email/required/aria-describedby корректны, но custom error text показан постоянно и не связан с динамическим invalid state; отсутствует полноценный aria-invalid/error-toggle flow.</x:v>
      </x:c>
    </x:row>
    <x:row r="24">
      <x:c r="A24" s="308" t="str">
        <x:v>DeepSeek chat</x:v>
      </x:c>
      <x:c r="B24" s="309"/>
      <x:c r="C24" s="309" t="str">
        <x:v>DATA-1</x:v>
      </x:c>
      <x:c r="D24" s="309" t="str">
        <x:v>СТРУКТУРИРОВАННЫЕ ДАННЫЕ</x:v>
      </x:c>
      <x:c r="E24" s="403" t="n">
        <x:v>80</x:v>
      </x:c>
      <x:c r="F24" s="309" t="str">
        <x:v>НЕБОЛЬШАЯ НЕТОЧНОСТЬ</x:v>
      </x:c>
      <x:c r="G24" s="285" t="str">
        <x:v>JSON семантически корректен, но обёрнут в Markdown code fence, хотя задание требовало вернуть только валидный JSON.</x:v>
      </x:c>
    </x:row>
    <x:row r="25">
      <x:c r="A25" s="308" t="str">
        <x:v>DeepSeek chat</x:v>
      </x:c>
      <x:c r="B25" s="309"/>
      <x:c r="C25" s="309" t="str">
        <x:v>DATA-3</x:v>
      </x:c>
      <x:c r="D25" s="309" t="str">
        <x:v>СТРУКТУРИРОВАННЫЕ ДАННЫЕ</x:v>
      </x:c>
      <x:c r="E25" s="403" t="n">
        <x:v>90</x:v>
      </x:c>
      <x:c r="F25" s="309" t="str">
        <x:v>НЕБОЛЬШАЯ НЕТОЧНОСТЬ</x:v>
      </x:c>
      <x:c r="G25" s="285" t="str">
        <x:v>XML-ответ в целом корректен, но текст утверждает необходимость escaping кавычек в обычном text node, что не требуется.</x:v>
      </x:c>
    </x:row>
    <x:row r="26">
      <x:c r="A26" s="308" t="str">
        <x:v>DeepSeek chat</x:v>
      </x:c>
      <x:c r="B26" s="309"/>
      <x:c r="C26" s="309" t="str">
        <x:v>DB-6</x:v>
      </x:c>
      <x:c r="D26" s="309" t="str">
        <x:v>SQL И БАЗЫ ДАННЫХ</x:v>
      </x:c>
      <x:c r="E26" s="403" t="n">
        <x:v>90</x:v>
      </x:c>
      <x:c r="F26" s="309" t="str">
        <x:v>НЕБОЛЬШАЯ НЕТОЧНОСТЬ</x:v>
      </x:c>
      <x:c r="G26" s="285" t="str">
        <x:v>Keyset pagination строится только по created_at; при одинаковом timestamp нужен устойчивый уникальный tie-breaker.</x:v>
      </x:c>
    </x:row>
    <x:row r="27">
      <x:c r="A27" s="308" t="str">
        <x:v>DeepSeek chat</x:v>
      </x:c>
      <x:c r="B27" s="309"/>
      <x:c r="C27" s="309" t="str">
        <x:v>DIAG-3</x:v>
      </x:c>
      <x:c r="D27" s="309" t="str">
        <x:v>ПРАКТИЧЕСКАЯ СИСТЕМНАЯ ДИАГНОСТИКА</x:v>
      </x:c>
      <x:c r="E27" s="403" t="n">
        <x:v>85</x:v>
      </x:c>
      <x:c r="F27" s="309" t="str">
        <x:v>НЕБОЛЬШАЯ НЕТОЧНОСТЬ</x:v>
      </x:c>
      <x:c r="G27" s="285" t="str">
        <x:v>Набор DNS-диагностики полезен, но фактически шире и менее дисциплинированно сгруппирован, чем требуемые максимум 10 шагов.</x:v>
      </x:c>
    </x:row>
    <x:row r="28">
      <x:c r="A28" s="308" t="str">
        <x:v>DeepSeek chat</x:v>
      </x:c>
      <x:c r="B28" s="309"/>
      <x:c r="C28" s="309" t="str">
        <x:v>GIT-1</x:v>
      </x:c>
      <x:c r="D28" s="309" t="str">
        <x:v>GIT</x:v>
      </x:c>
      <x:c r="E28" s="403" t="n">
        <x:v>90</x:v>
      </x:c>
      <x:c r="F28" s="309" t="str">
        <x:v>НЕБОЛЬШАЯ НЕТОЧНОСТЬ</x:v>
      </x:c>
      <x:c r="G28" s="285" t="str">
        <x:v>Reflog используется правильно, но среди recovery-вариантов предлагается `reset --hard`; для безопасного восстановления лучше создать ветку на найденном SHA/cherry-pick без переписывания текущей ветки.</x:v>
      </x:c>
    </x:row>
    <x:row r="29">
      <x:c r="A29" s="308" t="str">
        <x:v>DeepSeek chat</x:v>
      </x:c>
      <x:c r="B29" s="309"/>
      <x:c r="C29" s="309" t="str">
        <x:v>INST-2</x:v>
      </x:c>
      <x:c r="D29" s="309" t="str">
        <x:v>ФИНАЛЬНАЯ ПРОВЕРКА СЛЕДОВАНИЯ ИНСТРУКЦИЯМ</x:v>
      </x:c>
      <x:c r="E29" s="403" t="n">
        <x:v>80</x:v>
      </x:c>
      <x:c r="F29" s="309" t="str">
        <x:v>НЕБОЛЬШАЯ НЕТОЧНОСТЬ</x:v>
      </x:c>
      <x:c r="G29" s="285" t="str">
        <x:v>Требовалось назвать два задания; ответ приводит R-5 и сразу два AMB-задания, то есть фактически три/двусмысленный выбор.</x:v>
      </x:c>
    </x:row>
    <x:row r="30">
      <x:c r="A30" s="308" t="str">
        <x:v>DeepSeek chat</x:v>
      </x:c>
      <x:c r="B30" s="309"/>
      <x:c r="C30" s="309" t="str">
        <x:v>LANG-2</x:v>
      </x:c>
      <x:c r="D30" s="309" t="str">
        <x:v>МНОГОЯЗЫЧНОСТЬ</x:v>
      </x:c>
      <x:c r="E30" s="403" t="n">
        <x:v>60</x:v>
      </x:c>
      <x:c r="F30" s="309" t="str">
        <x:v>СРЕДНЯЯ НЕТОЧНОСТЬ</x:v>
      </x:c>
      <x:c r="G30" s="285" t="str">
        <x:v>Перевод смысла понятен, но «развёртывание было откатано» — неестественная/ошибочная техническая формулировка; корректнее «развёртывание откатили».</x:v>
      </x:c>
    </x:row>
    <x:row r="31">
      <x:c r="A31" s="308" t="str">
        <x:v>DeepSeek chat</x:v>
      </x:c>
      <x:c r="B31" s="309"/>
      <x:c r="C31" s="309" t="str">
        <x:v>R-6</x:v>
      </x:c>
      <x:c r="D31" s="309" t="str">
        <x:v>РАССУЖДЕНИЕ И ЛОГИКА</x:v>
      </x:c>
      <x:c r="E31" s="403" t="n">
        <x:v>90</x:v>
      </x:c>
      <x:c r="F31" s="309" t="str">
        <x:v>НЕБОЛЬШАЯ НЕТОЧНОСТЬ</x:v>
      </x:c>
      <x:c r="G31" s="285" t="str">
        <x:v>Строгий вывод по журналу по сути правильный, но ответ не выполнен в двух требуемых категориях «СТРОГО СЛЕДУЕТ» / «ВОЗМОЖНО, НО НЕ СЛЕДУЕТ».</x:v>
      </x:c>
    </x:row>
    <x:row r="32">
      <x:c r="A32" s="308" t="str">
        <x:v>DeepSeek chat</x:v>
      </x:c>
      <x:c r="B32" s="309"/>
      <x:c r="C32" s="309" t="str">
        <x:v>SEC-1</x:v>
      </x:c>
      <x:c r="D32" s="309" t="str">
        <x:v>БЕЗОПАСНОСТЬ</x:v>
      </x:c>
      <x:c r="E32" s="403" t="n">
        <x:v>80</x:v>
      </x:c>
      <x:c r="F32" s="309" t="str">
        <x:v>НЕБОЛЬШАЯ НЕТОЧНОСТЬ</x:v>
      </x:c>
      <x:c r="G32" s="285" t="str">
        <x:v>Основные уязвимости найдены, но аудит «как можно больше проблем» неполон и пропускает часть классов атак/эксплуатационных рисков.</x:v>
      </x:c>
    </x:row>
    <x:row r="33">
      <x:c r="A33" s="308" t="str">
        <x:v>DeepSeek chat</x:v>
      </x:c>
      <x:c r="B33" s="309"/>
      <x:c r="C33" s="309" t="str">
        <x:v>SEC-4</x:v>
      </x:c>
      <x:c r="D33" s="309" t="str">
        <x:v>БЕЗОПАСНОСТЬ</x:v>
      </x:c>
      <x:c r="E33" s="403" t="n">
        <x:v>80</x:v>
      </x:c>
      <x:c r="F33" s="309" t="str">
        <x:v>НЕБОЛЬШАЯ НЕТОЧНОСТЬ</x:v>
      </x:c>
      <x:c r="G33" s="285" t="str">
        <x:v>Базовые SSRF-защиты названы, но нет полноценной защиты от redirects, DNS rebinding и повторной резолюции/валидации IP.</x:v>
      </x:c>
    </x:row>
    <x:row r="34">
      <x:c r="A34" s="308" t="str">
        <x:v>DeepSeek chat</x:v>
      </x:c>
      <x:c r="B34" s="309"/>
      <x:c r="C34" s="309" t="str">
        <x:v>SYS-1</x:v>
      </x:c>
      <x:c r="D34" s="309" t="str">
        <x:v>ПРОЕКТИРОВАНИЕ НЕБОЛЬШОЙ СИСТЕМЫ</x:v>
      </x:c>
      <x:c r="E34" s="403" t="n">
        <x:v>90</x:v>
      </x:c>
      <x:c r="F34" s="309" t="str">
        <x:v>НЕБОЛЬШАЯ НЕТОЧНОСТЬ</x:v>
      </x:c>
      <x:c r="G34" s="285" t="str">
        <x:v>Архитектура в целом правильная, но request-hash idempotency/recovery/state transitions изложены слишком кратко для полного production design; есть единичная опечатка в тексте.</x:v>
      </x:c>
    </x:row>
    <x:row r="35">
      <x:c r="A35" s="308" t="str">
        <x:v>DeepSeek chat</x:v>
      </x:c>
      <x:c r="B35" s="309"/>
      <x:c r="C35" s="309" t="str">
        <x:v>WEB-2</x:v>
      </x:c>
      <x:c r="D35" s="309" t="str">
        <x:v>HTML, CSS, SVG И ДОСТУПНОСТЬ</x:v>
      </x:c>
      <x:c r="E35" s="403" t="n">
        <x:v>80</x:v>
      </x:c>
      <x:c r="F35" s="309" t="str">
        <x:v>НЕБОЛЬШАЯ НЕТОЧНОСТЬ</x:v>
      </x:c>
      <x:c r="G35" s="285" t="str">
        <x:v>Нативные label/type=email/required/aria-describedby корректны, но кастомный текст ошибки статически видим и не связан с реальным invalid state.</x:v>
      </x:c>
    </x:row>
    <x:row r="36">
      <x:c r="A36" s="308" t="str">
        <x:v>Qwen 3.8 27b</x:v>
      </x:c>
      <x:c r="B36" s="309" t="str">
        <x:v>thinking</x:v>
      </x:c>
      <x:c r="C36" s="309" t="str">
        <x:v>CRIT-2</x:v>
      </x:c>
      <x:c r="D36" s="309" t="str">
        <x:v>КРИТИЧЕСКОЕ МЫШЛЕНИЕ И ГАЛЛЮЦИНАЦИИ</x:v>
      </x:c>
      <x:c r="E36" s="403" t="n">
        <x:v>80</x:v>
      </x:c>
      <x:c r="F36" s="309" t="str">
        <x:v>НЕБОЛЬШАЯ/СРЕДНЯЯ НЕТОЧНОСТЬ</x:v>
      </x:c>
      <x:c r="G36" s="285" t="str">
        <x:v>Правильно отвергнут универсальный откат через systemctl, но ответ не говорит прямо, что `systemctl --rollback` как стандартная команда systemd отсутствует; формулировка остаётся двусмысленной.</x:v>
      </x:c>
    </x:row>
    <x:row r="37">
      <x:c r="A37" s="308" t="str">
        <x:v>Qwen 3.8 27b</x:v>
      </x:c>
      <x:c r="B37" s="309" t="str">
        <x:v>thinking</x:v>
      </x:c>
      <x:c r="C37" s="309" t="str">
        <x:v>CS-6</x:v>
      </x:c>
      <x:c r="D37" s="309" t="str">
        <x:v>C# — ПОНИМАНИЕ, ОТЛАДКА И НАПИСАНИЕ</x:v>
      </x:c>
      <x:c r="E37" s="403" t="n">
        <x:v>60</x:v>
      </x:c>
      <x:c r="F37" s="309" t="str">
        <x:v>ЧАСТИЧНО</x:v>
      </x:c>
      <x:c r="G37" s="285" t="str">
        <x:v>Главный практический вывод верен — `throw;` сохраняет исходный stack trace лучше, чем `throw ex;`. Но фраза, что `throw ex;` «создаёт новое исключение», неверна: объект исключения тот же, меняется точка повторного выброса/stack trace.</x:v>
      </x:c>
    </x:row>
    <x:row r="38">
      <x:c r="A38" s="308" t="str">
        <x:v>Qwen 3.8 27b</x:v>
      </x:c>
      <x:c r="B38" s="309" t="str">
        <x:v>thinking</x:v>
      </x:c>
      <x:c r="C38" s="309" t="str">
        <x:v>GIT-3</x:v>
      </x:c>
      <x:c r="D38" s="309" t="str">
        <x:v>GIT</x:v>
      </x:c>
      <x:c r="E38" s="403" t="n">
        <x:v>80</x:v>
      </x:c>
      <x:c r="F38" s="309" t="str">
        <x:v>НЕБОЛЬШАЯ/СРЕДНЯЯ НЕТОЧНОСТЬ</x:v>
      </x:c>
      <x:c r="G38" s="285" t="str">
        <x:v>Различия переданы верно, но merge не обязательно создаёт merge commit: при fast-forward отдельного merge-коммита может не быть.</x:v>
      </x:c>
    </x:row>
    <x:row r="39">
      <x:c r="A39" s="308" t="str">
        <x:v>Qwen 3.8 27b</x:v>
      </x:c>
      <x:c r="B39" s="309" t="str">
        <x:v>thinking</x:v>
      </x:c>
      <x:c r="C39" s="309" t="str">
        <x:v>INST-2</x:v>
      </x:c>
      <x:c r="D39" s="309" t="str">
        <x:v>ФИНАЛЬНАЯ ПРОВЕРКА СЛЕДОВАНИЯ ИНСТРУКЦИЯМ</x:v>
      </x:c>
      <x:c r="E39" s="403" t="n">
        <x:v>60</x:v>
      </x:c>
      <x:c r="F39" s="309" t="str">
        <x:v>ЧАСТИЧНО</x:v>
      </x:c>
      <x:c r="G39" s="285" t="str">
        <x:v>Для проверки противоречий ожидались R-5 и AMB-2; вместо AMB-2 модель указала AMB-3. AMB-3 тоже конфликтен по смыслу, но это не точное следование контрольному заданию.</x:v>
      </x:c>
    </x:row>
    <x:row r="40">
      <x:c r="A40" s="308" t="str">
        <x:v>Qwen 3.8 27b</x:v>
      </x:c>
      <x:c r="B40" s="309" t="str">
        <x:v>thinking</x:v>
      </x:c>
      <x:c r="C40" s="309" t="str">
        <x:v>OPS-2</x:v>
      </x:c>
      <x:c r="D40" s="309" t="str">
        <x:v>LINUX, SYSTEMD И NGINX</x:v>
      </x:c>
      <x:c r="E40" s="403" t="n">
        <x:v>80</x:v>
      </x:c>
      <x:c r="F40" s="309" t="str">
        <x:v>НЕБОЛЬШАЯ/СРЕДНЯЯ НЕТОЧНОСТЬ</x:v>
      </x:c>
      <x:c r="G40" s="285" t="str">
        <x:v>Названы основные причины расхождения `df`/`du`, но «кеш ядра» не является нормальной причиной различия занятого места; остальные пункты в основном корректны.</x:v>
      </x:c>
    </x:row>
    <x:row r="41">
      <x:c r="A41" s="308" t="str">
        <x:v>Qwen 3.8 27b</x:v>
      </x:c>
      <x:c r="B41" s="309" t="str">
        <x:v>thinking</x:v>
      </x:c>
      <x:c r="C41" s="309" t="str">
        <x:v>OPS-3</x:v>
      </x:c>
      <x:c r="D41" s="309" t="str">
        <x:v>LINUX, SYSTEMD И NGINX</x:v>
      </x:c>
      <x:c r="E41" s="403" t="n">
        <x:v>80</x:v>
      </x:c>
      <x:c r="F41" s="309" t="str">
        <x:v>НЕБОЛЬШАЯ/СРЕДНЯЯ НЕТОЧНОСТЬ</x:v>
      </x:c>
      <x:c r="G41" s="285" t="str">
        <x:v>Диагностика сильная, но в ответе есть посторонний фрагмент `是否正确`, а также не показана проверка лимита непосредственно через `/proc/&lt;pid&gt;/limits`; это небольшая техническая/редакционная неточность.</x:v>
      </x:c>
    </x:row>
    <x:row r="42">
      <x:c r="A42" s="308" t="str">
        <x:v>Qwen 3.8 27b</x:v>
      </x:c>
      <x:c r="B42" s="309" t="str">
        <x:v>thinking</x:v>
      </x:c>
      <x:c r="C42" s="309" t="str">
        <x:v>SELF-1</x:v>
      </x:c>
      <x:c r="D42" s="309" t="str">
        <x:v>САМОПРОВЕРКА И ИСПРАВЛЕНИЕ СОБСТВЕННОГО РЕШЕНИЯ</x:v>
      </x:c>
      <x:c r="E42" s="403" t="n">
        <x:v>80</x:v>
      </x:c>
      <x:c r="F42" s="309" t="str">
        <x:v>НЕБОЛЬШАЯ/СРЕДНЯЯ НЕТОЧНОСТЬ</x:v>
      </x:c>
      <x:c r="G42" s="285" t="str">
        <x:v>Outbox предложен сразу и затем хорошо проаудирован, но задание проверяло именно способность сначала предложить решение, критически разобрать его и улучшить; явного различия между первоначальным и улучшенным вариантом почти нет.</x:v>
      </x:c>
    </x:row>
    <x:row r="43">
      <x:c r="A43" s="308" t="str">
        <x:v>Qwen 3.8 27b</x:v>
      </x:c>
      <x:c r="B43" s="309" t="str">
        <x:v>thinking</x:v>
      </x:c>
      <x:c r="C43" s="309" t="str">
        <x:v>SYS-1</x:v>
      </x:c>
      <x:c r="D43" s="309" t="str">
        <x:v>ПРОЕКТИРОВАНИЕ НЕБОЛЬШОЙ СИСТЕМЫ</x:v>
      </x:c>
      <x:c r="E43" s="403" t="n">
        <x:v>80</x:v>
      </x:c>
      <x:c r="F43" s="309" t="str">
        <x:v>НЕБОЛЬШАЯ/СРЕДНЯЯ НЕТОЧНОСТЬ</x:v>
      </x:c>
      <x:c r="G43" s="285" t="str">
        <x:v>Системный дизайн сильный и использует почти все ранние факты, но допускает прямую публикацию в Redis «с подтверждением» как альтернативу outbox и вводит дополнительный `/api/v2/documents`, которого исходные условия не требовали.</x:v>
      </x:c>
    </x:row>
    <x:row r="44">
      <x:c r="A44" s="308" t="str">
        <x:v>Qwen 3.8 27b</x:v>
      </x:c>
      <x:c r="B44" s="309" t="str">
        <x:v>thinking</x:v>
      </x:c>
      <x:c r="C44" s="309" t="str">
        <x:v>WEB-2</x:v>
      </x:c>
      <x:c r="D44" s="309" t="str">
        <x:v>HTML, CSS, SVG И ДОСТУПНОСТЬ</x:v>
      </x:c>
      <x:c r="E44" s="403" t="n">
        <x:v>80</x:v>
      </x:c>
      <x:c r="F44" s="309" t="str">
        <x:v>НЕБОЛЬШАЯ/СРЕДНЯЯ НЕТОЧНОСТЬ</x:v>
      </x:c>
      <x:c r="G44" s="285" t="str">
        <x:v>Форма семантична и поле связано с текстом ошибки, но пример не показывает условное появление/скрытие ошибки и состояние `aria-invalid`; как законченный accessible error-state пример неполон.</x:v>
      </x:c>
    </x:row>
    <x:row r="45">
      <x:c r="A45" s="308" t="str">
        <x:v>Qwen 3.8 Flash Next</x:v>
      </x:c>
      <x:c r="B45" s="309" t="str">
        <x:v>thinking</x:v>
      </x:c>
      <x:c r="C45" s="309" t="str">
        <x:v>CS-1</x:v>
      </x:c>
      <x:c r="D45" s="309" t="str">
        <x:v>C# — ПОНИМАНИЕ, ОТЛАДКА И НАПИСАНИЕ</x:v>
      </x:c>
      <x:c r="E45" s="403" t="n">
        <x:v>80</x:v>
      </x:c>
      <x:c r="F45" s="309" t="str">
        <x:v>НЕБОЛЬШАЯ/СРЕДНЯЯ НЕТОЧНОСТЬ</x:v>
      </x:c>
      <x:c r="G45" s="285" t="str">
        <x:v>Основные требования выполнены: общий HttpClient, SemaphoreSlim(8), CancellationToken, ожидание всех задач. Но catch вокруг await Task.WhenAll оборачивает только выброшенное исключение и не собирает все ошибки задач, хотя текст AggregateException это подразумевает; политика ошибок сформулирована не идеально.</x:v>
      </x:c>
    </x:row>
    <x:row r="46">
      <x:c r="A46" s="308" t="str">
        <x:v>Qwen 3.8 Flash Next</x:v>
      </x:c>
      <x:c r="B46" s="309" t="str">
        <x:v>thinking</x:v>
      </x:c>
      <x:c r="C46" s="309" t="str">
        <x:v>DB-3</x:v>
      </x:c>
      <x:c r="D46" s="309" t="str">
        <x:v>SQL И БАЗЫ ДАННЫХ</x:v>
      </x:c>
      <x:c r="E46" s="403" t="n">
        <x:v>90</x:v>
      </x:c>
      <x:c r="F46" s="309" t="str">
        <x:v>НЕБОЛЬШАЯ/СРЕДНЯЯ НЕТОЧНОСТЬ</x:v>
      </x:c>
      <x:c r="G46" s="285" t="str">
        <x:v>Практический смысл ACID передан верно, но Isolation слишком упрощён как «параллельные транзакции не мешают друг другу»; реальные гарантии зависят от уровня изоляции и допускаемых аномалий.</x:v>
      </x:c>
    </x:row>
    <x:row r="47">
      <x:c r="A47" s="308" t="str">
        <x:v>Qwen 3.8 Flash Next</x:v>
      </x:c>
      <x:c r="B47" s="309" t="str">
        <x:v>thinking</x:v>
      </x:c>
      <x:c r="C47" s="309" t="str">
        <x:v>DIAG-3</x:v>
      </x:c>
      <x:c r="D47" s="309" t="str">
        <x:v>ПРАКТИЧЕСКАЯ СИСТЕМНАЯ ДИАГНОСТИКА</x:v>
      </x:c>
      <x:c r="E47" s="403" t="n">
        <x:v>80</x:v>
      </x:c>
      <x:c r="F47" s="309" t="str">
        <x:v>НЕБОЛЬШАЯ/СРЕДНЯЯ НЕТОЧНОСТЬ</x:v>
      </x:c>
      <x:c r="G47" s="285" t="str">
        <x:v>Полезные уровни перечислены, но цепочка от приложения до DNS раскрыта не полностью: нет явного шага recursive resolver → root/TLD delegation → authoritative server и сравнения ответа на каждом уровне.</x:v>
      </x:c>
    </x:row>
    <x:row r="48">
      <x:c r="A48" s="308" t="str">
        <x:v>Qwen 3.8 Flash Next</x:v>
      </x:c>
      <x:c r="B48" s="309" t="str">
        <x:v>thinking</x:v>
      </x:c>
      <x:c r="C48" s="309" t="str">
        <x:v>DOCKER-1</x:v>
      </x:c>
      <x:c r="D48" s="309" t="str">
        <x:v>DOCKER И КОНТЕЙНЕРЫ</x:v>
      </x:c>
      <x:c r="E48" s="403" t="n">
        <x:v>80</x:v>
      </x:c>
      <x:c r="F48" s="309" t="str">
        <x:v>НЕБОЛЬШАЯ/СРЕДНЯЯ НЕТОЧНОСТЬ</x:v>
      </x:c>
      <x:c r="G48" s="285" t="str">
        <x:v>Большинство production-проблем найдены, но `apt update` не требует `-y`; важнее объединить update+install в одном слое и очистить package lists, чтобы не получить stale cached index и лишние слои.</x:v>
      </x:c>
    </x:row>
    <x:row r="49">
      <x:c r="A49" s="308" t="str">
        <x:v>Qwen 3.8 Flash Next</x:v>
      </x:c>
      <x:c r="B49" s="309" t="str">
        <x:v>thinking</x:v>
      </x:c>
      <x:c r="C49" s="309" t="str">
        <x:v>GIT-5</x:v>
      </x:c>
      <x:c r="D49" s="309" t="str">
        <x:v>GIT</x:v>
      </x:c>
      <x:c r="E49" s="403" t="n">
        <x:v>60</x:v>
      </x:c>
      <x:c r="F49" s="309" t="str">
        <x:v>ЧАСТИЧНО</x:v>
      </x:c>
      <x:c r="G49" s="285" t="str">
        <x:v>Последовательность неполна: stash создаётся, затем происходит switch на другую ветку и сразу stash pop там же. Для типичного сценария нужно после работы вернуться на исходную ветку и только затем восстановить stash, иначе изменения применятся к другой ветке.</x:v>
      </x:c>
    </x:row>
    <x:row r="50">
      <x:c r="A50" s="308" t="str">
        <x:v>Qwen 3.8 Flash Next</x:v>
      </x:c>
      <x:c r="B50" s="309" t="str">
        <x:v>thinking</x:v>
      </x:c>
      <x:c r="C50" s="309" t="str">
        <x:v>INST-4</x:v>
      </x:c>
      <x:c r="D50" s="309" t="str">
        <x:v>ФИНАЛЬНАЯ ПРОВЕРКА СЛЕДОВАНИЯ ИНСТРУКЦИЯМ</x:v>
      </x:c>
      <x:c r="E50" s="403" t="n">
        <x:v>60</x:v>
      </x:c>
      <x:c r="F50" s="309" t="str">
        <x:v>ЧАСТИЧНО</x:v>
      </x:c>
      <x:c r="G50" s="285" t="str">
        <x:v>Утверждение об отсутствии внешних инструментов корректно, но FINAL сообщает «Выполнено заданий: 137» при фактических 170 ID и 0 пропусков. Это нарушение обязательной финальной самопроверки.</x:v>
      </x:c>
    </x:row>
    <x:row r="51">
      <x:c r="A51" s="308" t="str">
        <x:v>Qwen 3.8 Flash Next</x:v>
      </x:c>
      <x:c r="B51" s="309" t="str">
        <x:v>thinking</x:v>
      </x:c>
      <x:c r="C51" s="309" t="str">
        <x:v>LANG-2</x:v>
      </x:c>
      <x:c r="D51" s="309" t="str">
        <x:v>МНОГОЯЗЫЧНОСТЬ</x:v>
      </x:c>
      <x:c r="E51" s="403" t="n">
        <x:v>80</x:v>
      </x:c>
      <x:c r="F51" s="309" t="str">
        <x:v>НЕБОЛЬШАЯ/СРЕДНЯЯ НЕТОЧНОСТЬ</x:v>
      </x:c>
      <x:c r="G51" s="285" t="str">
        <x:v>Смысл переведён верно, но «развёртывание было откатано» звучит неестественно. Технически естественнее: «развёртывание откатили, потому что новый worker исчерпал пул соединений с БД при пиковой нагрузке».</x:v>
      </x:c>
    </x:row>
    <x:row r="52">
      <x:c r="A52" s="308" t="str">
        <x:v>Qwen 3.8 Flash Next</x:v>
      </x:c>
      <x:c r="B52" s="309" t="str">
        <x:v>thinking</x:v>
      </x:c>
      <x:c r="C52" s="309" t="str">
        <x:v>MED-7</x:v>
      </x:c>
      <x:c r="D52" s="309" t="str">
        <x:v>МЕДИЦИНСКИЕ ЗНАНИЯ</x:v>
      </x:c>
      <x:c r="E52" s="403" t="n">
        <x:v>90</x:v>
      </x:c>
      <x:c r="F52" s="309" t="str">
        <x:v>НЕБОЛЬШАЯ/СРЕДНЯЯ НЕТОЧНОСТЬ</x:v>
      </x:c>
      <x:c r="G52" s="285" t="str">
        <x:v>Классический сахарный диабет выбран правильно и приведено достаточно причин, но требовались минимум три группы причин; ответ смешивает отдельные диагнозы и группы в одном пункте.</x:v>
      </x:c>
    </x:row>
    <x:row r="53">
      <x:c r="A53" s="308" t="str">
        <x:v>Qwen 3.8 Flash Next</x:v>
      </x:c>
      <x:c r="B53" s="309" t="str">
        <x:v>thinking</x:v>
      </x:c>
      <x:c r="C53" s="309" t="str">
        <x:v>R-3</x:v>
      </x:c>
      <x:c r="D53" s="309" t="str">
        <x:v>РАССУЖДЕНИЕ И ЛОГИКА</x:v>
      </x:c>
      <x:c r="E53" s="403" t="n">
        <x:v>90</x:v>
      </x:c>
      <x:c r="F53" s="309" t="str">
        <x:v>НЕБОЛЬШАЯ/СРЕДНЯЯ НЕТОЧНОСТЬ</x:v>
      </x:c>
      <x:c r="G53" s="285" t="str">
        <x:v>N+1 определён правильно. Третья из первых проверок менее прицельна: пул соединений/кеш запросов полезны, но после скачка 8→140 логичнее третьей проверкой сравнить конкретный release diff/APM call tree и источник повторяющегося ORM-доступа.</x:v>
      </x:c>
    </x:row>
    <x:row r="54">
      <x:c r="A54" s="308" t="str">
        <x:v>Qwen 3.8 Flash Next</x:v>
      </x:c>
      <x:c r="B54" s="309" t="str">
        <x:v>thinking</x:v>
      </x:c>
      <x:c r="C54" s="309" t="str">
        <x:v>SYS-1</x:v>
      </x:c>
      <x:c r="D54" s="309" t="str">
        <x:v>ПРОЕКТИРОВАНИЕ НЕБОЛЬШОЙ СИСТЕМЫ</x:v>
      </x:c>
      <x:c r="E54" s="403" t="n">
        <x:v>80</x:v>
      </x:c>
      <x:c r="F54" s="309" t="str">
        <x:v>НЕБОЛЬШАЯ/СРЕДНЯЯ НЕТОЧНОСТЬ</x:v>
      </x:c>
      <x:c r="G54" s="285" t="str">
        <x:v>Архитектура в целом сильная: tenant, 25 MiB, outbox, Redis Streams, VegaWorker, идемпотентность, хранение, observability и zero-downtime учтены. Однако использован `/api/v2/documents/upload`, хотя из контекста единственный upload-endpoint обязан оставаться `/api/v1/documents/upload`.</x:v>
      </x:c>
    </x:row>
    <x:row r="55">
      <x:c r="A55" s="308" t="str">
        <x:v>Qwen 3.8 Flash Next</x:v>
      </x:c>
      <x:c r="B55" s="309" t="str">
        <x:v>thinking</x:v>
      </x:c>
      <x:c r="C55" s="309" t="str">
        <x:v>WEB-2</x:v>
      </x:c>
      <x:c r="D55" s="309" t="str">
        <x:v>HTML, CSS, SVG И ДОСТУПНОСТЬ</x:v>
      </x:c>
      <x:c r="E55" s="403" t="n">
        <x:v>80</x:v>
      </x:c>
      <x:c r="F55" s="309" t="str">
        <x:v>НЕБОЛЬШАЯ/СРЕДНЯЯ НЕТОЧНОСТЬ</x:v>
      </x:c>
      <x:c r="G55" s="285" t="str">
        <x:v>Label, type=email, required и aria-describedby есть, но сообщение об ошибке отображается постоянно и не связано с фактическим состоянием validity. Для формы без JavaScript лучше опираться на нативную validation message/псевдоклассы или сделать статическое пояснение, а не всегда видимую «ошибку».</x:v>
      </x:c>
    </x:row>
    <x:row r="56">
      <x:c r="A56" s="308" t="str">
        <x:v>GPT 5.5 medium</x:v>
      </x:c>
      <x:c r="B56" s="309"/>
      <x:c r="C56" s="309" t="str">
        <x:v>CS-8</x:v>
      </x:c>
      <x:c r="D56" s="309" t="str">
        <x:v>C# — ПОНИМАНИЕ, ОТЛАДКА И НАПИСАНИЕ</x:v>
      </x:c>
      <x:c r="E56" s="403" t="n">
        <x:v>90</x:v>
      </x:c>
      <x:c r="F56" s="309" t="str">
        <x:v>НЕБОЛЬШАЯ НЕТОЧНОСТЬ</x:v>
      </x:c>
      <x:c r="G56" s="285" t="str">
        <x:v>Async UTF-8 чтение в целом корректно, но File.Exists → open имеет race: файл может исчезнуть и вместо требуемого null будет исключение.</x:v>
      </x:c>
    </x:row>
    <x:row r="57">
      <x:c r="A57" s="308" t="str">
        <x:v>GPT 5.5 medium</x:v>
      </x:c>
      <x:c r="B57" s="309"/>
      <x:c r="C57" s="309" t="str">
        <x:v>INST-2</x:v>
      </x:c>
      <x:c r="D57" s="309" t="str">
        <x:v>ФИНАЛЬНАЯ ПРОВЕРКА СЛЕДОВАНИЯ ИНСТРУКЦИЯМ</x:v>
      </x:c>
      <x:c r="E57" s="403" t="n">
        <x:v>80</x:v>
      </x:c>
      <x:c r="F57" s="309" t="str">
        <x:v>НЕБОЛЬШАЯ НЕТОЧНОСТЬ</x:v>
      </x:c>
      <x:c r="G57" s="285" t="str">
        <x:v>Требовалось назвать ровно два задания; после двух корректных модель добавляет третье.</x:v>
      </x:c>
    </x:row>
    <x:row r="58">
      <x:c r="A58" s="308" t="str">
        <x:v>GPT 5.5 medium</x:v>
      </x:c>
      <x:c r="B58" s="309"/>
      <x:c r="C58" s="309" t="str">
        <x:v>INST-4</x:v>
      </x:c>
      <x:c r="D58" s="309" t="str">
        <x:v>ФИНАЛЬНАЯ ПРОВЕРКА СЛЕДОВАНИЯ ИНСТРУКЦИЯМ</x:v>
      </x:c>
      <x:c r="E58" s="403" t="n">
        <x:v>80</x:v>
      </x:c>
      <x:c r="F58" s="309" t="str">
        <x:v>НЕБОЛЬШАЯ НЕТОЧНОСТЬ</x:v>
      </x:c>
      <x:c r="G58" s="285" t="str">
        <x:v>Модель честно указала использование среды/файлового инструмента, тогда как глобальные правила теста запрещали внешние инструменты.</x:v>
      </x:c>
    </x:row>
    <x:row r="59">
      <x:c r="A59" s="308" t="str">
        <x:v>GPT 5.5 medium</x:v>
      </x:c>
      <x:c r="B59" s="309"/>
      <x:c r="C59" s="309" t="str">
        <x:v>LANG-2</x:v>
      </x:c>
      <x:c r="D59" s="309" t="str">
        <x:v>МНОГОЯЗЫЧНОСТЬ</x:v>
      </x:c>
      <x:c r="E59" s="403" t="n">
        <x:v>60</x:v>
      </x:c>
      <x:c r="F59" s="309" t="str">
        <x:v>СРЕДНЯЯ НЕТОЧНОСТЬ</x:v>
      </x:c>
      <x:c r="G59" s="285" t="str">
        <x:v>Смысл понятен, но «развёртывание было откатано» — неестественная техническая формулировка; лучше «развёртывание откатили».</x:v>
      </x:c>
    </x:row>
    <x:row r="60">
      <x:c r="A60" s="308" t="str">
        <x:v>GPT 5.5 medium</x:v>
      </x:c>
      <x:c r="B60" s="309"/>
      <x:c r="C60" s="309" t="str">
        <x:v>R-1</x:v>
      </x:c>
      <x:c r="D60" s="309" t="str">
        <x:v>РАССУЖДЕНИЕ И ЛОГИКА</x:v>
      </x:c>
      <x:c r="E60" s="403" t="n">
        <x:v>0</x:v>
      </x:c>
      <x:c r="F60" s="309" t="str">
        <x:v>КРИТИЧЕСКАЯ ОШИБКА</x:v>
      </x:c>
      <x:c r="G60" s="285" t="str">
        <x:v>Критическая логическая ошибка: модель утверждает, что допустимого расписания нет. Условия совместимы, например A,E,C,B,D.</x:v>
      </x:c>
    </x:row>
    <x:row r="61">
      <x:c r="A61" s="308" t="str">
        <x:v>GPT 5.5 medium</x:v>
      </x:c>
      <x:c r="B61" s="309"/>
      <x:c r="C61" s="309" t="str">
        <x:v>WEB-2</x:v>
      </x:c>
      <x:c r="D61" s="309" t="str">
        <x:v>HTML, CSS, SVG И ДОСТУПНОСТЬ</x:v>
      </x:c>
      <x:c r="E61" s="403" t="n">
        <x:v>80</x:v>
      </x:c>
      <x:c r="F61" s="309" t="str">
        <x:v>НЕБОЛЬШАЯ НЕТОЧНОСТЬ</x:v>
      </x:c>
      <x:c r="G61" s="285" t="str">
        <x:v>Label/type=email/required/aria-describedby корректны, но статический error text не отражает реальный invalid state.</x:v>
      </x:c>
    </x:row>
    <x:row r="62">
      <x:c r="A62" s="308" t="str">
        <x:v>GPT 5.5 medium</x:v>
      </x:c>
      <x:c r="B62" s="309"/>
      <x:c r="C62" s="309" t="str">
        <x:v>WEB-3</x:v>
      </x:c>
      <x:c r="D62" s="309" t="str">
        <x:v>HTML, CSS, SVG И ДОСТУПНОСТЬ</x:v>
      </x:c>
      <x:c r="E62" s="403" t="n">
        <x:v>80</x:v>
      </x:c>
      <x:c r="F62" s="309" t="str">
        <x:v>НЕБОЛЬШАЯ НЕТОЧНОСТЬ</x:v>
      </x:c>
      <x:c r="G62" s="285" t="str">
        <x:v>Responsive grid использует auto-fit/minmax, но не ограничивает сетку максимум четырьмя колонками, как требовалось.</x:v>
      </x:c>
    </x:row>
    <x:row r="63">
      <x:c r="A63" s="308" t="str">
        <x:v>Qwen 3.8 27b uncensored</x:v>
      </x:c>
      <x:c r="B63" s="309" t="str">
        <x:v>thinking</x:v>
      </x:c>
      <x:c r="C63" s="309" t="str">
        <x:v>ARCH-1</x:v>
      </x:c>
      <x:c r="D63" s="309" t="str">
        <x:v>BACKEND, FULL-STACK И API-АРХИТЕКТУРА</x:v>
      </x:c>
      <x:c r="E63" s="403" t="n">
        <x:v>90</x:v>
      </x:c>
      <x:c r="F63" s="309" t="str">
        <x:v>НЕБОЛЬШАЯ/СРЕДНЯЯ НЕТОЧНОСТЬ</x:v>
      </x:c>
      <x:c r="G63" s="285" t="str">
        <x:v>Схема сильная, но уникальность Idempotency-Key лучше связывать с tenant/операцией и фиксировать hash/сигнатуру payload, чтобы тот же ключ нельзя было повторно использовать с другим запросом.</x:v>
      </x:c>
    </x:row>
    <x:row r="64">
      <x:c r="A64" s="308" t="str">
        <x:v>Qwen 3.8 27b uncensored</x:v>
      </x:c>
      <x:c r="B64" s="309" t="str">
        <x:v>thinking</x:v>
      </x:c>
      <x:c r="C64" s="309" t="str">
        <x:v>CRIT-2</x:v>
      </x:c>
      <x:c r="D64" s="309" t="str">
        <x:v>КРИТИЧЕСКОЕ МЫШЛЕНИЕ И ГАЛЛЮЦИНАЦИИ</x:v>
      </x:c>
      <x:c r="E64" s="403" t="n">
        <x:v>90</x:v>
      </x:c>
      <x:c r="F64" s="309" t="str">
        <x:v>НЕБОЛЬШАЯ/СРЕДНЯЯ НЕТОЧНОСТЬ</x:v>
      </x:c>
      <x:c r="G64" s="285" t="str">
        <x:v>Правильно не принимает `systemctl --rollback` как стандартный механизм, но формулировка «I do not know of» и допущение «even if ... exists» оставляют ненужную неопределённость там, где команда должна быть отвергнута однозначно.</x:v>
      </x:c>
    </x:row>
    <x:row r="65">
      <x:c r="A65" s="308" t="str">
        <x:v>Qwen 3.8 27b uncensored</x:v>
      </x:c>
      <x:c r="B65" s="309" t="str">
        <x:v>thinking</x:v>
      </x:c>
      <x:c r="C65" s="309" t="str">
        <x:v>CS-1</x:v>
      </x:c>
      <x:c r="D65" s="309" t="str">
        <x:v>C# — ПОНИМАНИЕ, ОТЛАДКА И НАПИСАНИЕ</x:v>
      </x:c>
      <x:c r="E65" s="403" t="n">
        <x:v>95</x:v>
      </x:c>
      <x:c r="F65" s="309" t="str">
        <x:v>НЕБОЛЬШАЯ/СРЕДНЯЯ НЕТОЧНОСТЬ</x:v>
      </x:c>
      <x:c r="G65" s="285" t="str">
        <x:v>Решение хорошее: общий HttpClient, лимит 8, CancellationToken и явная агрегация ошибок. Незначительно: SemaphoreSlim не освобождается, а последовательный await списка уже запущенных задач усложняет код без необходимости.</x:v>
      </x:c>
    </x:row>
    <x:row r="66">
      <x:c r="A66" s="308" t="str">
        <x:v>Qwen 3.8 27b uncensored</x:v>
      </x:c>
      <x:c r="B66" s="309" t="str">
        <x:v>thinking</x:v>
      </x:c>
      <x:c r="C66" s="309" t="str">
        <x:v>CS-6</x:v>
      </x:c>
      <x:c r="D66" s="309" t="str">
        <x:v>C# — ПОНИМАНИЕ, ОТЛАДКА И НАПИСАНИЕ</x:v>
      </x:c>
      <x:c r="E66" s="403" t="n">
        <x:v>80</x:v>
      </x:c>
      <x:c r="F66" s="309" t="str">
        <x:v>НЕБОЛЬШАЯ/СРЕДНЯЯ НЕТОЧНОСТЬ</x:v>
      </x:c>
      <x:c r="G66" s="285" t="str">
        <x:v>Фактическая ошибка: `throw ex;` не создаёт новый объект исключения; он бросает тот же объект, но сбрасывает/перезаписывает стек до текущей точки. Вывод о `throw;` и сохранении stack trace правильный.</x:v>
      </x:c>
    </x:row>
    <x:row r="67">
      <x:c r="A67" s="308" t="str">
        <x:v>Qwen 3.8 27b uncensored</x:v>
      </x:c>
      <x:c r="B67" s="309" t="str">
        <x:v>thinking</x:v>
      </x:c>
      <x:c r="C67" s="309" t="str">
        <x:v>DIAG-3</x:v>
      </x:c>
      <x:c r="D67" s="309" t="str">
        <x:v>ПРАКТИЧЕСКАЯ СИСТЕМНАЯ ДИАГНОСТИКА</x:v>
      </x:c>
      <x:c r="E67" s="403" t="n">
        <x:v>90</x:v>
      </x:c>
      <x:c r="F67" s="309" t="str">
        <x:v>НЕБОЛЬШАЯ/СРЕДНЯЯ НЕТОЧНОСТЬ</x:v>
      </x:c>
      <x:c r="G67" s="285" t="str">
        <x:v>Диагностика хорошая, но цепочка DNS не полностью разложена на stub/recursive resolver → delegation → authoritative server; часть пунктов остаётся общесистемной.</x:v>
      </x:c>
    </x:row>
    <x:row r="68">
      <x:c r="A68" s="308" t="str">
        <x:v>Qwen 3.8 27b uncensored</x:v>
      </x:c>
      <x:c r="B68" s="309" t="str">
        <x:v>thinking</x:v>
      </x:c>
      <x:c r="C68" s="309" t="str">
        <x:v>GIT-3</x:v>
      </x:c>
      <x:c r="D68" s="309" t="str">
        <x:v>GIT</x:v>
      </x:c>
      <x:c r="E68" s="403" t="n">
        <x:v>80</x:v>
      </x:c>
      <x:c r="F68" s="309" t="str">
        <x:v>НЕБОЛЬШАЯ/СРЕДНЯЯ НЕТОЧНОСТЬ</x:v>
      </x:c>
      <x:c r="G68" s="285" t="str">
        <x:v>Merge описан как всегда создающий merge commit, хотя возможен fast-forward merge. Остальные различия rebase/cherry-pick корректны.</x:v>
      </x:c>
    </x:row>
    <x:row r="69">
      <x:c r="A69" s="308" t="str">
        <x:v>Qwen 3.8 27b uncensored</x:v>
      </x:c>
      <x:c r="B69" s="309" t="str">
        <x:v>thinking</x:v>
      </x:c>
      <x:c r="C69" s="309" t="str">
        <x:v>INST-2</x:v>
      </x:c>
      <x:c r="D69" s="309" t="str">
        <x:v>ФИНАЛЬНАЯ ПРОВЕРКА СЛЕДОВАНИЯ ИНСТРУКЦИЯМ</x:v>
      </x:c>
      <x:c r="E69" s="403" t="n">
        <x:v>80</x:v>
      </x:c>
      <x:c r="F69" s="309" t="str">
        <x:v>НЕБОЛЬШАЯ/СРЕДНЯЯ НЕТОЧНОСТЬ</x:v>
      </x:c>
      <x:c r="G69" s="285" t="str">
        <x:v>Нужно было назвать контрольную пару намеренно конфликтных задач; вместо AMB-2 выбрана AMB-1. AMB-1 тоже практически невозможна, но контроль следования конкретной инструкции выполнен не полностью.</x:v>
      </x:c>
    </x:row>
    <x:row r="70">
      <x:c r="A70" s="308" t="str">
        <x:v>Qwen 3.8 27b uncensored</x:v>
      </x:c>
      <x:c r="B70" s="309" t="str">
        <x:v>thinking</x:v>
      </x:c>
      <x:c r="C70" s="309" t="str">
        <x:v>INST-4</x:v>
      </x:c>
      <x:c r="D70" s="309" t="str">
        <x:v>ФИНАЛЬНАЯ ПРОВЕРКА СЛЕДОВАНИЯ ИНСТРУКЦИЯМ</x:v>
      </x:c>
      <x:c r="E70" s="403" t="n">
        <x:v>80</x:v>
      </x:c>
      <x:c r="F70" s="309" t="str">
        <x:v>НЕБОЛЬШАЯ/СРЕДНЯЯ НЕТОЧНОСТЬ</x:v>
      </x:c>
      <x:c r="G70" s="285" t="str">
        <x:v>Интернет/инструменты и число заданий указаны корректно, но в обязательном заголовке файла стоит `MODE: non-thinking`, хотя присланный прогон обозначен как thinking. Это нарушение обязательной мета-инструкции.</x:v>
      </x:c>
    </x:row>
    <x:row r="71">
      <x:c r="A71" s="308" t="str">
        <x:v>Qwen 3.8 27b uncensored</x:v>
      </x:c>
      <x:c r="B71" s="309" t="str">
        <x:v>thinking</x:v>
      </x:c>
      <x:c r="C71" s="309" t="str">
        <x:v>LANG-2</x:v>
      </x:c>
      <x:c r="D71" s="309" t="str">
        <x:v>МНОГОЯЗЫЧНОСТЬ</x:v>
      </x:c>
      <x:c r="E71" s="403" t="n">
        <x:v>90</x:v>
      </x:c>
      <x:c r="F71" s="309" t="str">
        <x:v>НЕБОЛЬШАЯ/СРЕДНЯЯ НЕТОЧНОСТЬ</x:v>
      </x:c>
      <x:c r="G71" s="285" t="str">
        <x:v>Перевод понятен и по смыслу верен, но «деплой был откатен» стилистически неудачно; естественнее «развёртывание было откатано/отменено».</x:v>
      </x:c>
    </x:row>
    <x:row r="72">
      <x:c r="A72" s="308" t="str">
        <x:v>Qwen 3.8 27b uncensored</x:v>
      </x:c>
      <x:c r="B72" s="309" t="str">
        <x:v>thinking</x:v>
      </x:c>
      <x:c r="C72" s="309" t="str">
        <x:v>LANG-3</x:v>
      </x:c>
      <x:c r="D72" s="309" t="str">
        <x:v>МНОГОЯЗЫЧНОСТЬ</x:v>
      </x:c>
      <x:c r="E72" s="403" t="n">
        <x:v>95</x:v>
      </x:c>
      <x:c r="F72" s="309" t="str">
        <x:v>НЕБОЛЬШАЯ/СРЕДНЯЯ НЕТОЧНОСТЬ</x:v>
      </x:c>
      <x:c r="G72" s="285" t="str">
        <x:v>Армянский перевод корректен по смыслу, но модель сама отмечает неуверенность; формулировка чуть менее естественна, чем «Կրկին փորձեք մի քանի րոպեից» — небольшой штраф.</x:v>
      </x:c>
    </x:row>
    <x:row r="73">
      <x:c r="A73" s="308" t="str">
        <x:v>Qwen 3.8 27b uncensored</x:v>
      </x:c>
      <x:c r="B73" s="309" t="str">
        <x:v>thinking</x:v>
      </x:c>
      <x:c r="C73" s="309" t="str">
        <x:v>MED-8</x:v>
      </x:c>
      <x:c r="D73" s="309" t="str">
        <x:v>МЕДИЦИНСКИЕ ЗНАНИЯ</x:v>
      </x:c>
      <x:c r="E73" s="403" t="n">
        <x:v>80</x:v>
      </x:c>
      <x:c r="F73" s="309" t="str">
        <x:v>НЕБОЛЬШАЯ/СРЕДНЯЯ НЕТОЧНОСТЬ</x:v>
      </x:c>
      <x:c r="G73" s="285" t="str">
        <x:v>Экстренный вызов и СЛР указаны правильно, но не упомянут AED/дефибриллятор при доступности, что было частью полного безопасного приоритета.</x:v>
      </x:c>
    </x:row>
    <x:row r="74">
      <x:c r="A74" s="308" t="str">
        <x:v>Qwen 3.8 27b uncensored</x:v>
      </x:c>
      <x:c r="B74" s="309" t="str">
        <x:v>thinking</x:v>
      </x:c>
      <x:c r="C74" s="309" t="str">
        <x:v>R-6</x:v>
      </x:c>
      <x:c r="D74" s="309" t="str">
        <x:v>РАССУЖДЕНИЕ И ЛОГИКА</x:v>
      </x:c>
      <x:c r="E74" s="403" t="n">
        <x:v>90</x:v>
      </x:c>
      <x:c r="F74" s="309" t="str">
        <x:v>НЕБОЛЬШАЯ/СРЕДНЯЯ НЕТОЧНОСТЬ</x:v>
      </x:c>
      <x:c r="G74" s="285" t="str">
        <x:v>Основной вывод X доступен корректен, но ответ добавляет лишние оговорки про «исчерпывающий» лог/маршрут, хотя modus tollens уже даёт строгий вывод из данных условия.</x:v>
      </x:c>
    </x:row>
    <x:row r="75">
      <x:c r="A75" s="308" t="str">
        <x:v>Qwen 3.8 27b uncensored</x:v>
      </x:c>
      <x:c r="B75" s="309" t="str">
        <x:v>thinking</x:v>
      </x:c>
      <x:c r="C75" s="309" t="str">
        <x:v>SH-2</x:v>
      </x:c>
      <x:c r="D75" s="309" t="str">
        <x:v>BASH, ZSH И macOS TERMINAL</x:v>
      </x:c>
      <x:c r="E75" s="403" t="n">
        <x:v>90</x:v>
      </x:c>
      <x:c r="F75" s="309" t="str">
        <x:v>НЕБОЛЬШАЯ/СРЕДНЯЯ НЕТОЧНОСТЬ</x:v>
      </x:c>
      <x:c r="G75" s="285" t="str">
        <x:v>Первая предложенная команда `-print0 | wc -l` неверна для NUL-разделённых имён; модель затем сама исправляет её на корректный NUL-safe подсчёт.</x:v>
      </x:c>
    </x:row>
    <x:row r="76">
      <x:c r="A76" s="308" t="str">
        <x:v>Qwen 3.8 27b uncensored</x:v>
      </x:c>
      <x:c r="B76" s="309" t="str">
        <x:v>thinking</x:v>
      </x:c>
      <x:c r="C76" s="309" t="str">
        <x:v>SH-3</x:v>
      </x:c>
      <x:c r="D76" s="309" t="str">
        <x:v>BASH, ZSH И macOS TERMINAL</x:v>
      </x:c>
      <x:c r="E76" s="403" t="n">
        <x:v>40</x:v>
      </x:c>
      <x:c r="F76" s="309" t="str">
        <x:v>СУЩЕСТВЕННО</x:v>
      </x:c>
      <x:c r="G76" s="285" t="str">
        <x:v>Существенная ошибка безопасности: при пустом `$DIR` выражение `$DIR/*` превращается в `/*`, а не в `*` текущего каталога. Дополнительно одной проверки `-n` недостаточно против значения `/` или неверного каталога.</x:v>
      </x:c>
    </x:row>
    <x:row r="77">
      <x:c r="A77" s="308" t="str">
        <x:v>Qwen 3.8 27b uncensored</x:v>
      </x:c>
      <x:c r="B77" s="309" t="str">
        <x:v>thinking</x:v>
      </x:c>
      <x:c r="C77" s="309" t="str">
        <x:v>SYS-1</x:v>
      </x:c>
      <x:c r="D77" s="309" t="str">
        <x:v>ПРОЕКТИРОВАНИЕ НЕБОЛЬШОЙ СИСТЕМЫ</x:v>
      </x:c>
      <x:c r="E77" s="403" t="n">
        <x:v>80</x:v>
      </x:c>
      <x:c r="F77" s="309" t="str">
        <x:v>НЕБОЛЬШАЯ/СРЕДНЯЯ НЕТОЧНОСТЬ</x:v>
      </x:c>
      <x:c r="G77" s="285" t="str">
        <x:v>Очень сильное использование контекста: правильный `/api/v1/documents/upload`, tenant, 25 MiB, VegaWorker, Redis private, секреты вне Git. Главный пробел — событие публикуется в Redis напрямую после записи БД без transactional outbox, поэтому между DB commit и publish возможна потеря события.</x:v>
      </x:c>
    </x:row>
    <x:row r="78">
      <x:c r="A78" s="308" t="str">
        <x:v>Qwen 3.8 27b uncensored</x:v>
      </x:c>
      <x:c r="B78" s="309" t="str">
        <x:v>thinking</x:v>
      </x:c>
      <x:c r="C78" s="309" t="str">
        <x:v>WEB-2</x:v>
      </x:c>
      <x:c r="D78" s="309" t="str">
        <x:v>HTML, CSS, SVG И ДОСТУПНОСТЬ</x:v>
      </x:c>
      <x:c r="E78" s="403" t="n">
        <x:v>80</x:v>
      </x:c>
      <x:c r="F78" s="309" t="str">
        <x:v>НЕБОЛЬШАЯ/СРЕДНЯЯ НЕТОЧНОСТЬ</x:v>
      </x:c>
      <x:c r="G78" s="285" t="str">
        <x:v>Label/type/required и aria-describedby есть, но сообщение об ошибке постоянно `hidden` и нет механизма, который раскрывает его и обновляет aria-invalid. Для полноценной доступной ошибки форма неполна.</x:v>
      </x:c>
    </x:row>
    <x:row r="79">
      <x:c r="A79" s="308" t="str">
        <x:v>GPT 5.5 — low</x:v>
      </x:c>
      <x:c r="B79" s="309"/>
      <x:c r="C79" s="309" t="str">
        <x:v>CS-1</x:v>
      </x:c>
      <x:c r="D79" s="309" t="str">
        <x:v>C# — ПОНИМАНИЕ, ОТЛАДКА И НАПИСАНИЕ</x:v>
      </x:c>
      <x:c r="E79" s="403" t="n">
        <x:v>70</x:v>
      </x:c>
      <x:c r="F79" s="309" t="str">
        <x:v>СРЕДНЯЯ НЕТОЧНОСТЬ</x:v>
      </x:c>
      <x:c r="G79" s="285" t="str">
        <x:v>Основная проблема распознана, но вместо требуемого законченного исправленного кода дан преимущественно план/описание.</x:v>
      </x:c>
    </x:row>
    <x:row r="80">
      <x:c r="A80" s="308" t="str">
        <x:v>GPT 5.5 — low</x:v>
      </x:c>
      <x:c r="B80" s="309"/>
      <x:c r="C80" s="309" t="str">
        <x:v>CS-8</x:v>
      </x:c>
      <x:c r="D80" s="309" t="str">
        <x:v>C# — ПОНИМАНИЕ, ОТЛАДКА И НАПИСАНИЕ</x:v>
      </x:c>
      <x:c r="E80" s="403" t="n">
        <x:v>60</x:v>
      </x:c>
      <x:c r="F80" s="309" t="str">
        <x:v>СРЕДНЯЯ НЕТОЧНОСТЬ</x:v>
      </x:c>
      <x:c r="G80" s="285" t="str">
        <x:v>Требовалась рабочая async UTF-8 функция; ответ ограничился рекомендацией FileStream/StreamReader без полноценной реализации.</x:v>
      </x:c>
    </x:row>
    <x:row r="81">
      <x:c r="A81" s="308" t="str">
        <x:v>GPT 5.5 — low</x:v>
      </x:c>
      <x:c r="B81" s="309"/>
      <x:c r="C81" s="309" t="str">
        <x:v>DATA-1</x:v>
      </x:c>
      <x:c r="D81" s="309" t="str">
        <x:v>СТРУКТУРИРОВАННЫЕ ДАННЫЕ</x:v>
      </x:c>
      <x:c r="E81" s="403" t="n">
        <x:v>80</x:v>
      </x:c>
      <x:c r="F81" s="309" t="str">
        <x:v>НЕБОЛЬШАЯ НЕТОЧНОСТЬ</x:v>
      </x:c>
      <x:c r="G81" s="285" t="str">
        <x:v>JSON семантически корректен, но обёрнут Markdown code fence, хотя задание требовало вернуть только валидный JSON.</x:v>
      </x:c>
    </x:row>
    <x:row r="82">
      <x:c r="A82" s="308" t="str">
        <x:v>GPT 5.5 — low</x:v>
      </x:c>
      <x:c r="B82" s="309"/>
      <x:c r="C82" s="309" t="str">
        <x:v>DB-6</x:v>
      </x:c>
      <x:c r="D82" s="309" t="str">
        <x:v>SQL И БАЗЫ ДАННЫХ</x:v>
      </x:c>
      <x:c r="E82" s="403" t="n">
        <x:v>70</x:v>
      </x:c>
      <x:c r="F82" s="309" t="str">
        <x:v>СРЕДНЯЯ НЕТОЧНОСТЬ</x:v>
      </x:c>
      <x:c r="G82" s="285" t="str">
        <x:v>Keyset pagination объяснена концептуально, но полноценный SQL с устойчивым tie-breaker не дан.</x:v>
      </x:c>
    </x:row>
    <x:row r="83">
      <x:c r="A83" s="308" t="str">
        <x:v>GPT 5.5 — low</x:v>
      </x:c>
      <x:c r="B83" s="309"/>
      <x:c r="C83" s="309" t="str">
        <x:v>DOCKER-1</x:v>
      </x:c>
      <x:c r="D83" s="309" t="str">
        <x:v>DOCKER И КОНТЕЙНЕРЫ</x:v>
      </x:c>
      <x:c r="E83" s="403" t="n">
        <x:v>90</x:v>
      </x:c>
      <x:c r="F83" s="309" t="str">
        <x:v>НЕБОЛЬШАЯ НЕТОЧНОСТЬ</x:v>
      </x:c>
      <x:c r="G83" s="285" t="str">
        <x:v>Основные production-проблемы Dockerfile распознаны; часть hardening/size/reproducibility мер сокращена.</x:v>
      </x:c>
    </x:row>
    <x:row r="84">
      <x:c r="A84" s="308" t="str">
        <x:v>GPT 5.5 — low</x:v>
      </x:c>
      <x:c r="B84" s="309"/>
      <x:c r="C84" s="309" t="str">
        <x:v>GIT-1</x:v>
      </x:c>
      <x:c r="D84" s="309" t="str">
        <x:v>GIT</x:v>
      </x:c>
      <x:c r="E84" s="403" t="n">
        <x:v>90</x:v>
      </x:c>
      <x:c r="F84" s="309" t="str">
        <x:v>НЕБОЛЬШАЯ НЕТОЧНОСТЬ</x:v>
      </x:c>
      <x:c r="G84" s="285" t="str">
        <x:v>Reflog recovery верный, но среди вариантов предложен destructive `reset --hard`; безопаснее сначала создать ветку на найденном SHA.</x:v>
      </x:c>
    </x:row>
    <x:row r="85">
      <x:c r="A85" s="308" t="str">
        <x:v>GPT 5.5 — low</x:v>
      </x:c>
      <x:c r="B85" s="309"/>
      <x:c r="C85" s="309" t="str">
        <x:v>GIT-5</x:v>
      </x:c>
      <x:c r="D85" s="309" t="str">
        <x:v>GIT</x:v>
      </x:c>
      <x:c r="E85" s="403" t="n">
        <x:v>90</x:v>
      </x:c>
      <x:c r="F85" s="309" t="str">
        <x:v>НЕБОЛЬШАЯ НЕТОЧНОСТЬ</x:v>
      </x:c>
      <x:c r="G85" s="285" t="str">
        <x:v>Stash/hotfix flow в целом верный; возврат/restore можно сделать более детерминированным и безопасным.</x:v>
      </x:c>
    </x:row>
    <x:row r="86">
      <x:c r="A86" s="308" t="str">
        <x:v>GPT 5.5 — low</x:v>
      </x:c>
      <x:c r="B86" s="309"/>
      <x:c r="C86" s="309" t="str">
        <x:v>INST-4</x:v>
      </x:c>
      <x:c r="D86" s="309" t="str">
        <x:v>ФИНАЛЬНАЯ ПРОВЕРКА СЛЕДОВАНИЯ ИНСТРУКЦИЯМ</x:v>
      </x:c>
      <x:c r="E86" s="403" t="n">
        <x:v>20</x:v>
      </x:c>
      <x:c r="F86" s="309" t="str">
        <x:v>СУЩЕСТВЕННО</x:v>
      </x:c>
      <x:c r="G86" s="285" t="str">
        <x:v>В ответе присутствуют file/source citations, то есть использовалась среда работы с файлами, при этом модель заявляет, что внешние инструменты не использовала. Это прямое нарушение/неточная самопроверка.</x:v>
      </x:c>
    </x:row>
    <x:row r="87">
      <x:c r="A87" s="308" t="str">
        <x:v>GPT 5.5 — low</x:v>
      </x:c>
      <x:c r="B87" s="309"/>
      <x:c r="C87" s="309" t="str">
        <x:v>LANG-2</x:v>
      </x:c>
      <x:c r="D87" s="309" t="str">
        <x:v>МНОГОЯЗЫЧНОСТЬ</x:v>
      </x:c>
      <x:c r="E87" s="403" t="n">
        <x:v>70</x:v>
      </x:c>
      <x:c r="F87" s="309" t="str">
        <x:v>СРЕДНЯЯ НЕТОЧНОСТЬ</x:v>
      </x:c>
      <x:c r="G87" s="285" t="str">
        <x:v>Смысл понятен, но формулировка перевода не вполне естественна для технического русского.</x:v>
      </x:c>
    </x:row>
    <x:row r="88">
      <x:c r="A88" s="308" t="str">
        <x:v>GPT 5.5 — low</x:v>
      </x:c>
      <x:c r="B88" s="309"/>
      <x:c r="C88" s="309" t="str">
        <x:v>PHP-1</x:v>
      </x:c>
      <x:c r="D88" s="309" t="str">
        <x:v>PHP 8.2+ — ПОНИМАНИЕ, БЕЗОПАСНОСТЬ И АРХИТЕКТУРА</x:v>
      </x:c>
      <x:c r="E88" s="403" t="n">
        <x:v>80</x:v>
      </x:c>
      <x:c r="F88" s="309" t="str">
        <x:v>НЕБОЛЬШАЯ НЕТОЧНОСТЬ</x:v>
      </x:c>
      <x:c r="G88" s="285" t="str">
        <x:v>Prepared statement защищает от SQL injection, но `(int)` до запроса смешивает invalid ID и допустимые значения; error contract неполон.</x:v>
      </x:c>
    </x:row>
    <x:row r="89">
      <x:c r="A89" s="308" t="str">
        <x:v>GPT 5.5 — low</x:v>
      </x:c>
      <x:c r="B89" s="309"/>
      <x:c r="C89" s="309" t="str">
        <x:v>PHP-8</x:v>
      </x:c>
      <x:c r="D89" s="309" t="str">
        <x:v>PHP 8.2+ — ПОНИМАНИЕ, БЕЗОПАСНОСТЬ И АРХИТЕКТУРА</x:v>
      </x:c>
      <x:c r="E89" s="403" t="n">
        <x:v>20</x:v>
      </x:c>
      <x:c r="F89" s="309" t="str">
        <x:v>СУЩЕСТВЕННО</x:v>
      </x:c>
      <x:c r="G89" s="285" t="str">
        <x:v>Крупный недочёт: требовалась Unicode case-insensitive normalize/dedupe функция, а ответ лишь упоминает mbstring без реализации.</x:v>
      </x:c>
    </x:row>
    <x:row r="90">
      <x:c r="A90" s="308" t="str">
        <x:v>GPT 5.5 — low</x:v>
      </x:c>
      <x:c r="B90" s="309"/>
      <x:c r="C90" s="309" t="str">
        <x:v>R-1</x:v>
      </x:c>
      <x:c r="D90" s="309" t="str">
        <x:v>РАССУЖДЕНИЕ И ЛОГИКА</x:v>
      </x:c>
      <x:c r="E90" s="403" t="n">
        <x:v>0</x:v>
      </x:c>
      <x:c r="F90" s="309" t="str">
        <x:v>КРИТИЧЕСКАЯ ОШИБКА</x:v>
      </x:c>
      <x:c r="G90" s="285" t="str">
        <x:v>Критическая логическая ошибка: модель утверждает, что допустимого расписания нет. Условия совместимы; например A, E, C, B, D.</x:v>
      </x:c>
    </x:row>
    <x:row r="91">
      <x:c r="A91" s="308" t="str">
        <x:v>GPT 5.5 — low</x:v>
      </x:c>
      <x:c r="B91" s="309"/>
      <x:c r="C91" s="309" t="str">
        <x:v>R-3</x:v>
      </x:c>
      <x:c r="D91" s="309" t="str">
        <x:v>РАССУЖДЕНИЕ И ЛОГИКА</x:v>
      </x:c>
      <x:c r="E91" s="403" t="n">
        <x:v>90</x:v>
      </x:c>
      <x:c r="F91" s="309" t="str">
        <x:v>НЕБОЛЬШАЯ НЕТОЧНОСТЬ</x:v>
      </x:c>
      <x:c r="G91" s="285" t="str">
        <x:v>Диагноз N+1 и первые проверки правильны; формулировка чуть менее точна, чем эталонный причинный разбор.</x:v>
      </x:c>
    </x:row>
    <x:row r="92">
      <x:c r="A92" s="308" t="str">
        <x:v>GPT 5.5 — low</x:v>
      </x:c>
      <x:c r="B92" s="309"/>
      <x:c r="C92" s="309" t="str">
        <x:v>SEC-1</x:v>
      </x:c>
      <x:c r="D92" s="309" t="str">
        <x:v>БЕЗОПАСНОСТЬ</x:v>
      </x:c>
      <x:c r="E92" s="403" t="n">
        <x:v>80</x:v>
      </x:c>
      <x:c r="F92" s="309" t="str">
        <x:v>НЕБОЛЬШАЯ НЕТОЧНОСТЬ</x:v>
      </x:c>
      <x:c r="G92" s="285" t="str">
        <x:v>Найдены основные SQLi/path/authz проблемы, но аудит «как можно больше проблем» неполон и исправленный end-to-end код отсутствует.</x:v>
      </x:c>
    </x:row>
    <x:row r="93">
      <x:c r="A93" s="308" t="str">
        <x:v>GPT 5.5 — low</x:v>
      </x:c>
      <x:c r="B93" s="309"/>
      <x:c r="C93" s="309" t="str">
        <x:v>SEC-4</x:v>
      </x:c>
      <x:c r="D93" s="309" t="str">
        <x:v>БЕЗОПАСНОСТЬ</x:v>
      </x:c>
      <x:c r="E93" s="403" t="n">
        <x:v>70</x:v>
      </x:c>
      <x:c r="F93" s="309" t="str">
        <x:v>СРЕДНЯЯ НЕТОЧНОСТЬ</x:v>
      </x:c>
      <x:c r="G93" s="285" t="str">
        <x:v>Базовые SSRF-защиты названы, но redirects, DNS rebinding и повторная проверка resolved IP раскрыты неполно.</x:v>
      </x:c>
    </x:row>
    <x:row r="94">
      <x:c r="A94" s="308" t="str">
        <x:v>GPT 5.5 — low</x:v>
      </x:c>
      <x:c r="B94" s="309"/>
      <x:c r="C94" s="309" t="str">
        <x:v>SYS-1</x:v>
      </x:c>
      <x:c r="D94" s="309" t="str">
        <x:v>ПРОЕКТИРОВАНИЕ НЕБОЛЬШОЙ СИСТЕМЫ</x:v>
      </x:c>
      <x:c r="E94" s="403" t="n">
        <x:v>85</x:v>
      </x:c>
      <x:c r="F94" s="309" t="str">
        <x:v>НЕБОЛЬШАЯ НЕТОЧНОСТЬ</x:v>
      </x:c>
      <x:c r="G94" s="285" t="str">
        <x:v>Архитектура правильного направления, но idempotency request-hash/state/recovery invariants для полного production design раскрыты кратко.</x:v>
      </x:c>
    </x:row>
    <x:row r="95">
      <x:c r="A95" s="308" t="str">
        <x:v>GPT 5.5 — low</x:v>
      </x:c>
      <x:c r="B95" s="309"/>
      <x:c r="C95" s="309" t="str">
        <x:v>WEB-2</x:v>
      </x:c>
      <x:c r="D95" s="309" t="str">
        <x:v>HTML, CSS, SVG И ДОСТУПНОСТЬ</x:v>
      </x:c>
      <x:c r="E95" s="403" t="n">
        <x:v>80</x:v>
      </x:c>
      <x:c r="F95" s="309" t="str">
        <x:v>НЕБОЛЬШАЯ НЕТОЧНОСТЬ</x:v>
      </x:c>
      <x:c r="G95" s="285" t="str">
        <x:v>Label/type=email/required/aria-describedby есть, но кастомная ошибка статически видима и не связана с фактическим invalid state.</x:v>
      </x:c>
    </x:row>
    <x:row r="96">
      <x:c r="A96" s="308" t="str">
        <x:v>GPT 5.5 — low</x:v>
      </x:c>
      <x:c r="B96" s="309"/>
      <x:c r="C96" s="309" t="str">
        <x:v>WEB-3</x:v>
      </x:c>
      <x:c r="D96" s="309" t="str">
        <x:v>HTML, CSS, SVG И ДОСТУПНОСТЬ</x:v>
      </x:c>
      <x:c r="E96" s="403" t="n">
        <x:v>80</x:v>
      </x:c>
      <x:c r="F96" s="309" t="str">
        <x:v>НЕБОЛЬШАЯ НЕТОЧНОСТЬ</x:v>
      </x:c>
      <x:c r="G96" s="285" t="str">
        <x:v>`auto-fit`/minmax responsive grid не ограничивает число колонок максимум четырьмя, как требовалось.</x:v>
      </x:c>
    </x:row>
    <x:row r="97">
      <x:c r="A97" s="308" t="str">
        <x:v>Qwen 3.6 35b a3b mtp</x:v>
      </x:c>
      <x:c r="B97" s="309" t="str">
        <x:v>thinking</x:v>
      </x:c>
      <x:c r="C97" s="309" t="str">
        <x:v>ARCH-1</x:v>
      </x:c>
      <x:c r="D97" s="309" t="str">
        <x:v>BACKEND, FULL-STACK И API-АРХИТЕКТУРА</x:v>
      </x:c>
      <x:c r="E97" s="403" t="n">
        <x:v>80</x:v>
      </x:c>
      <x:c r="F97" s="309" t="str">
        <x:v>НЕБОЛЬШАЯ/СРЕДНЯЯ НЕТOЧНОСТЬ</x:v>
      </x:c>
      <x:c r="G97" s="285" t="str">
        <x:v>Основная схема идемпотентности верна, но не разобрана атомарная конкуренция двух одновременных запросов с одним ключом.</x:v>
      </x:c>
    </x:row>
    <x:row r="98">
      <x:c r="A98" s="308" t="str">
        <x:v>Qwen 3.6 35b a3b mtp</x:v>
      </x:c>
      <x:c r="B98" s="309" t="str">
        <x:v>thinking</x:v>
      </x:c>
      <x:c r="C98" s="309" t="str">
        <x:v>CS-1</x:v>
      </x:c>
      <x:c r="D98" s="309" t="str">
        <x:v>C# — ПОНИМАНИЕ, ОТЛАДКА И НАПИСАНИЕ</x:v>
      </x:c>
      <x:c r="E98" s="403" t="n">
        <x:v>80</x:v>
      </x:c>
      <x:c r="F98" s="309" t="str">
        <x:v>НЕБОЛЬШАЯ/СРЕДНЯЯ НЕТOЧНОСТЬ</x:v>
      </x:c>
      <x:c r="G98" s="285" t="str">
        <x:v>Основные async-проблемы исправлены, но политика обработки исключений в итоговом варианте фактически сводится к их пробросу и не описана явно.</x:v>
      </x:c>
    </x:row>
    <x:row r="99">
      <x:c r="A99" s="308" t="str">
        <x:v>Qwen 3.6 35b a3b mtp</x:v>
      </x:c>
      <x:c r="B99" s="309" t="str">
        <x:v>thinking</x:v>
      </x:c>
      <x:c r="C99" s="309" t="str">
        <x:v>CS-4</x:v>
      </x:c>
      <x:c r="D99" s="309" t="str">
        <x:v>C# — ПОНИМАНИЕ, ОТЛАДКА И НАПИСАНИЕ</x:v>
      </x:c>
      <x:c r="E99" s="403" t="n">
        <x:v>40</x:v>
      </x:c>
      <x:c r="F99" s="309" t="str">
        <x:v>СУЩЕСТВЕННО</x:v>
      </x:c>
      <x:c r="G99" s="285" t="str">
        <x:v>Ошибочно предлагается объединить резервирование и внешнее списание денег в одну локальную SQL-транзакцию; для внешнего платежа нужны отдельная идемпотентность/компенсация.</x:v>
      </x:c>
    </x:row>
    <x:row r="100">
      <x:c r="A100" s="308" t="str">
        <x:v>Qwen 3.6 35b a3b mtp</x:v>
      </x:c>
      <x:c r="B100" s="309" t="str">
        <x:v>thinking</x:v>
      </x:c>
      <x:c r="C100" s="309" t="str">
        <x:v>DATA-1</x:v>
      </x:c>
      <x:c r="D100" s="309" t="str">
        <x:v>СТРУКТУРИРОВАННЫЕ ДАННЫЕ</x:v>
      </x:c>
      <x:c r="E100" s="403" t="n">
        <x:v>80</x:v>
      </x:c>
      <x:c r="F100" s="309" t="str">
        <x:v>НЕБОЛЬШАЯ/СРЕДНЯЯ НЕТOЧНОСТЬ</x:v>
      </x:c>
      <x:c r="G100" s="285" t="str">
        <x:v>Сам JSON корректен, но строгая инструкция просила для DATA-1 вернуть только JSON; сохранён Markdown-заголовок/ограждение.</x:v>
      </x:c>
    </x:row>
    <x:row r="101">
      <x:c r="A101" s="308" t="str">
        <x:v>Qwen 3.6 35b a3b mtp</x:v>
      </x:c>
      <x:c r="B101" s="309" t="str">
        <x:v>thinking</x:v>
      </x:c>
      <x:c r="C101" s="309" t="str">
        <x:v>DIAG-3</x:v>
      </x:c>
      <x:c r="D101" s="309" t="str">
        <x:v>ПРАКТИЧЕСКАЯ СИСТЕМНАЯ ДИАГНОСТИКА</x:v>
      </x:c>
      <x:c r="E101" s="403" t="n">
        <x:v>60</x:v>
      </x:c>
      <x:c r="F101" s="309" t="str">
        <x:v>ЧАСТИЧНО</x:v>
      </x:c>
      <x:c r="G101" s="285" t="str">
        <x:v>Есть хорошая цепочка локальной DNS-диагностики, но не доведена явно до recursive/authoritative NS; reverse DNS здесь вторичен.</x:v>
      </x:c>
    </x:row>
    <x:row r="102">
      <x:c r="A102" s="308" t="str">
        <x:v>Qwen 3.6 35b a3b mtp</x:v>
      </x:c>
      <x:c r="B102" s="309" t="str">
        <x:v>thinking</x:v>
      </x:c>
      <x:c r="C102" s="309" t="str">
        <x:v>DOCKER-1</x:v>
      </x:c>
      <x:c r="D102" s="309" t="str">
        <x:v>DOCKER И КОНТЕЙНЕРЫ</x:v>
      </x:c>
      <x:c r="E102" s="403" t="n">
        <x:v>80</x:v>
      </x:c>
      <x:c r="F102" s="309" t="str">
        <x:v>НЕБОЛЬШАЯ/СРЕДНЯЯ НЕТOЧНОСТЬ</x:v>
      </x:c>
      <x:c r="G102" s="285" t="str">
        <x:v>Основные проблемы найдены, но high-level исправление не закрепляет версии пакетов/образа и не разбирает очистку apt/production healthcheck.</x:v>
      </x:c>
    </x:row>
    <x:row r="103">
      <x:c r="A103" s="308" t="str">
        <x:v>Qwen 3.6 35b a3b mtp</x:v>
      </x:c>
      <x:c r="B103" s="309" t="str">
        <x:v>thinking</x:v>
      </x:c>
      <x:c r="C103" s="309" t="str">
        <x:v>INST-2</x:v>
      </x:c>
      <x:c r="D103" s="309" t="str">
        <x:v>ФИНАЛЬНАЯ ПРОВЕРКА СЛЕДОВАНИЯ ИНСТРУКЦИЯМ</x:v>
      </x:c>
      <x:c r="E103" s="403" t="n">
        <x:v>80</x:v>
      </x:c>
      <x:c r="F103" s="309" t="str">
        <x:v>НЕБОЛЬШАЯ/СРЕДНЯЯ НЕТOЧНОСТЬ</x:v>
      </x:c>
      <x:c r="G103" s="285" t="str">
        <x:v>Названы три задания вместо требуемых двух; сами примеры противоречий корректны.</x:v>
      </x:c>
    </x:row>
    <x:row r="104">
      <x:c r="A104" s="308" t="str">
        <x:v>Qwen 3.6 35b a3b mtp</x:v>
      </x:c>
      <x:c r="B104" s="309" t="str">
        <x:v>thinking</x:v>
      </x:c>
      <x:c r="C104" s="309" t="str">
        <x:v>INST-3</x:v>
      </x:c>
      <x:c r="D104" s="309" t="str">
        <x:v>ФИНАЛЬНАЯ ПРОВЕРКА СЛЕДОВАНИЯ ИНСТРУКЦИЯМ</x:v>
      </x:c>
      <x:c r="E104" s="403" t="n">
        <x:v>20</x:v>
      </x:c>
      <x:c r="F104" s="309" t="str">
        <x:v>КРИТИЧЕСКАЯ ОШИБКА</x:v>
      </x:c>
      <x:c r="G104" s="285" t="str">
        <x:v>Указан DATA-2, хотя внедрение инструкции находилось в CRIT-6.</x:v>
      </x:c>
    </x:row>
    <x:row r="105">
      <x:c r="A105" s="308" t="str">
        <x:v>Qwen 3.6 35b a3b mtp</x:v>
      </x:c>
      <x:c r="B105" s="309" t="str">
        <x:v>thinking</x:v>
      </x:c>
      <x:c r="C105" s="309" t="str">
        <x:v>INST-4</x:v>
      </x:c>
      <x:c r="D105" s="309" t="str">
        <x:v>ФИНАЛЬНАЯ ПРОВЕРКА СЛЕДОВАНИЯ ИНСТРУКЦИЯМ</x:v>
      </x:c>
      <x:c r="E105" s="403" t="n">
        <x:v>40</x:v>
      </x:c>
      <x:c r="F105" s="309" t="str">
        <x:v>СУЩЕСТВЕННО</x:v>
      </x:c>
      <x:c r="G105" s="285" t="str">
        <x:v>В thinking-файле в начале указан `MODE: non-thinking`, а в FINAL ошибочно заявлено 118 выполненных заданий при фактически данных 170 ответах.</x:v>
      </x:c>
    </x:row>
    <x:row r="106">
      <x:c r="A106" s="308" t="str">
        <x:v>Qwen 3.6 35b a3b mtp</x:v>
      </x:c>
      <x:c r="B106" s="309" t="str">
        <x:v>thinking</x:v>
      </x:c>
      <x:c r="C106" s="309" t="str">
        <x:v>JS-1</x:v>
      </x:c>
      <x:c r="D106" s="309" t="str">
        <x:v>JAVASCRIPT</x:v>
      </x:c>
      <x:c r="E106" s="403" t="n">
        <x:v>20</x:v>
      </x:c>
      <x:c r="F106" s="309" t="str">
        <x:v>КРИТИЧЕСКАЯ ОШИБКА</x:v>
      </x:c>
      <x:c r="G106" s="285" t="str">
        <x:v>Неверный порядок микрозадач: Promise.then(C) поставлен в очередь раньше queueMicrotask(D). Правильно A, E, C, D, B.</x:v>
      </x:c>
    </x:row>
    <x:row r="107">
      <x:c r="A107" s="308" t="str">
        <x:v>Qwen 3.6 35b a3b mtp</x:v>
      </x:c>
      <x:c r="B107" s="309" t="str">
        <x:v>thinking</x:v>
      </x:c>
      <x:c r="C107" s="309" t="str">
        <x:v>JS-5</x:v>
      </x:c>
      <x:c r="D107" s="309" t="str">
        <x:v>JAVASCRIPT</x:v>
      </x:c>
      <x:c r="E107" s="403" t="n">
        <x:v>40</x:v>
      </x:c>
      <x:c r="F107" s="309" t="str">
        <x:v>СУЩЕСТВЕННО</x:v>
      </x:c>
      <x:c r="G107" s="285" t="str">
        <x:v>Timeout лишь отклоняет Promise.race, но не отменяет сам fetch; ключевое требование отмены запроса по таймауту не выполнено.</x:v>
      </x:c>
    </x:row>
    <x:row r="108">
      <x:c r="A108" s="308" t="str">
        <x:v>Qwen 3.6 35b a3b mtp</x:v>
      </x:c>
      <x:c r="B108" s="309" t="str">
        <x:v>thinking</x:v>
      </x:c>
      <x:c r="C108" s="309" t="str">
        <x:v>MEM-14</x:v>
      </x:c>
      <x:c r="D108" s="309" t="str">
        <x:v>ДЛИННЫЙ КОНТЕКСТ И ТОЧНОЕ СЛЕДОВАНИЕ РАННИМ УСЛОВИЯМ</x:v>
      </x:c>
      <x:c r="E108" s="403" t="n">
        <x:v>80</x:v>
      </x:c>
      <x:c r="F108" s="309" t="str">
        <x:v>НЕБОЛЬШАЯ/СРЕДНЯЯ НЕТOЧНОСТЬ</x:v>
      </x:c>
      <x:c r="G108" s="285" t="str">
        <x:v>Все ранние параметры удержаны, но SQL-транзакция открывается до внешнего платежного вызова и тем самым повторяет ранее диагностированный опасный паттерн.</x:v>
      </x:c>
    </x:row>
    <x:row r="109">
      <x:c r="A109" s="308" t="str">
        <x:v>Qwen 3.6 35b a3b mtp</x:v>
      </x:c>
      <x:c r="B109" s="309" t="str">
        <x:v>thinking</x:v>
      </x:c>
      <x:c r="C109" s="309" t="str">
        <x:v>PERF-5</x:v>
      </x:c>
      <x:c r="D109" s="309" t="str">
        <x:v>ПРОИЗВОДИТЕЛЬНОСТЬ И КОНКУРЕНТНОСТЬ</x:v>
      </x:c>
      <x:c r="E109" s="403" t="n">
        <x:v>80</x:v>
      </x:c>
      <x:c r="F109" s="309" t="str">
        <x:v>НЕБОЛЬШАЯ/СРЕДНЯЯ НЕТOЧНОСТЬ</x:v>
      </x:c>
      <x:c r="G109" s="285" t="str">
        <x:v>Четыре источника роста памяти релевантны; «логирование без ротации» в первую очередь ведёт к росту диска, а не памяти процесса.</x:v>
      </x:c>
    </x:row>
    <x:row r="110">
      <x:c r="A110" s="308" t="str">
        <x:v>Qwen 3.6 35b a3b mtp</x:v>
      </x:c>
      <x:c r="B110" s="309" t="str">
        <x:v>thinking</x:v>
      </x:c>
      <x:c r="C110" s="309" t="str">
        <x:v>PHP-7</x:v>
      </x:c>
      <x:c r="D110" s="309" t="str">
        <x:v>PHP 8.2+ — ПОНИМАНИЕ, БЕЗОПАСНОСТЬ И АРХИТЕКТУРА</x:v>
      </x:c>
      <x:c r="E110" s="403" t="n">
        <x:v>80</x:v>
      </x:c>
      <x:c r="F110" s="309" t="str">
        <x:v>НЕБОЛЬШАЯ/СРЕДНЯЯ НЕТOЧНОСТЬ</x:v>
      </x:c>
      <x:c r="G110" s="285" t="str">
        <x:v>Основные проверки перечислены, но безопасная выдача/изоляция и защита повторной обработки раскрыты не полностью.</x:v>
      </x:c>
    </x:row>
    <x:row r="111">
      <x:c r="A111" s="308" t="str">
        <x:v>Qwen 3.6 35b a3b mtp</x:v>
      </x:c>
      <x:c r="B111" s="309" t="str">
        <x:v>thinking</x:v>
      </x:c>
      <x:c r="C111" s="309" t="str">
        <x:v>R-4</x:v>
      </x:c>
      <x:c r="D111" s="309" t="str">
        <x:v>РАССУЖДЕНИЕ И ЛОГИКА</x:v>
      </x:c>
      <x:c r="E111" s="403" t="n">
        <x:v>40</x:v>
      </x:c>
      <x:c r="F111" s="309" t="str">
        <x:v>СУЩЕСТВЕННО</x:v>
      </x:c>
      <x:c r="G111" s="285" t="str">
        <x:v>Минимум назван неверно: для 9 шаров достаточно 2 взвешиваний; собственная стратегия фактически позволяет завершить на втором.</x:v>
      </x:c>
    </x:row>
    <x:row r="112">
      <x:c r="A112" s="308" t="str">
        <x:v>Qwen 3.6 35b a3b mtp</x:v>
      </x:c>
      <x:c r="B112" s="309" t="str">
        <x:v>thinking</x:v>
      </x:c>
      <x:c r="C112" s="309" t="str">
        <x:v>R-8</x:v>
      </x:c>
      <x:c r="D112" s="309" t="str">
        <x:v>РАССУЖДЕНИЕ И ЛОГИКА</x:v>
      </x:c>
      <x:c r="E112" s="403" t="n">
        <x:v>80</x:v>
      </x:c>
      <x:c r="F112" s="309" t="str">
        <x:v>НЕБОЛЬШАЯ/СРЕДНЯЯ НЕТOЧНОСТЬ</x:v>
      </x:c>
      <x:c r="G112" s="285" t="str">
        <x:v>План рабочий, но финальное переключение/rollback и защита от расхождений dual-write описаны кратко.</x:v>
      </x:c>
    </x:row>
    <x:row r="113">
      <x:c r="A113" s="308" t="str">
        <x:v>Qwen 3.6 35b a3b mtp</x:v>
      </x:c>
      <x:c r="B113" s="309" t="str">
        <x:v>thinking</x:v>
      </x:c>
      <x:c r="C113" s="309" t="str">
        <x:v>SCI-5</x:v>
      </x:c>
      <x:c r="D113" s="309" t="str">
        <x:v>НАУКА</x:v>
      </x:c>
      <x:c r="E113" s="403" t="n">
        <x:v>80</x:v>
      </x:c>
      <x:c r="F113" s="309" t="str">
        <x:v>НЕБОЛЬШАЯ/СРЕДНЯЯ НЕТOЧНОСТЬ</x:v>
      </x:c>
      <x:c r="G113" s="285" t="str">
        <x:v>Популяционный характер эволюции передан верно, но фраза о том, что приобретённые признаки вообще не наследуются, чрезмерно абсолютна.</x:v>
      </x:c>
    </x:row>
    <x:row r="114">
      <x:c r="A114" s="308" t="str">
        <x:v>Qwen 3.6 35b a3b mtp</x:v>
      </x:c>
      <x:c r="B114" s="309" t="str">
        <x:v>thinking</x:v>
      </x:c>
      <x:c r="C114" s="309" t="str">
        <x:v>SEC-1</x:v>
      </x:c>
      <x:c r="D114" s="309" t="str">
        <x:v>БЕЗОПАСНОСТЬ</x:v>
      </x:c>
      <x:c r="E114" s="403" t="n">
        <x:v>80</x:v>
      </x:c>
      <x:c r="F114" s="309" t="str">
        <x:v>НЕБОЛЬШАЯ/СРЕДНЯЯ НЕТOЧНОСТЬ</x:v>
      </x:c>
      <x:c r="G114" s="285" t="str">
        <x:v>Хорошо найдены SQLi/LFI и отсутствие контроля доступа, но аудит не максимально полный; realpath/whitelist нужно сочетать с корневой изоляцией и объектной авторизацией.</x:v>
      </x:c>
    </x:row>
    <x:row r="115">
      <x:c r="A115" s="308" t="str">
        <x:v>Qwen 3.6 35b a3b mtp</x:v>
      </x:c>
      <x:c r="B115" s="309" t="str">
        <x:v>thinking</x:v>
      </x:c>
      <x:c r="C115" s="309" t="str">
        <x:v>SEC-4</x:v>
      </x:c>
      <x:c r="D115" s="309" t="str">
        <x:v>БЕЗОПАСНОСТЬ</x:v>
      </x:c>
      <x:c r="E115" s="403" t="n">
        <x:v>80</x:v>
      </x:c>
      <x:c r="F115" s="309" t="str">
        <x:v>НЕБОЛЬШАЯ/СРЕДНЯЯ НЕТOЧНОСТЬ</x:v>
      </x:c>
      <x:c r="G115" s="285" t="str">
        <x:v>Базовая защита SSRF верна, но отсутствуют DNS rebinding, redirects и повторная проверка разрешённого IP после DNS-resolve.</x:v>
      </x:c>
    </x:row>
    <x:row r="116">
      <x:c r="A116" s="308" t="str">
        <x:v>Qwen 3.6 35b a3b mtp</x:v>
      </x:c>
      <x:c r="B116" s="309" t="str">
        <x:v>thinking</x:v>
      </x:c>
      <x:c r="C116" s="309" t="str">
        <x:v>SELF-1</x:v>
      </x:c>
      <x:c r="D116" s="309" t="str">
        <x:v>САМОПРОВЕРКА И ИСПРАВЛЕНИЕ СОБСТВЕННОГО РЕШЕНИЯ</x:v>
      </x:c>
      <x:c r="E116" s="403" t="n">
        <x:v>80</x:v>
      </x:c>
      <x:c r="F116" s="309" t="str">
        <x:v>НЕБОЛЬШАЯ/СРЕДНЯЯ НЕТOЧНОСТЬ</x:v>
      </x:c>
      <x:c r="G116" s="285" t="str">
        <x:v>Outbox выбран правильно, но аудит формулирует падение publisher до publish как возможную потерю, хотя сохранённая outbox-запись должна обеспечить последующий повтор.</x:v>
      </x:c>
    </x:row>
    <x:row r="117">
      <x:c r="A117" s="308" t="str">
        <x:v>Qwen 3.6 35b a3b mtp</x:v>
      </x:c>
      <x:c r="B117" s="309" t="str">
        <x:v>thinking</x:v>
      </x:c>
      <x:c r="C117" s="309" t="str">
        <x:v>SH-2</x:v>
      </x:c>
      <x:c r="D117" s="309" t="str">
        <x:v>BASH, ZSH И macOS TERMINAL</x:v>
      </x:c>
      <x:c r="E117" s="403" t="n">
        <x:v>20</x:v>
      </x:c>
      <x:c r="F117" s="309" t="str">
        <x:v>КРИТИЧЕСКАЯ ОШИБКА</x:v>
      </x:c>
      <x:c r="G117" s="285" t="str">
        <x:v>Команда с `-print0 | wc -l` не считает NUL-разделённые записи и не удовлетворяет требованию имён с переводами строк.</x:v>
      </x:c>
    </x:row>
    <x:row r="118">
      <x:c r="A118" s="308" t="str">
        <x:v>Qwen 3.6 35b a3b mtp</x:v>
      </x:c>
      <x:c r="B118" s="309" t="str">
        <x:v>thinking</x:v>
      </x:c>
      <x:c r="C118" s="309" t="str">
        <x:v>SH-3</x:v>
      </x:c>
      <x:c r="D118" s="309" t="str">
        <x:v>BASH, ZSH И macOS TERMINAL</x:v>
      </x:c>
      <x:c r="E118" s="403" t="n">
        <x:v>40</x:v>
      </x:c>
      <x:c r="F118" s="309" t="str">
        <x:v>СУЩЕСТВЕННО</x:v>
      </x:c>
      <x:c r="G118" s="285" t="str">
        <x:v>Неверно сказано, что при пустом DIR удалится буквальный `*`: выражение становится `/*` и может раскрыться в содержимое корня. Общий риск замечен, но механизм объяснён ошибочно.</x:v>
      </x:c>
    </x:row>
    <x:row r="119">
      <x:c r="A119" s="308" t="str">
        <x:v>Qwen 3.6 35b a3b mtp</x:v>
      </x:c>
      <x:c r="B119" s="309" t="str">
        <x:v>thinking</x:v>
      </x:c>
      <x:c r="C119" s="309" t="str">
        <x:v>SH-7</x:v>
      </x:c>
      <x:c r="D119" s="309" t="str">
        <x:v>BASH, ZSH И macOS TERMINAL</x:v>
      </x:c>
      <x:c r="E119" s="403" t="n">
        <x:v>60</x:v>
      </x:c>
      <x:c r="F119" s="309" t="str">
        <x:v>ЧАСТИЧНО</x:v>
      </x:c>
      <x:c r="G119" s="285" t="str">
        <x:v>Объяснение `-e/-u/pipefail` есть, но требуемый цельный Bash-фрагмент `set -euo pipefail` не дан.</x:v>
      </x:c>
    </x:row>
    <x:row r="120">
      <x:c r="A120" s="308" t="str">
        <x:v>Qwen 3.6 35b a3b mtp</x:v>
      </x:c>
      <x:c r="B120" s="309" t="str">
        <x:v>thinking</x:v>
      </x:c>
      <x:c r="C120" s="309" t="str">
        <x:v>SYS-1</x:v>
      </x:c>
      <x:c r="D120" s="309" t="str">
        <x:v>ПРОЕКТИРОВАНИЕ НЕБОЛЬШОЙ СИСТЕМЫ</x:v>
      </x:c>
      <x:c r="E120" s="403" t="n">
        <x:v>40</x:v>
      </x:c>
      <x:c r="F120" s="309" t="str">
        <x:v>СУЩЕСТВЕННО</x:v>
      </x:c>
      <x:c r="G120" s="285" t="str">
        <x:v>Пропущены лимит 25 MiB и явная гарантия DB→Redis через outbox; использован неверный путь `/api/v2/documents/upload` вместо заданного исключения `/api/v1/documents/upload`.</x:v>
      </x:c>
    </x:row>
    <x:row r="121">
      <x:c r="A121" s="308" t="str">
        <x:v>Qwen 3.6 35b a3b mtp</x:v>
      </x:c>
      <x:c r="B121" s="309" t="str">
        <x:v>без thinking</x:v>
      </x:c>
      <x:c r="C121" s="309" t="str">
        <x:v>ARCH-1</x:v>
      </x:c>
      <x:c r="D121" s="309" t="str">
        <x:v>BACKEND, FULL-STACK И API-АРХИТЕКТУРА</x:v>
      </x:c>
      <x:c r="E121" s="403" t="n">
        <x:v>80</x:v>
      </x:c>
      <x:c r="F121" s="309" t="str">
        <x:v>НЕБОЛЬШАЯ/СРЕДНЯЯ НЕТOЧНОСТЬ</x:v>
      </x:c>
      <x:c r="G121" s="285" t="str">
        <x:v>Идемпотентность описана правильно на уровне идеи, но не разобран атомарный claim уникального ключа при конкурентных запросах.</x:v>
      </x:c>
    </x:row>
    <x:row r="122">
      <x:c r="A122" s="308" t="str">
        <x:v>Qwen 3.6 35b a3b mtp</x:v>
      </x:c>
      <x:c r="B122" s="309" t="str">
        <x:v>без thinking</x:v>
      </x:c>
      <x:c r="C122" s="309" t="str">
        <x:v>ARCH-4</x:v>
      </x:c>
      <x:c r="D122" s="309" t="str">
        <x:v>BACKEND, FULL-STACK И API-АРХИТЕКТУРА</x:v>
      </x:c>
      <x:c r="E122" s="403" t="n">
        <x:v>80</x:v>
      </x:c>
      <x:c r="F122" s="309" t="str">
        <x:v>НЕБОЛЬШАЯ/СРЕДНЯЯ НЕТOЧНОСТЬ</x:v>
      </x:c>
      <x:c r="G122" s="285" t="str">
        <x:v>Основные части webhook есть, но retry/idempotent consumer и стратегия обработки out-of-order событий раскрыты поверхностно.</x:v>
      </x:c>
    </x:row>
    <x:row r="123">
      <x:c r="A123" s="308" t="str">
        <x:v>Qwen 3.6 35b a3b mtp</x:v>
      </x:c>
      <x:c r="B123" s="309" t="str">
        <x:v>без thinking</x:v>
      </x:c>
      <x:c r="C123" s="309" t="str">
        <x:v>CS-1</x:v>
      </x:c>
      <x:c r="D123" s="309" t="str">
        <x:v>C# — ПОНИМАНИЕ, ОТЛАДКА И НАПИСАНИЕ</x:v>
      </x:c>
      <x:c r="E123" s="403" t="n">
        <x:v>80</x:v>
      </x:c>
      <x:c r="F123" s="309" t="str">
        <x:v>НЕБОЛЬШАЯ/СРЕДНЯЯ НЕТOЧНОСТЬ</x:v>
      </x:c>
      <x:c r="G123" s="285" t="str">
        <x:v>Код в целом рабочий и параллелизм ограничен, но HttpClient создаётся на каждый вызов метода и политика ошибок остаётся общей обёрткой исключений.</x:v>
      </x:c>
    </x:row>
    <x:row r="124">
      <x:c r="A124" s="308" t="str">
        <x:v>Qwen 3.6 35b a3b mtp</x:v>
      </x:c>
      <x:c r="B124" s="309" t="str">
        <x:v>без thinking</x:v>
      </x:c>
      <x:c r="C124" s="309" t="str">
        <x:v>CS-2</x:v>
      </x:c>
      <x:c r="D124" s="309" t="str">
        <x:v>C# — ПОНИМАНИЕ, ОТЛАДКА И НАПИСАНИЕ</x:v>
      </x:c>
      <x:c r="E124" s="403" t="n">
        <x:v>60</x:v>
      </x:c>
      <x:c r="F124" s="309" t="str">
        <x:v>ЧАСТИЧНО</x:v>
      </x:c>
      <x:c r="G124" s="285" t="str">
        <x:v>`Interlocked.Increment(ref Value)` не компилируется для auto-property; нужен backing field. Вариант с lock как идея корректен.</x:v>
      </x:c>
    </x:row>
    <x:row r="125">
      <x:c r="A125" s="308" t="str">
        <x:v>Qwen 3.6 35b a3b mtp</x:v>
      </x:c>
      <x:c r="B125" s="309" t="str">
        <x:v>без thinking</x:v>
      </x:c>
      <x:c r="C125" s="309" t="str">
        <x:v>DATA-1</x:v>
      </x:c>
      <x:c r="D125" s="309" t="str">
        <x:v>СТРУКТУРИРОВАННЫЕ ДАННЫЕ</x:v>
      </x:c>
      <x:c r="E125" s="403" t="n">
        <x:v>80</x:v>
      </x:c>
      <x:c r="F125" s="309" t="str">
        <x:v>НЕБОЛЬШАЯ/СРЕДНЯЯ НЕТOЧНОСТЬ</x:v>
      </x:c>
      <x:c r="G125" s="285" t="str">
        <x:v>JSON корректен, но нарушена строгая локальная форма «только JSON» из-за Markdown-заголовка/блока.</x:v>
      </x:c>
    </x:row>
    <x:row r="126">
      <x:c r="A126" s="308" t="str">
        <x:v>Qwen 3.6 35b a3b mtp</x:v>
      </x:c>
      <x:c r="B126" s="309" t="str">
        <x:v>без thinking</x:v>
      </x:c>
      <x:c r="C126" s="309" t="str">
        <x:v>DIAG-3</x:v>
      </x:c>
      <x:c r="D126" s="309" t="str">
        <x:v>ПРАКТИЧЕСКАЯ СИСТЕМНАЯ ДИАГНОСТИКА</x:v>
      </x:c>
      <x:c r="E126" s="403" t="n">
        <x:v>60</x:v>
      </x:c>
      <x:c r="F126" s="309" t="str">
        <x:v>ЧАСТИЧНО</x:v>
      </x:c>
      <x:c r="G126" s="285" t="str">
        <x:v>Путь до authoritative DNS обозначен, но диагностика слишком короткая: не разделены stub/local cache, recursive resolver, delegation/NS и проверки с `dig +trace`/`@server`.</x:v>
      </x:c>
    </x:row>
    <x:row r="127">
      <x:c r="A127" s="308" t="str">
        <x:v>Qwen 3.6 35b a3b mtp</x:v>
      </x:c>
      <x:c r="B127" s="309" t="str">
        <x:v>без thinking</x:v>
      </x:c>
      <x:c r="C127" s="309" t="str">
        <x:v>DIAG-4</x:v>
      </x:c>
      <x:c r="D127" s="309" t="str">
        <x:v>ПРАКТИЧЕСКАЯ СИСТЕМНАЯ ДИАГНОСТИКА</x:v>
      </x:c>
      <x:c r="E127" s="403" t="n">
        <x:v>60</x:v>
      </x:c>
      <x:c r="F127" s="309" t="str">
        <x:v>ЧАСТИЧНО</x:v>
      </x:c>
      <x:c r="G127" s="285" t="str">
        <x:v>Проверены родительские каталоги и пользователи, но пропущены ACL, SELinux/AppArmor и точная проверка execute-бита по каждому компоненту пути.</x:v>
      </x:c>
    </x:row>
    <x:row r="128">
      <x:c r="A128" s="308" t="str">
        <x:v>Qwen 3.6 35b a3b mtp</x:v>
      </x:c>
      <x:c r="B128" s="309" t="str">
        <x:v>без thinking</x:v>
      </x:c>
      <x:c r="C128" s="309" t="str">
        <x:v>DOCKER-1</x:v>
      </x:c>
      <x:c r="D128" s="309" t="str">
        <x:v>DOCKER И КОНТЕЙНЕРЫ</x:v>
      </x:c>
      <x:c r="E128" s="403" t="n">
        <x:v>80</x:v>
      </x:c>
      <x:c r="F128" s="309" t="str">
        <x:v>НЕБОЛЬШАЯ/СРЕДНЯЯ НЕТOЧНОСТЬ</x:v>
      </x:c>
      <x:c r="G128" s="285" t="str">
        <x:v>Основные дефекты замечены, но решение не закрепляет версии образа/пакетов и слишком универсально предлагает alpine/distroless.</x:v>
      </x:c>
    </x:row>
    <x:row r="129">
      <x:c r="A129" s="308" t="str">
        <x:v>Qwen 3.6 35b a3b mtp</x:v>
      </x:c>
      <x:c r="B129" s="309" t="str">
        <x:v>без thinking</x:v>
      </x:c>
      <x:c r="C129" s="309" t="str">
        <x:v>GK-4</x:v>
      </x:c>
      <x:c r="D129" s="309" t="str">
        <x:v>ОБЩИЕ ЗНАНИЯ</x:v>
      </x:c>
      <x:c r="E129" s="403" t="n">
        <x:v>60</x:v>
      </x:c>
      <x:c r="F129" s="309" t="str">
        <x:v>ЧАСТИЧНО</x:v>
      </x:c>
      <x:c r="G129" s="285" t="str">
        <x:v>Первая причина сформулирована наоборот: более высокая скорость обращения при прочих равных усиливает номинальные расходы/ценовое давление; остальные пункты частично компенсируют ошибку.</x:v>
      </x:c>
    </x:row>
    <x:row r="130">
      <x:c r="A130" s="308" t="str">
        <x:v>Qwen 3.6 35b a3b mtp</x:v>
      </x:c>
      <x:c r="B130" s="309" t="str">
        <x:v>без thinking</x:v>
      </x:c>
      <x:c r="C130" s="309" t="str">
        <x:v>INST-4</x:v>
      </x:c>
      <x:c r="D130" s="309" t="str">
        <x:v>ФИНАЛЬНАЯ ПРОВЕРКА СЛЕДОВАНИЯ ИНСТРУКЦИЯМ</x:v>
      </x:c>
      <x:c r="E130" s="403" t="n">
        <x:v>80</x:v>
      </x:c>
      <x:c r="F130" s="309" t="str">
        <x:v>НЕБОЛЬШАЯ/СРЕДНЯЯ НЕТOЧНОСТЬ</x:v>
      </x:c>
      <x:c r="G130" s="285" t="str">
        <x:v>Подтверждение инструментов корректно, но в FINAL поле «Выполнено заданий» заполнено процентом 100% вместо требуемого числа.</x:v>
      </x:c>
    </x:row>
    <x:row r="131">
      <x:c r="A131" s="308" t="str">
        <x:v>Qwen 3.6 35b a3b mtp</x:v>
      </x:c>
      <x:c r="B131" s="309" t="str">
        <x:v>без thinking</x:v>
      </x:c>
      <x:c r="C131" s="309" t="str">
        <x:v>JS-1</x:v>
      </x:c>
      <x:c r="D131" s="309" t="str">
        <x:v>JAVASCRIPT</x:v>
      </x:c>
      <x:c r="E131" s="403" t="n">
        <x:v>20</x:v>
      </x:c>
      <x:c r="F131" s="309" t="str">
        <x:v>КРИТИЧЕСКАЯ ОШИБКА</x:v>
      </x:c>
      <x:c r="G131" s="285" t="str">
        <x:v>Неверный порядок: Promise.then(C) зарегистрирован до queueMicrotask(D). Правильно A, E, C, D, B.</x:v>
      </x:c>
    </x:row>
    <x:row r="132">
      <x:c r="A132" s="308" t="str">
        <x:v>Qwen 3.6 35b a3b mtp</x:v>
      </x:c>
      <x:c r="B132" s="309" t="str">
        <x:v>без thinking</x:v>
      </x:c>
      <x:c r="C132" s="309" t="str">
        <x:v>JS-5</x:v>
      </x:c>
      <x:c r="D132" s="309" t="str">
        <x:v>JAVASCRIPT</x:v>
      </x:c>
      <x:c r="E132" s="403" t="n">
        <x:v>40</x:v>
      </x:c>
      <x:c r="F132" s="309" t="str">
        <x:v>СУЩЕСТВЕННО</x:v>
      </x:c>
      <x:c r="G132" s="285" t="str">
        <x:v>Promise.race создаёт таймаут ответа, но не abort'ит fetch, поэтому запрос продолжает выполняться в фоне; ключевое требование отмены не выполнено.</x:v>
      </x:c>
    </x:row>
    <x:row r="133">
      <x:c r="A133" s="308" t="str">
        <x:v>Qwen 3.6 35b a3b mtp</x:v>
      </x:c>
      <x:c r="B133" s="309" t="str">
        <x:v>без thinking</x:v>
      </x:c>
      <x:c r="C133" s="309" t="str">
        <x:v>MED-8</x:v>
      </x:c>
      <x:c r="D133" s="309" t="str">
        <x:v>МЕДИЦИНСКИЕ ЗНАНИЯ</x:v>
      </x:c>
      <x:c r="E133" s="403" t="n">
        <x:v>80</x:v>
      </x:c>
      <x:c r="F133" s="309" t="str">
        <x:v>НЕБОЛЬШАЯ/СРЕДНЯЯ НЕТOЧНОСТЬ</x:v>
      </x:c>
      <x:c r="G133" s="285" t="str">
        <x:v>Неотложный приоритет в целом правильный, но проверка пульса неспециалистом может задерживать СЛР; ключевой критерий — отсутствие нормального дыхания/агональное дыхание.</x:v>
      </x:c>
    </x:row>
    <x:row r="134">
      <x:c r="A134" s="308" t="str">
        <x:v>Qwen 3.6 35b a3b mtp</x:v>
      </x:c>
      <x:c r="B134" s="309" t="str">
        <x:v>без thinking</x:v>
      </x:c>
      <x:c r="C134" s="309" t="str">
        <x:v>MEM-14</x:v>
      </x:c>
      <x:c r="D134" s="309" t="str">
        <x:v>ДЛИННЫЙ КОНТЕКСТ И ТОЧНОЕ СЛЕДОВАНИЕ РАННИМ УСЛОВИЯМ</x:v>
      </x:c>
      <x:c r="E134" s="403" t="n">
        <x:v>80</x:v>
      </x:c>
      <x:c r="F134" s="309" t="str">
        <x:v>НЕБОЛЬШАЯ/СРЕДНЯЯ НЕТOЧНОСТЬ</x:v>
      </x:c>
      <x:c r="G134" s="285" t="str">
        <x:v>Факты контекста удержаны, но транзакция открывается до внешнего платежного запроса, что создаёт ранее описанный риск блокировок.</x:v>
      </x:c>
    </x:row>
    <x:row r="135">
      <x:c r="A135" s="308" t="str">
        <x:v>Qwen 3.6 35b a3b mtp</x:v>
      </x:c>
      <x:c r="B135" s="309" t="str">
        <x:v>без thinking</x:v>
      </x:c>
      <x:c r="C135" s="309" t="str">
        <x:v>OPS-1</x:v>
      </x:c>
      <x:c r="D135" s="309" t="str">
        <x:v>LINUX, SYSTEMD И NGINX</x:v>
      </x:c>
      <x:c r="E135" s="403" t="n">
        <x:v>80</x:v>
      </x:c>
      <x:c r="F135" s="309" t="str">
        <x:v>НЕБОЛЬШАЯ/СРЕДНЯЯ НЕТOЧНОСТЬ</x:v>
      </x:c>
      <x:c r="G135" s="285" t="str">
        <x:v>Даны базовые команды, но последовательность диагностики слишком короткая: не хватает `journalctl -xe`, unit-конфига, ExecStart/пользователя/окружения и зависимостей.</x:v>
      </x:c>
    </x:row>
    <x:row r="136">
      <x:c r="A136" s="308" t="str">
        <x:v>Qwen 3.6 35b a3b mtp</x:v>
      </x:c>
      <x:c r="B136" s="309" t="str">
        <x:v>без thinking</x:v>
      </x:c>
      <x:c r="C136" s="309" t="str">
        <x:v>OPS-2</x:v>
      </x:c>
      <x:c r="D136" s="309" t="str">
        <x:v>LINUX, SYSTEMD И NGINX</x:v>
      </x:c>
      <x:c r="E136" s="403" t="n">
        <x:v>80</x:v>
      </x:c>
      <x:c r="F136" s="309" t="str">
        <x:v>НЕБОЛЬШАЯ/СРЕДНЯЯ НЕТOЧНОСТЬ</x:v>
      </x:c>
      <x:c r="G136" s="285" t="str">
        <x:v>Открытые удалённые файлы и mount points полезны, но «занятые блоки (inode)» смешивает разные ресурсы; следовало явно предложить `df -i` и reserved blocks/квоты.</x:v>
      </x:c>
    </x:row>
    <x:row r="137">
      <x:c r="A137" s="308" t="str">
        <x:v>Qwen 3.6 35b a3b mtp</x:v>
      </x:c>
      <x:c r="B137" s="309" t="str">
        <x:v>без thinking</x:v>
      </x:c>
      <x:c r="C137" s="309" t="str">
        <x:v>OPS-4</x:v>
      </x:c>
      <x:c r="D137" s="309" t="str">
        <x:v>LINUX, SYSTEMD И NGINX</x:v>
      </x:c>
      <x:c r="E137" s="403" t="n">
        <x:v>60</x:v>
      </x:c>
      <x:c r="F137" s="309" t="str">
        <x:v>ЧАСТИЧНО</x:v>
      </x:c>
      <x:c r="G137" s="285" t="str">
        <x:v>Перечень причин 502 слишком узкий: отсутствуют upstream timeout/protocol mismatch, сокетные права и чтение error log.</x:v>
      </x:c>
    </x:row>
    <x:row r="138">
      <x:c r="A138" s="308" t="str">
        <x:v>Qwen 3.6 35b a3b mtp</x:v>
      </x:c>
      <x:c r="B138" s="309" t="str">
        <x:v>без thinking</x:v>
      </x:c>
      <x:c r="C138" s="309" t="str">
        <x:v>PERF-1</x:v>
      </x:c>
      <x:c r="D138" s="309" t="str">
        <x:v>ПРОИЗВОДИТЕЛЬНОСТЬ И КОНКУРЕНТНОСТЬ</x:v>
      </x:c>
      <x:c r="E138" s="403" t="n">
        <x:v>60</x:v>
      </x:c>
      <x:c r="F138" s="309" t="str">
        <x:v>ЧАСТИЧНО</x:v>
      </x:c>
      <x:c r="G138" s="285" t="str">
        <x:v>Последовательные 10×500 мс верно дают 5 с, но фраза «5 секунд (если параллельно)» неверна: идеальная параллельная нижняя граница около 500 мс.</x:v>
      </x:c>
    </x:row>
    <x:row r="139">
      <x:c r="A139" s="308" t="str">
        <x:v>Qwen 3.6 35b a3b mtp</x:v>
      </x:c>
      <x:c r="B139" s="309" t="str">
        <x:v>без thinking</x:v>
      </x:c>
      <x:c r="C139" s="309" t="str">
        <x:v>PERF-5</x:v>
      </x:c>
      <x:c r="D139" s="309" t="str">
        <x:v>ПРОИЗВОДИТЕЛЬНОСТЬ И КОНКУРЕНТНОСТЬ</x:v>
      </x:c>
      <x:c r="E139" s="403" t="n">
        <x:v>80</x:v>
      </x:c>
      <x:c r="F139" s="309" t="str">
        <x:v>НЕБОЛЬШАЯ/СРЕДНЯЯ НЕТOЧНОСТЬ</x:v>
      </x:c>
      <x:c r="G139" s="285" t="str">
        <x:v>«Логирование без ротации» главным образом расходует диск, а не память; остальные источники релевантны.</x:v>
      </x:c>
    </x:row>
    <x:row r="140">
      <x:c r="A140" s="308" t="str">
        <x:v>Qwen 3.6 35b a3b mtp</x:v>
      </x:c>
      <x:c r="B140" s="309" t="str">
        <x:v>без thinking</x:v>
      </x:c>
      <x:c r="C140" s="309" t="str">
        <x:v>R-1</x:v>
      </x:c>
      <x:c r="D140" s="309" t="str">
        <x:v>РАССУЖДЕНИЕ И ЛОГИКА</x:v>
      </x:c>
      <x:c r="E140" s="403" t="n">
        <x:v>80</x:v>
      </x:c>
      <x:c r="F140" s="309" t="str">
        <x:v>НЕБОЛЬШАЯ/СРЕДНЯЯ НЕТOЧНОСТЬ</x:v>
      </x:c>
      <x:c r="G140" s="285" t="str">
        <x:v>Финальный порядок A,E,C,B,D корректен, но ответ многократно предлагает и сам опровергает неверные варианты; самопроверка чрезмерно нестабильна.</x:v>
      </x:c>
    </x:row>
    <x:row r="141">
      <x:c r="A141" s="308" t="str">
        <x:v>Qwen 3.6 35b a3b mtp</x:v>
      </x:c>
      <x:c r="B141" s="309" t="str">
        <x:v>без thinking</x:v>
      </x:c>
      <x:c r="C141" s="309" t="str">
        <x:v>R-3</x:v>
      </x:c>
      <x:c r="D141" s="309" t="str">
        <x:v>РАССУЖДЕНИЕ И ЛОГИКА</x:v>
      </x:c>
      <x:c r="E141" s="403" t="n">
        <x:v>80</x:v>
      </x:c>
      <x:c r="F141" s="309" t="str">
        <x:v>НЕБОЛЬШАЯ/СРЕДНЯЯ НЕТOЧНОСТЬ</x:v>
      </x:c>
      <x:c r="G141" s="285" t="str">
        <x:v>N+1 распознан, но причина сначала размывается до индексов/планов выполнения, хотя ключевой сигнал — именно рост количества SQL-запросов.</x:v>
      </x:c>
    </x:row>
    <x:row r="142">
      <x:c r="A142" s="308" t="str">
        <x:v>Qwen 3.6 35b a3b mtp</x:v>
      </x:c>
      <x:c r="B142" s="309" t="str">
        <x:v>без thinking</x:v>
      </x:c>
      <x:c r="C142" s="309" t="str">
        <x:v>R-6</x:v>
      </x:c>
      <x:c r="D142" s="309" t="str">
        <x:v>РАССУЖДЕНИЕ И ЛОГИКА</x:v>
      </x:c>
      <x:c r="E142" s="403" t="n">
        <x:v>80</x:v>
      </x:c>
      <x:c r="F142" s="309" t="str">
        <x:v>НЕБОЛЬШАЯ/СРЕДНЯЯ НЕТOЧНОСТЬ</x:v>
      </x:c>
      <x:c r="G142" s="285" t="str">
        <x:v>Финальный строгий вывод корректен, но большая часть рассуждения колеблется между взаимоисключающими трактовками.</x:v>
      </x:c>
    </x:row>
    <x:row r="143">
      <x:c r="A143" s="308" t="str">
        <x:v>Qwen 3.6 35b a3b mtp</x:v>
      </x:c>
      <x:c r="B143" s="309" t="str">
        <x:v>без thinking</x:v>
      </x:c>
      <x:c r="C143" s="309" t="str">
        <x:v>R-8</x:v>
      </x:c>
      <x:c r="D143" s="309" t="str">
        <x:v>РАССУЖДЕНИЕ И ЛОГИКА</x:v>
      </x:c>
      <x:c r="E143" s="403" t="n">
        <x:v>80</x:v>
      </x:c>
      <x:c r="F143" s="309" t="str">
        <x:v>НЕБОЛЬШАЯ/СРЕДНЯЯ НЕТOЧНОСТЬ</x:v>
      </x:c>
      <x:c r="G143" s="285" t="str">
        <x:v>План в целом безопасен, но rollback/сверка дельты и момент отключения dual-write описаны слишком кратко.</x:v>
      </x:c>
    </x:row>
    <x:row r="144">
      <x:c r="A144" s="308" t="str">
        <x:v>Qwen 3.6 35b a3b mtp</x:v>
      </x:c>
      <x:c r="B144" s="309" t="str">
        <x:v>без thinking</x:v>
      </x:c>
      <x:c r="C144" s="309" t="str">
        <x:v>SCI-5</x:v>
      </x:c>
      <x:c r="D144" s="309" t="str">
        <x:v>НАУКА</x:v>
      </x:c>
      <x:c r="E144" s="403" t="n">
        <x:v>80</x:v>
      </x:c>
      <x:c r="F144" s="309" t="str">
        <x:v>НЕБОЛЬШАЯ/СРЕДНЯЯ НЕТOЧНОСТЬ</x:v>
      </x:c>
      <x:c r="G144" s="285" t="str">
        <x:v>Основная эволюционная идея верна, но утверждение о полном отсутствии наследования приобретённых изменений чрезмерно категорично.</x:v>
      </x:c>
    </x:row>
    <x:row r="145">
      <x:c r="A145" s="308" t="str">
        <x:v>Qwen 3.6 35b a3b mtp</x:v>
      </x:c>
      <x:c r="B145" s="309" t="str">
        <x:v>без thinking</x:v>
      </x:c>
      <x:c r="C145" s="309" t="str">
        <x:v>SEC-1</x:v>
      </x:c>
      <x:c r="D145" s="309" t="str">
        <x:v>БЕЗОПАСНОСТЬ</x:v>
      </x:c>
      <x:c r="E145" s="403" t="n">
        <x:v>80</x:v>
      </x:c>
      <x:c r="F145" s="309" t="str">
        <x:v>НЕБОЛЬШАЯ/СРЕДНЯЯ НЕТOЧНОСТЬ</x:v>
      </x:c>
      <x:c r="G145" s="285" t="str">
        <x:v>Найдены главные уязвимости, но `basename()`/валидация сами по себе недостаточны; требуется строгая корневая изоляция и авторизация конкретного файла.</x:v>
      </x:c>
    </x:row>
    <x:row r="146">
      <x:c r="A146" s="308" t="str">
        <x:v>Qwen 3.6 35b a3b mtp</x:v>
      </x:c>
      <x:c r="B146" s="309" t="str">
        <x:v>без thinking</x:v>
      </x:c>
      <x:c r="C146" s="309" t="str">
        <x:v>SEC-4</x:v>
      </x:c>
      <x:c r="D146" s="309" t="str">
        <x:v>БЕЗОПАСНОСТЬ</x:v>
      </x:c>
      <x:c r="E146" s="403" t="n">
        <x:v>60</x:v>
      </x:c>
      <x:c r="F146" s="309" t="str">
        <x:v>ЧАСТИЧНО</x:v>
      </x:c>
      <x:c r="G146" s="285" t="str">
        <x:v>Защита SSRF слишком краткая: нет DNS rebinding, redirects, link-local/metadata диапазонов и повторной проверки разрешённого адреса.</x:v>
      </x:c>
    </x:row>
    <x:row r="147">
      <x:c r="A147" s="308" t="str">
        <x:v>Qwen 3.6 35b a3b mtp</x:v>
      </x:c>
      <x:c r="B147" s="309" t="str">
        <x:v>без thinking</x:v>
      </x:c>
      <x:c r="C147" s="309" t="str">
        <x:v>SEC-5</x:v>
      </x:c>
      <x:c r="D147" s="309" t="str">
        <x:v>БЕЗОПАСНОСТЬ</x:v>
      </x:c>
      <x:c r="E147" s="403" t="n">
        <x:v>80</x:v>
      </x:c>
      <x:c r="F147" s="309" t="str">
        <x:v>НЕБОЛЬШАЯ/СРЕДНЯЯ НЕТOЧНОСТЬ</x:v>
      </x:c>
      <x:c r="G147" s="285" t="str">
        <x:v>Типовые JWT-ошибки перечислены частично; не хватает issuer/audience/алгоритмической allowlist и безопасного хранения/ротации.</x:v>
      </x:c>
    </x:row>
    <x:row r="148">
      <x:c r="A148" s="308" t="str">
        <x:v>Qwen 3.6 35b a3b mtp</x:v>
      </x:c>
      <x:c r="B148" s="309" t="str">
        <x:v>без thinking</x:v>
      </x:c>
      <x:c r="C148" s="309" t="str">
        <x:v>SELF-1</x:v>
      </x:c>
      <x:c r="D148" s="309" t="str">
        <x:v>САМОПРОВЕРКА И ИСПРАВЛЕНИЕ СОБСТВЕННОГО РЕШЕНИЯ</x:v>
      </x:c>
      <x:c r="E148" s="403" t="n">
        <x:v>80</x:v>
      </x:c>
      <x:c r="F148" s="309" t="str">
        <x:v>НЕБОЛЬШАЯ/СРЕДНЯЯ НЕТOЧНОСТЬ</x:v>
      </x:c>
      <x:c r="G148" s="285" t="str">
        <x:v>Outbox выбран верно, но аудит потери/дублей краток; не разобран crash после publish до отметки sent и необходимость идемпотентного consumer в деталях.</x:v>
      </x:c>
    </x:row>
    <x:row r="149">
      <x:c r="A149" s="308" t="str">
        <x:v>Qwen 3.6 35b a3b mtp</x:v>
      </x:c>
      <x:c r="B149" s="309" t="str">
        <x:v>без thinking</x:v>
      </x:c>
      <x:c r="C149" s="309" t="str">
        <x:v>SH-2</x:v>
      </x:c>
      <x:c r="D149" s="309" t="str">
        <x:v>BASH, ZSH И macOS TERMINAL</x:v>
      </x:c>
      <x:c r="E149" s="403" t="n">
        <x:v>80</x:v>
      </x:c>
      <x:c r="F149" s="309" t="str">
        <x:v>НЕБОЛЬШАЯ/СРЕДНЯЯ НЕТOЧНОСТЬ</x:v>
      </x:c>
      <x:c r="G149" s="285" t="str">
        <x:v>Первые варианты небезопасны/неверны для перевода строк, но третий вариант `-print0 | tr -cd '\0' | wc -c` корректно считает NUL-разделённые имена.</x:v>
      </x:c>
    </x:row>
    <x:row r="150">
      <x:c r="A150" s="308" t="str">
        <x:v>Qwen 3.6 35b a3b mtp</x:v>
      </x:c>
      <x:c r="B150" s="309" t="str">
        <x:v>без thinking</x:v>
      </x:c>
      <x:c r="C150" s="309" t="str">
        <x:v>SH-3</x:v>
      </x:c>
      <x:c r="D150" s="309" t="str">
        <x:v>BASH, ZSH И macOS TERMINAL</x:v>
      </x:c>
      <x:c r="E150" s="403" t="n">
        <x:v>40</x:v>
      </x:c>
      <x:c r="F150" s="309" t="str">
        <x:v>СУЩЕСТВЕННО</x:v>
      </x:c>
      <x:c r="G150" s="285" t="str">
        <x:v>Общий риск пустой переменной замечен, но механизм раскрытия ошибочен: при пустом DIR получается `/*`, а не буквальный `$DIR/*`.</x:v>
      </x:c>
    </x:row>
    <x:row r="151">
      <x:c r="A151" s="308" t="str">
        <x:v>Qwen 3.6 35b a3b mtp</x:v>
      </x:c>
      <x:c r="B151" s="309" t="str">
        <x:v>без thinking</x:v>
      </x:c>
      <x:c r="C151" s="309" t="str">
        <x:v>SH-7</x:v>
      </x:c>
      <x:c r="D151" s="309" t="str">
        <x:v>BASH, ZSH И macOS TERMINAL</x:v>
      </x:c>
      <x:c r="E151" s="403" t="n">
        <x:v>60</x:v>
      </x:c>
      <x:c r="F151" s="309" t="str">
        <x:v>ЧАСТИЧНО</x:v>
      </x:c>
      <x:c r="G151" s="285" t="str">
        <x:v>Флаги объяснены, но требуемая строка `set -euo pipefail` не приведена.</x:v>
      </x:c>
    </x:row>
    <x:row r="152">
      <x:c r="A152" s="308" t="str">
        <x:v>Qwen 3.6 35b a3b mtp</x:v>
      </x:c>
      <x:c r="B152" s="309" t="str">
        <x:v>без thinking</x:v>
      </x:c>
      <x:c r="C152" s="309" t="str">
        <x:v>SYS-1</x:v>
      </x:c>
      <x:c r="D152" s="309" t="str">
        <x:v>ПРОЕКТИРОВАНИЕ НЕБОЛЬШОЙ СИСТЕМЫ</x:v>
      </x:c>
      <x:c r="E152" s="403" t="n">
        <x:v>40</x:v>
      </x:c>
      <x:c r="F152" s="309" t="str">
        <x:v>СУЩЕСТВЕННО</x:v>
      </x:c>
      <x:c r="G152" s="285" t="str">
        <x:v>Система пропускает лимит 25 MiB, X-Tenant-Id, исключительный endpoint `/api/v1/documents/upload`, гарантированную публикацию через outbox и явный запрет секретов в Git.</x:v>
      </x:c>
    </x:row>
    <x:row r="153">
      <x:c r="A153" s="308" t="str">
        <x:v>Qwen 3.6 35b a3b HauhauCS</x:v>
      </x:c>
      <x:c r="B153" s="309" t="str">
        <x:v>thinking</x:v>
      </x:c>
      <x:c r="C153" s="309" t="str">
        <x:v>AMB-3</x:v>
      </x:c>
      <x:c r="D153" s="309" t="str">
        <x:v>НЕОДНОЗНАЧНОСТЬ И ПРОТИВОРЕЧИВЫЕ ТРЕБОВАНИЯ</x:v>
      </x:c>
      <x:c r="E153" s="403" t="n">
        <x:v>60</x:v>
      </x:c>
      <x:c r="F153" s="309" t="str">
        <x:v>ЧАСТИЧНО</x:v>
      </x:c>
      <x:c r="G153" s="285" t="str">
        <x:v>Сначала требования названы противоречивыми, затем предлагается хранить исходный пароль в vault/HMAC; это смешивает несовместимые подходы.</x:v>
      </x:c>
    </x:row>
    <x:row r="154">
      <x:c r="A154" s="308" t="str">
        <x:v>Qwen 3.6 35b a3b HauhauCS</x:v>
      </x:c>
      <x:c r="B154" s="309" t="str">
        <x:v>thinking</x:v>
      </x:c>
      <x:c r="C154" s="309" t="str">
        <x:v>ARCH-1</x:v>
      </x:c>
      <x:c r="D154" s="309" t="str">
        <x:v>BACKEND, FULL-STACK И API-АРХИТЕКТУРА</x:v>
      </x:c>
      <x:c r="E154" s="403" t="n">
        <x:v>80</x:v>
      </x:c>
      <x:c r="F154" s="309" t="str">
        <x:v>НЕБОЛЬШАЯ/СРЕДНЯЯ НЕТОЧНОСТЬ</x:v>
      </x:c>
      <x:c r="G154" s="285" t="str">
        <x:v>Не разобрана атомарная защита от двух параллельных запросов с одинаковым Idempotency-Key.</x:v>
      </x:c>
    </x:row>
    <x:row r="155">
      <x:c r="A155" s="308" t="str">
        <x:v>Qwen 3.6 35b a3b HauhauCS</x:v>
      </x:c>
      <x:c r="B155" s="309" t="str">
        <x:v>thinking</x:v>
      </x:c>
      <x:c r="C155" s="309" t="str">
        <x:v>ARCH-4</x:v>
      </x:c>
      <x:c r="D155" s="309" t="str">
        <x:v>BACKEND, FULL-STACK И API-АРХИТЕКТУРА</x:v>
      </x:c>
      <x:c r="E155" s="403" t="n">
        <x:v>80</x:v>
      </x:c>
      <x:c r="F155" s="309" t="str">
        <x:v>НЕБОЛЬШАЯ/СРЕДНЯЯ НЕТОЧНОСТЬ</x:v>
      </x:c>
      <x:c r="G155" s="285" t="str">
        <x:v>Основные элементы есть, но защита replay и политика out-of-order событий раскрыты слишком кратко.</x:v>
      </x:c>
    </x:row>
    <x:row r="156">
      <x:c r="A156" s="308" t="str">
        <x:v>Qwen 3.6 35b a3b HauhauCS</x:v>
      </x:c>
      <x:c r="B156" s="309" t="str">
        <x:v>thinking</x:v>
      </x:c>
      <x:c r="C156" s="309" t="str">
        <x:v>CRIT-2</x:v>
      </x:c>
      <x:c r="D156" s="309" t="str">
        <x:v>КРИТИЧЕСКОЕ МЫШЛЕНИЕ И ГАЛЛЮЦИНАЦИИ</x:v>
      </x:c>
      <x:c r="E156" s="403" t="n">
        <x:v>0</x:v>
      </x:c>
      <x:c r="F156" s="309" t="str">
        <x:v>КРИТИЧЕСКАЯ ОШИБКА</x:v>
      </x:c>
      <x:c r="G156" s="285" t="str">
        <x:v>Критическая галлюцинация: systemctl --rollback не является штатной командой отката системного снапшота.</x:v>
      </x:c>
    </x:row>
    <x:row r="157">
      <x:c r="A157" s="308" t="str">
        <x:v>Qwen 3.6 35b a3b HauhauCS</x:v>
      </x:c>
      <x:c r="B157" s="309" t="str">
        <x:v>thinking</x:v>
      </x:c>
      <x:c r="C157" s="309" t="str">
        <x:v>CRIT-5</x:v>
      </x:c>
      <x:c r="D157" s="309" t="str">
        <x:v>КРИТИЧЕСКОЕ МЫШЛЕНИЕ И ГАЛЛЮЦИНАЦИИ</x:v>
      </x:c>
      <x:c r="E157" s="403" t="n">
        <x:v>80</x:v>
      </x:c>
      <x:c r="F157" s="309" t="str">
        <x:v>НЕБОЛЬШАЯ/СРЕДНЯЯ НЕТОЧНОСТЬ</x:v>
      </x:c>
      <x:c r="G157" s="285" t="str">
        <x:v>Главная ложная предпосылка распознана, но термин «Полевская премия» ошибочен; корректно — медаль/премия Филдса.</x:v>
      </x:c>
    </x:row>
    <x:row r="158">
      <x:c r="A158" s="308" t="str">
        <x:v>Qwen 3.6 35b a3b HauhauCS</x:v>
      </x:c>
      <x:c r="B158" s="309" t="str">
        <x:v>thinking</x:v>
      </x:c>
      <x:c r="C158" s="309" t="str">
        <x:v>CS-1</x:v>
      </x:c>
      <x:c r="D158" s="309" t="str">
        <x:v>C# — ПОНИМАНИЕ, ОТЛАДКА И НАПИСАНИЕ</x:v>
      </x:c>
      <x:c r="E158" s="403" t="n">
        <x:v>40</x:v>
      </x:c>
      <x:c r="F158" s="309" t="str">
        <x:v>СУЩЕСТВЕННО</x:v>
      </x:c>
      <x:c r="G158" s="285" t="str">
        <x:v>Код не компилируется как заявленный Task&lt;List&lt;string&gt;&gt;: Task.WhenAll возвращает string[]. Также нет явной политики обработки исключений.</x:v>
      </x:c>
    </x:row>
    <x:row r="159">
      <x:c r="A159" s="308" t="str">
        <x:v>Qwen 3.6 35b a3b HauhauCS</x:v>
      </x:c>
      <x:c r="B159" s="309" t="str">
        <x:v>thinking</x:v>
      </x:c>
      <x:c r="C159" s="309" t="str">
        <x:v>CS-4</x:v>
      </x:c>
      <x:c r="D159" s="309" t="str">
        <x:v>C# — ПОНИМАНИЕ, ОТЛАДКА И НАПИСАНИЕ</x:v>
      </x:c>
      <x:c r="E159" s="403" t="n">
        <x:v>80</x:v>
      </x:c>
      <x:c r="F159" s="309" t="str">
        <x:v>НЕБОЛЬШАЯ/СРЕДНЯЯ НЕТОЧНОСТЬ</x:v>
      </x:c>
      <x:c r="G159" s="285" t="str">
        <x:v>Идея saga/outbox хорошая, но фраза «резервирование + оплата транзакционно» двусмысленно смешивает локальную БД и внешний платёж.</x:v>
      </x:c>
    </x:row>
    <x:row r="160">
      <x:c r="A160" s="308" t="str">
        <x:v>Qwen 3.6 35b a3b HauhauCS</x:v>
      </x:c>
      <x:c r="B160" s="309" t="str">
        <x:v>thinking</x:v>
      </x:c>
      <x:c r="C160" s="309" t="str">
        <x:v>CS-7</x:v>
      </x:c>
      <x:c r="D160" s="309" t="str">
        <x:v>C# — ПОНИМАНИЕ, ОТЛАДКА И НАПИСАНИЕ</x:v>
      </x:c>
      <x:c r="E160" s="403" t="n">
        <x:v>80</x:v>
      </x:c>
      <x:c r="F160" s="309" t="str">
        <x:v>НЕБОЛЬШАЯ/СРЕДНЯЯ НЕТОЧНОСТЬ</x:v>
      </x:c>
      <x:c r="G160" s="285" t="str">
        <x:v>Основная идея NRT верна, но утверждение про «стирание дженериков» для .NET некорректно.</x:v>
      </x:c>
    </x:row>
    <x:row r="161">
      <x:c r="A161" s="308" t="str">
        <x:v>Qwen 3.6 35b a3b HauhauCS</x:v>
      </x:c>
      <x:c r="B161" s="309" t="str">
        <x:v>thinking</x:v>
      </x:c>
      <x:c r="C161" s="309" t="str">
        <x:v>DB-1</x:v>
      </x:c>
      <x:c r="D161" s="309" t="str">
        <x:v>SQL И БАЗЫ ДАННЫХ</x:v>
      </x:c>
      <x:c r="E161" s="403" t="n">
        <x:v>80</x:v>
      </x:c>
      <x:c r="F161" s="309" t="str">
        <x:v>НЕБОЛЬШАЯ/СРЕДНЯЯ НЕТОЧНОСТЬ</x:v>
      </x:c>
      <x:c r="G161" s="285" t="str">
        <x:v>Индекс хороший, но назван «покрывающим», хотя id и total_cents в него не включены.</x:v>
      </x:c>
    </x:row>
    <x:row r="162">
      <x:c r="A162" s="308" t="str">
        <x:v>Qwen 3.6 35b a3b HauhauCS</x:v>
      </x:c>
      <x:c r="B162" s="309" t="str">
        <x:v>thinking</x:v>
      </x:c>
      <x:c r="C162" s="309" t="str">
        <x:v>DB-6</x:v>
      </x:c>
      <x:c r="D162" s="309" t="str">
        <x:v>SQL И БАЗЫ ДАННЫХ</x:v>
      </x:c>
      <x:c r="E162" s="403" t="n">
        <x:v>80</x:v>
      </x:c>
      <x:c r="F162" s="309" t="str">
        <x:v>НЕБОЛЬШАЯ/СРЕДНЯЯ НЕТОЧНОСТЬ</x:v>
      </x:c>
      <x:c r="G162" s="285" t="str">
        <x:v>Keyset только по created_at без tie-breaker может пропускать/дублировать строки с одинаковым временем.</x:v>
      </x:c>
    </x:row>
    <x:row r="163">
      <x:c r="A163" s="308" t="str">
        <x:v>Qwen 3.6 35b a3b HauhauCS</x:v>
      </x:c>
      <x:c r="B163" s="309" t="str">
        <x:v>thinking</x:v>
      </x:c>
      <x:c r="C163" s="309" t="str">
        <x:v>DIAG-3</x:v>
      </x:c>
      <x:c r="D163" s="309" t="str">
        <x:v>ПРАКТИЧЕСКАЯ СИСТЕМНАЯ ДИАГНОСТИКА</x:v>
      </x:c>
      <x:c r="E163" s="403" t="n">
        <x:v>80</x:v>
      </x:c>
      <x:c r="F163" s="309" t="str">
        <x:v>НЕБОЛЬШАЯ/СРЕДНЯЯ НЕТОЧНОСТЬ</x:v>
      </x:c>
      <x:c r="G163" s="285" t="str">
        <x:v>Хороший список, но reverse DNS почти не относится к проблеме forward resolution; цепочка delegation/authoritative раскрыта неполно.</x:v>
      </x:c>
    </x:row>
    <x:row r="164">
      <x:c r="A164" s="308" t="str">
        <x:v>Qwen 3.6 35b a3b HauhauCS</x:v>
      </x:c>
      <x:c r="B164" s="309" t="str">
        <x:v>thinking</x:v>
      </x:c>
      <x:c r="C164" s="309" t="str">
        <x:v>DOCKER-4</x:v>
      </x:c>
      <x:c r="D164" s="309" t="str">
        <x:v>DOCKER И КОНТЕЙНЕРЫ</x:v>
      </x:c>
      <x:c r="E164" s="403" t="n">
        <x:v>60</x:v>
      </x:c>
      <x:c r="F164" s="309" t="str">
        <x:v>ЧАСТИЧНО</x:v>
      </x:c>
      <x:c r="G164" s="285" t="str">
        <x:v>Правильно отмечена утечка ARG в слои, но ENV также не должен рассматриваться как безопасное хранилище секрета.</x:v>
      </x:c>
    </x:row>
    <x:row r="165">
      <x:c r="A165" s="308" t="str">
        <x:v>Qwen 3.6 35b a3b HauhauCS</x:v>
      </x:c>
      <x:c r="B165" s="309" t="str">
        <x:v>thinking</x:v>
      </x:c>
      <x:c r="C165" s="309" t="str">
        <x:v>GIT-5</x:v>
      </x:c>
      <x:c r="D165" s="309" t="str">
        <x:v>GIT</x:v>
      </x:c>
      <x:c r="E165" s="403" t="n">
        <x:v>80</x:v>
      </x:c>
      <x:c r="F165" s="309" t="str">
        <x:v>НЕБОЛЬШАЯ/СРЕДНЯЯ НЕТОЧНОСТЬ</x:v>
      </x:c>
      <x:c r="G165" s="285" t="str">
        <x:v>Механизм stash/pop правильный, но команда checkout продублирована.</x:v>
      </x:c>
    </x:row>
    <x:row r="166">
      <x:c r="A166" s="308" t="str">
        <x:v>Qwen 3.6 35b a3b HauhauCS</x:v>
      </x:c>
      <x:c r="B166" s="309" t="str">
        <x:v>thinking</x:v>
      </x:c>
      <x:c r="C166" s="309" t="str">
        <x:v>JS-1</x:v>
      </x:c>
      <x:c r="D166" s="309" t="str">
        <x:v>JAVASCRIPT</x:v>
      </x:c>
      <x:c r="E166" s="403" t="n">
        <x:v>40</x:v>
      </x:c>
      <x:c r="F166" s="309" t="str">
        <x:v>СУЩЕСТВЕННО</x:v>
      </x:c>
      <x:c r="G166" s="285" t="str">
        <x:v>Неверный порядок: Promise.then был зарегистрирован до queueMicrotask. Правильно A, E, C, D, B.</x:v>
      </x:c>
    </x:row>
    <x:row r="167">
      <x:c r="A167" s="308" t="str">
        <x:v>Qwen 3.6 35b a3b HauhauCS</x:v>
      </x:c>
      <x:c r="B167" s="309" t="str">
        <x:v>thinking</x:v>
      </x:c>
      <x:c r="C167" s="309" t="str">
        <x:v>JS-5</x:v>
      </x:c>
      <x:c r="D167" s="309" t="str">
        <x:v>JAVASCRIPT</x:v>
      </x:c>
      <x:c r="E167" s="403" t="n">
        <x:v>40</x:v>
      </x:c>
      <x:c r="F167" s="309" t="str">
        <x:v>СУЩЕСТВЕННО</x:v>
      </x:c>
      <x:c r="G167" s="285" t="str">
        <x:v>Promise.race не отменяет сам fetch; внутренний timeout обязан abort-ить запрос и корректно объединяться с внешним signal.</x:v>
      </x:c>
    </x:row>
    <x:row r="168">
      <x:c r="A168" s="308" t="str">
        <x:v>Qwen 3.6 35b a3b HauhauCS</x:v>
      </x:c>
      <x:c r="B168" s="309" t="str">
        <x:v>thinking</x:v>
      </x:c>
      <x:c r="C168" s="309" t="str">
        <x:v>MED-8</x:v>
      </x:c>
      <x:c r="D168" s="309" t="str">
        <x:v>МЕДИЦИНСКИЕ ЗНАНИЯ</x:v>
      </x:c>
      <x:c r="E168" s="403" t="n">
        <x:v>60</x:v>
      </x:c>
      <x:c r="F168" s="309" t="str">
        <x:v>ЧАСТИЧНО</x:v>
      </x:c>
      <x:c r="G168" s="285" t="str">
        <x:v>Экстренный вызов должен быть раньше; проверка пульса неспециалистом не должна задерживать СЛР при отсутствии нормального дыхания.</x:v>
      </x:c>
    </x:row>
    <x:row r="169">
      <x:c r="A169" s="308" t="str">
        <x:v>Qwen 3.6 35b a3b HauhauCS</x:v>
      </x:c>
      <x:c r="B169" s="309" t="str">
        <x:v>thinking</x:v>
      </x:c>
      <x:c r="C169" s="309" t="str">
        <x:v>PHP-4</x:v>
      </x:c>
      <x:c r="D169" s="309" t="str">
        <x:v>PHP 8.2+ — ПОНИМАНИЕ, БЕЗОПАСНОСТЬ И АРХИТЕКТУРА</x:v>
      </x:c>
      <x:c r="E169" s="403" t="n">
        <x:v>80</x:v>
      </x:c>
      <x:c r="F169" s="309" t="str">
        <x:v>НЕБОЛЬШАЯ/СРЕДНЯЯ НЕТОЧНОСТЬ</x:v>
      </x:c>
      <x:c r="G169" s="285" t="str">
        <x:v>Защита hash_equals названа верно, но пример "0abc" == 0 не соответствует PHP 8.2.</x:v>
      </x:c>
    </x:row>
    <x:row r="170">
      <x:c r="A170" s="308" t="str">
        <x:v>Qwen 3.6 35b a3b HauhauCS</x:v>
      </x:c>
      <x:c r="B170" s="309" t="str">
        <x:v>thinking</x:v>
      </x:c>
      <x:c r="C170" s="309" t="str">
        <x:v>R-4</x:v>
      </x:c>
      <x:c r="D170" s="309" t="str">
        <x:v>РАССУЖДЕНИЕ И ЛОГИКА</x:v>
      </x:c>
      <x:c r="E170" s="403" t="n">
        <x:v>20</x:v>
      </x:c>
      <x:c r="F170" s="309" t="str">
        <x:v>КРИТИЧЕСКАЯ ОШИБКА</x:v>
      </x:c>
      <x:c r="G170" s="285" t="str">
        <x:v>Минимум — 2 взвешивания; сама стратегия фактически находит шар за два, но модель объявила 3.</x:v>
      </x:c>
    </x:row>
    <x:row r="171">
      <x:c r="A171" s="308" t="str">
        <x:v>Qwen 3.6 35b a3b HauhauCS</x:v>
      </x:c>
      <x:c r="B171" s="309" t="str">
        <x:v>thinking</x:v>
      </x:c>
      <x:c r="C171" s="309" t="str">
        <x:v>SEC-1</x:v>
      </x:c>
      <x:c r="D171" s="309" t="str">
        <x:v>БЕЗОПАСНОСТЬ</x:v>
      </x:c>
      <x:c r="E171" s="403" t="n">
        <x:v>60</x:v>
      </x:c>
      <x:c r="F171" s="309" t="str">
        <x:v>ЧАСТИЧНО</x:v>
      </x:c>
      <x:c r="G171" s="285" t="str">
        <x:v>Неполный аудит: нужны realpath/разрешённый корень и object-level authorization; «обработка ошибок» менее важна, чем доступ к чужому файлу.</x:v>
      </x:c>
    </x:row>
    <x:row r="172">
      <x:c r="A172" s="308" t="str">
        <x:v>Qwen 3.6 35b a3b HauhauCS</x:v>
      </x:c>
      <x:c r="B172" s="309" t="str">
        <x:v>thinking</x:v>
      </x:c>
      <x:c r="C172" s="309" t="str">
        <x:v>SEC-4</x:v>
      </x:c>
      <x:c r="D172" s="309" t="str">
        <x:v>БЕЗОПАСНОСТЬ</x:v>
      </x:c>
      <x:c r="E172" s="403" t="n">
        <x:v>80</x:v>
      </x:c>
      <x:c r="F172" s="309" t="str">
        <x:v>НЕБОЛЬШАЯ/СРЕДНЯЯ НЕТОЧНОСТЬ</x:v>
      </x:c>
      <x:c r="G172" s="285" t="str">
        <x:v>Не разобраны DNS rebinding, redirect chaining и повторная проверка resolved IP.</x:v>
      </x:c>
    </x:row>
    <x:row r="173">
      <x:c r="A173" s="308" t="str">
        <x:v>Qwen 3.6 35b a3b HauhauCS</x:v>
      </x:c>
      <x:c r="B173" s="309" t="str">
        <x:v>thinking</x:v>
      </x:c>
      <x:c r="C173" s="309" t="str">
        <x:v>SEC-5</x:v>
      </x:c>
      <x:c r="D173" s="309" t="str">
        <x:v>БЕЗОПАСНОСТЬ</x:v>
      </x:c>
      <x:c r="E173" s="403" t="n">
        <x:v>80</x:v>
      </x:c>
      <x:c r="F173" s="309" t="str">
        <x:v>НЕБОЛЬШАЯ/СРЕДНЯЯ НЕТОЧНОСТЬ</x:v>
      </x:c>
      <x:c r="G173" s="285" t="str">
        <x:v>Перечень хороший, но неполный; HS256 сам по себе не «слабый», проблема — ключ/валидация/algorithm confusion.</x:v>
      </x:c>
    </x:row>
    <x:row r="174">
      <x:c r="A174" s="308" t="str">
        <x:v>Qwen 3.6 35b a3b HauhauCS</x:v>
      </x:c>
      <x:c r="B174" s="309" t="str">
        <x:v>thinking</x:v>
      </x:c>
      <x:c r="C174" s="309" t="str">
        <x:v>SEC-6</x:v>
      </x:c>
      <x:c r="D174" s="309" t="str">
        <x:v>БЕЗОПАСНОСТЬ</x:v>
      </x:c>
      <x:c r="E174" s="403" t="n">
        <x:v>80</x:v>
      </x:c>
      <x:c r="F174" s="309" t="str">
        <x:v>НЕБОЛЬШАЯ/СРЕДНЯЯ НЕТОЧНОСТЬ</x:v>
      </x:c>
      <x:c r="G174" s="285" t="str">
        <x:v>Верное направление, но безопасная загрузка требует также изоляции хранения и безопасной выдачи.</x:v>
      </x:c>
    </x:row>
    <x:row r="175">
      <x:c r="A175" s="308" t="str">
        <x:v>Qwen 3.6 35b a3b HauhauCS</x:v>
      </x:c>
      <x:c r="B175" s="309" t="str">
        <x:v>thinking</x:v>
      </x:c>
      <x:c r="C175" s="309" t="str">
        <x:v>SH-3</x:v>
      </x:c>
      <x:c r="D175" s="309" t="str">
        <x:v>BASH, ZSH И macOS TERMINAL</x:v>
      </x:c>
      <x:c r="E175" s="403" t="n">
        <x:v>0</x:v>
      </x:c>
      <x:c r="F175" s="309" t="str">
        <x:v>КРИТИЧЕСКАЯ ОШИБКА</x:v>
      </x:c>
      <x:c r="G175" s="285" t="str">
        <x:v>Критическая ошибка: при пустом DIR получается /*; предложенный "$DIR"/* также опасен без явной проверки непустого безопасного пути.</x:v>
      </x:c>
    </x:row>
    <x:row r="176">
      <x:c r="A176" s="308" t="str">
        <x:v>Qwen 3.6 35b a3b HauhauCS</x:v>
      </x:c>
      <x:c r="B176" s="309" t="str">
        <x:v>thinking</x:v>
      </x:c>
      <x:c r="C176" s="309" t="str">
        <x:v>SH-7</x:v>
      </x:c>
      <x:c r="D176" s="309" t="str">
        <x:v>BASH, ZSH И macOS TERMINAL</x:v>
      </x:c>
      <x:c r="E176" s="403" t="n">
        <x:v>80</x:v>
      </x:c>
      <x:c r="F176" s="309" t="str">
        <x:v>НЕБОЛЬШАЯ/СРЕДНЯЯ НЕТОЧНОСТЬ</x:v>
      </x:c>
      <x:c r="G176" s="285" t="str">
        <x:v>Смысл параметров передан, но требуемый единый фрагмент set -euo pipefail не приведён буквально.</x:v>
      </x:c>
    </x:row>
    <x:row r="177">
      <x:c r="A177" s="308" t="str">
        <x:v>Qwen 3.6 35b a3b HauhauCS</x:v>
      </x:c>
      <x:c r="B177" s="309" t="str">
        <x:v>thinking</x:v>
      </x:c>
      <x:c r="C177" s="309" t="str">
        <x:v>SYS-1</x:v>
      </x:c>
      <x:c r="D177" s="309" t="str">
        <x:v>ПРОЕКТИРОВАНИЕ НЕБОЛЬШОЙ СИСТЕМЫ</x:v>
      </x:c>
      <x:c r="E177" s="403" t="n">
        <x:v>0</x:v>
      </x:c>
      <x:c r="F177" s="309" t="str">
        <x:v>ПРОПУСК</x:v>
      </x:c>
      <x:c r="G177" s="285" t="str">
        <x:v>Ответ SYS-1 отсутствовал в исходной выдаче; детальная ячейка оставлена пустой, пропуск считается 0 только в общем итоге.</x:v>
      </x:c>
    </x:row>
    <x:row r="178">
      <x:c r="A178" s="308" t="str">
        <x:v>Qwen 3.6 35b a3b HauhauCS</x:v>
      </x:c>
      <x:c r="B178" s="309" t="str">
        <x:v>thinking</x:v>
      </x:c>
      <x:c r="C178" s="309" t="str">
        <x:v>WEB-2</x:v>
      </x:c>
      <x:c r="D178" s="309" t="str">
        <x:v>HTML, CSS, SVG И ДОСТУПНОСТЬ</x:v>
      </x:c>
      <x:c r="E178" s="403" t="n">
        <x:v>80</x:v>
      </x:c>
      <x:c r="F178" s="309" t="str">
        <x:v>НЕБОЛЬШАЯ/СРЕДНЯЯ НЕТОЧНОСТЬ</x:v>
      </x:c>
      <x:c r="G178" s="285" t="str">
        <x:v>Сообщение об ошибке скрыто и без скрипта не появится; для чистого HTML доступность реализации неполна.</x:v>
      </x:c>
    </x:row>
    <x:row r="179">
      <x:c r="A179" s="308" t="str">
        <x:v>Qwen 3.6 35b a3b HauhauCS</x:v>
      </x:c>
      <x:c r="B179" s="309" t="str">
        <x:v>thinking</x:v>
      </x:c>
      <x:c r="C179" s="309" t="str">
        <x:v>WEB-5</x:v>
      </x:c>
      <x:c r="D179" s="309" t="str">
        <x:v>HTML, CSS, SVG И ДОСТУПНОСТЬ</x:v>
      </x:c>
      <x:c r="E179" s="403" t="n">
        <x:v>80</x:v>
      </x:c>
      <x:c r="F179" s="309" t="str">
        <x:v>НЕБОЛЬШАЯ/СРЕДНЯЯ НЕТОЧНОСТЬ</x:v>
      </x:c>
      <x:c r="G179" s="285" t="str">
        <x:v>Иконка подходит визуально, но для декоративного SVG рядом с текстом нужен aria-hidden="true".</x:v>
      </x:c>
    </x:row>
    <x:row r="180">
      <x:c r="A180" s="308" t="str">
        <x:v>Qwen 3.8 27b uncensored</x:v>
      </x:c>
      <x:c r="B180" s="309" t="str">
        <x:v>без thinking</x:v>
      </x:c>
      <x:c r="C180" s="309" t="str">
        <x:v>ARCH-1</x:v>
      </x:c>
      <x:c r="D180" s="309" t="str">
        <x:v>BACKEND, FULL-STACK И API-АРХИТЕКТУРА</x:v>
      </x:c>
      <x:c r="E180" s="403" t="n">
        <x:v>60</x:v>
      </x:c>
      <x:c r="F180" s="309" t="str">
        <x:v>ЧАСТИЧНО</x:v>
      </x:c>
      <x:c r="G180" s="285" t="str">
        <x:v>Не закрыта гонка двух одновременных запросов с одним ключом, нет unique constraint/processing state и проверки, что повторный ключ относится к тому же payload.</x:v>
      </x:c>
    </x:row>
    <x:row r="181">
      <x:c r="A181" s="308" t="str">
        <x:v>Qwen 3.8 27b uncensored</x:v>
      </x:c>
      <x:c r="B181" s="309" t="str">
        <x:v>без thinking</x:v>
      </x:c>
      <x:c r="C181" s="309" t="str">
        <x:v>ARCH-4</x:v>
      </x:c>
      <x:c r="D181" s="309" t="str">
        <x:v>BACKEND, FULL-STACK И API-АРХИТЕКТУРА</x:v>
      </x:c>
      <x:c r="E181" s="403" t="n">
        <x:v>80</x:v>
      </x:c>
      <x:c r="F181" s="309" t="str">
        <x:v>НЕБОЛЬШАЯ/СРЕДНЯЯ НЕТОЧНОСТЬ</x:v>
      </x:c>
      <x:c r="G181" s="285" t="str">
        <x:v>Есть HMAC/dedupe/retry/order, но отсутствует явная replay-защита по timestamp/окну и более строгая схема фиксации события до 200 OK.</x:v>
      </x:c>
    </x:row>
    <x:row r="182">
      <x:c r="A182" s="308" t="str">
        <x:v>Qwen 3.8 27b uncensored</x:v>
      </x:c>
      <x:c r="B182" s="309" t="str">
        <x:v>без thinking</x:v>
      </x:c>
      <x:c r="C182" s="309" t="str">
        <x:v>CRIT-1</x:v>
      </x:c>
      <x:c r="D182" s="309" t="str">
        <x:v>КРИТИЧЕСКОЕ МЫШЛЕНИЕ И ГАЛЛЮЦИНАЦИИ</x:v>
      </x:c>
      <x:c r="E182" s="403" t="n">
        <x:v>90</x:v>
      </x:c>
      <x:c r="F182" s="309" t="str">
        <x:v>НЕБОЛЬШАЯ/СРЕДНЯЯ НЕТОЧНОСТЬ</x:v>
      </x:c>
      <x:c r="G182" s="285" t="str">
        <x:v>Ложная предпосылка распознана, но упоминание «pdo_pgsql with async support if available» создаёт лишнюю неопределённость; стандартный PDO async API отсутствует.</x:v>
      </x:c>
    </x:row>
    <x:row r="183">
      <x:c r="A183" s="308" t="str">
        <x:v>Qwen 3.8 27b uncensored</x:v>
      </x:c>
      <x:c r="B183" s="309" t="str">
        <x:v>без thinking</x:v>
      </x:c>
      <x:c r="C183" s="309" t="str">
        <x:v>CS-1</x:v>
      </x:c>
      <x:c r="D183" s="309" t="str">
        <x:v>C# — ПОНИМАНИЕ, ОТЛАДКА И НАПИСАНИЕ</x:v>
      </x:c>
      <x:c r="E183" s="403" t="n">
        <x:v>40</x:v>
      </x:c>
      <x:c r="F183" s="309" t="str">
        <x:v>СУЩЕСТВЕННО</x:v>
      </x:c>
      <x:c r="G183" s="285" t="str">
        <x:v>Ограничение параллелизма фактически не работает: исходные Task начинают HTTP-вызовы до входа в SemaphoreSlim. Кроме того, HttpClient создаётся на URL и ошибки превращаются в null.</x:v>
      </x:c>
    </x:row>
    <x:row r="184">
      <x:c r="A184" s="308" t="str">
        <x:v>Qwen 3.8 27b uncensored</x:v>
      </x:c>
      <x:c r="B184" s="309" t="str">
        <x:v>без thinking</x:v>
      </x:c>
      <x:c r="C184" s="309" t="str">
        <x:v>CS-4</x:v>
      </x:c>
      <x:c r="D184" s="309" t="str">
        <x:v>C# — ПОНИМАНИЕ, ОТЛАДКА И НАПИСАНИЕ</x:v>
      </x:c>
      <x:c r="E184" s="403" t="n">
        <x:v>40</x:v>
      </x:c>
      <x:c r="F184" s="309" t="str">
        <x:v>СУЩЕСТВЕННО</x:v>
      </x:c>
      <x:c r="G184" s="285" t="str">
        <x:v>Критическая архитектурная ошибка: внешний Payment API вызывается внутри открытой DB-транзакции. Это удерживает блокировки/соединение и создаёт проблемы согласованности.</x:v>
      </x:c>
    </x:row>
    <x:row r="185">
      <x:c r="A185" s="308" t="str">
        <x:v>Qwen 3.8 27b uncensored</x:v>
      </x:c>
      <x:c r="B185" s="309" t="str">
        <x:v>без thinking</x:v>
      </x:c>
      <x:c r="C185" s="309" t="str">
        <x:v>CS-8</x:v>
      </x:c>
      <x:c r="D185" s="309" t="str">
        <x:v>C# — ПОНИМАНИЕ, ОТЛАДКА И НАПИСАНИЕ</x:v>
      </x:c>
      <x:c r="E185" s="403" t="n">
        <x:v>95</x:v>
      </x:c>
      <x:c r="F185" s="309" t="str">
        <x:v>НЕБОЛЬШАЯ/СРЕДНЯЯ НЕТОЧНОСТЬ</x:v>
      </x:c>
      <x:c r="G185" s="285" t="str">
        <x:v>Функция в целом хорошая и закрывает TOCTOU через FileNotFoundException; небольшой минус — можно использовать await using для FileStream и явно задавать async options.</x:v>
      </x:c>
    </x:row>
    <x:row r="186">
      <x:c r="A186" s="308" t="str">
        <x:v>Qwen 3.8 27b uncensored</x:v>
      </x:c>
      <x:c r="B186" s="309" t="str">
        <x:v>без thinking</x:v>
      </x:c>
      <x:c r="C186" s="309" t="str">
        <x:v>DATA-1</x:v>
      </x:c>
      <x:c r="D186" s="309" t="str">
        <x:v>СТРУКТУРИРОВАННЫЕ ДАННЫЕ</x:v>
      </x:c>
      <x:c r="E186" s="403" t="n">
        <x:v>80</x:v>
      </x:c>
      <x:c r="F186" s="309" t="str">
        <x:v>НЕБОЛЬШАЯ/СРЕДНЯЯ НЕТОЧНОСТЬ</x:v>
      </x:c>
      <x:c r="G186" s="285" t="str">
        <x:v>JSON внутри блока валиден, но условие требовало вернуть только валидный JSON; Markdown fence является лишней разметкой.</x:v>
      </x:c>
    </x:row>
    <x:row r="187">
      <x:c r="A187" s="308" t="str">
        <x:v>Qwen 3.8 27b uncensored</x:v>
      </x:c>
      <x:c r="B187" s="309" t="str">
        <x:v>без thinking</x:v>
      </x:c>
      <x:c r="C187" s="309" t="str">
        <x:v>DB-3</x:v>
      </x:c>
      <x:c r="D187" s="309" t="str">
        <x:v>SQL И БАЗЫ ДАННЫХ</x:v>
      </x:c>
      <x:c r="E187" s="403" t="n">
        <x:v>90</x:v>
      </x:c>
      <x:c r="F187" s="309" t="str">
        <x:v>НЕБОЛЬШАЯ/СРЕДНЯЯ НЕТОЧНОСТЬ</x:v>
      </x:c>
      <x:c r="G187" s="285" t="str">
        <x:v>Isolation описан как полное невмешательство транзакций; это чрезмерное упрощение и игнорирует уровни изоляции/допустимые аномалии.</x:v>
      </x:c>
    </x:row>
    <x:row r="188">
      <x:c r="A188" s="308" t="str">
        <x:v>Qwen 3.8 27b uncensored</x:v>
      </x:c>
      <x:c r="B188" s="309" t="str">
        <x:v>без thinking</x:v>
      </x:c>
      <x:c r="C188" s="309" t="str">
        <x:v>DB-6</x:v>
      </x:c>
      <x:c r="D188" s="309" t="str">
        <x:v>SQL И БАЗЫ ДАННЫХ</x:v>
      </x:c>
      <x:c r="E188" s="403" t="n">
        <x:v>70</x:v>
      </x:c>
      <x:c r="F188" s="309" t="str">
        <x:v>НЕБОЛЬШАЯ/СРЕДНЯЯ НЕТОЧНОСТЬ</x:v>
      </x:c>
      <x:c r="G188" s="285" t="str">
        <x:v>Keyset только по created_at нестабилен при одинаковых timestamps. Нужен уникальный tie-breaker, например (created_at,id).</x:v>
      </x:c>
    </x:row>
    <x:row r="189">
      <x:c r="A189" s="308" t="str">
        <x:v>Qwen 3.8 27b uncensored</x:v>
      </x:c>
      <x:c r="B189" s="309" t="str">
        <x:v>без thinking</x:v>
      </x:c>
      <x:c r="C189" s="309" t="str">
        <x:v>DIAG-1</x:v>
      </x:c>
      <x:c r="D189" s="309" t="str">
        <x:v>ПРАКТИЧЕСКАЯ СИСТЕМНАЯ ДИАГНОСТИКА</x:v>
      </x:c>
      <x:c r="E189" s="403" t="n">
        <x:v>80</x:v>
      </x:c>
      <x:c r="F189" s="309" t="str">
        <x:v>НЕБОЛЬШАЯ/СРЕДНЯЯ НЕТОЧНОСТЬ</x:v>
      </x:c>
      <x:c r="G189" s="285" t="str">
        <x:v>Главная цепочка pool exhaustion определена верно, но не разобран параллельный симптом резкого роста SQL query count; увеличение пула — лишь временная маскировка.</x:v>
      </x:c>
    </x:row>
    <x:row r="190">
      <x:c r="A190" s="308" t="str">
        <x:v>Qwen 3.8 27b uncensored</x:v>
      </x:c>
      <x:c r="B190" s="309" t="str">
        <x:v>без thinking</x:v>
      </x:c>
      <x:c r="C190" s="309" t="str">
        <x:v>DIAG-3</x:v>
      </x:c>
      <x:c r="D190" s="309" t="str">
        <x:v>ПРАКТИЧЕСКАЯ СИСТЕМНАЯ ДИАГНОСТИКА</x:v>
      </x:c>
      <x:c r="E190" s="403" t="n">
        <x:v>70</x:v>
      </x:c>
      <x:c r="F190" s="309" t="str">
        <x:v>НЕБОЛЬШАЯ/СРЕДНЯЯ НЕТОЧНОСТЬ</x:v>
      </x:c>
      <x:c r="G190" s="285" t="str">
        <x:v>Список проверок полезный, но не выстроена последовательная цепочка app/stub resolver → recursive → delegation → authoritative DNS.</x:v>
      </x:c>
    </x:row>
    <x:row r="191">
      <x:c r="A191" s="308" t="str">
        <x:v>Qwen 3.8 27b uncensored</x:v>
      </x:c>
      <x:c r="B191" s="309" t="str">
        <x:v>без thinking</x:v>
      </x:c>
      <x:c r="C191" s="309" t="str">
        <x:v>DIAG-4</x:v>
      </x:c>
      <x:c r="D191" s="309" t="str">
        <x:v>ПРАКТИЧЕСКАЯ СИСТЕМНАЯ ДИАГНОСТИКА</x:v>
      </x:c>
      <x:c r="E191" s="403" t="n">
        <x:v>80</x:v>
      </x:c>
      <x:c r="F191" s="309" t="str">
        <x:v>НЕБОЛЬШАЯ/СРЕДНЯЯ НЕТОЧНОСТЬ</x:v>
      </x:c>
      <x:c r="G191" s="285" t="str">
        <x:v>Ключевые permissions/MAC проверки названы, но noexec почти не относится к чтению файла; не упомянуты ACL/точные x-права на каталоги.</x:v>
      </x:c>
    </x:row>
    <x:row r="192">
      <x:c r="A192" s="308" t="str">
        <x:v>Qwen 3.8 27b uncensored</x:v>
      </x:c>
      <x:c r="B192" s="309" t="str">
        <x:v>без thinking</x:v>
      </x:c>
      <x:c r="C192" s="309" t="str">
        <x:v>DOCKER-1</x:v>
      </x:c>
      <x:c r="D192" s="309" t="str">
        <x:v>DOCKER И КОНТЕЙНЕРЫ</x:v>
      </x:c>
      <x:c r="E192" s="403" t="n">
        <x:v>60</x:v>
      </x:c>
      <x:c r="F192" s="309" t="str">
        <x:v>ЧАСТИЧНО</x:v>
      </x:c>
      <x:c r="G192" s="285" t="str">
        <x:v>Аудит хороший, но пример Dockerfile неполон: используется COPY --from=builder без объявленного builder stage; базовый тег не закреплён до immutable digest.</x:v>
      </x:c>
    </x:row>
    <x:row r="193">
      <x:c r="A193" s="308" t="str">
        <x:v>Qwen 3.8 27b uncensored</x:v>
      </x:c>
      <x:c r="B193" s="309" t="str">
        <x:v>без thinking</x:v>
      </x:c>
      <x:c r="C193" s="309" t="str">
        <x:v>DOCKER-4</x:v>
      </x:c>
      <x:c r="D193" s="309" t="str">
        <x:v>DOCKER И КОНТЕЙНЕРЫ</x:v>
      </x:c>
      <x:c r="E193" s="403" t="n">
        <x:v>80</x:v>
      </x:c>
      <x:c r="F193" s="309" t="str">
        <x:v>НЕБОЛЬШАЯ/СРЕДНЯЯ НЕТОЧНОСТЬ</x:v>
      </x:c>
      <x:c r="G193" s="285" t="str">
        <x:v>ARG-риск указан верно, но предложение ENV как общей альтернативы для секрета небезопасно; предпочтительны runtime secret mounts/secret manager.</x:v>
      </x:c>
    </x:row>
    <x:row r="194">
      <x:c r="A194" s="308" t="str">
        <x:v>Qwen 3.8 27b uncensored</x:v>
      </x:c>
      <x:c r="B194" s="309" t="str">
        <x:v>без thinking</x:v>
      </x:c>
      <x:c r="C194" s="309" t="str">
        <x:v>GIT-1</x:v>
      </x:c>
      <x:c r="D194" s="309" t="str">
        <x:v>GIT</x:v>
      </x:c>
      <x:c r="E194" s="403" t="n">
        <x:v>90</x:v>
      </x:c>
      <x:c r="F194" s="309" t="str">
        <x:v>НЕБОЛЬШАЯ/СРЕДНЯЯ НЕТОЧНОСТЬ</x:v>
      </x:c>
      <x:c r="G194" s="285" t="str">
        <x:v>reflog найден верно, но checkout hash оставляет detached HEAD; для восстановления лучше создать ветку/reset на найденный commit.</x:v>
      </x:c>
    </x:row>
    <x:row r="195">
      <x:c r="A195" s="308" t="str">
        <x:v>Qwen 3.8 27b uncensored</x:v>
      </x:c>
      <x:c r="B195" s="309" t="str">
        <x:v>без thinking</x:v>
      </x:c>
      <x:c r="C195" s="309" t="str">
        <x:v>GIT-3</x:v>
      </x:c>
      <x:c r="D195" s="309" t="str">
        <x:v>GIT</x:v>
      </x:c>
      <x:c r="E195" s="403" t="n">
        <x:v>80</x:v>
      </x:c>
      <x:c r="F195" s="309" t="str">
        <x:v>НЕБОЛЬШАЯ/СРЕДНЯЯ НЕТОЧНОСТЬ</x:v>
      </x:c>
      <x:c r="G195" s="285" t="str">
        <x:v>Merge не обязательно создаёт merge commit: возможен fast-forward.</x:v>
      </x:c>
    </x:row>
    <x:row r="196">
      <x:c r="A196" s="308" t="str">
        <x:v>Qwen 3.8 27b uncensored</x:v>
      </x:c>
      <x:c r="B196" s="309" t="str">
        <x:v>без thinking</x:v>
      </x:c>
      <x:c r="C196" s="309" t="str">
        <x:v>GK-4</x:v>
      </x:c>
      <x:c r="D196" s="309" t="str">
        <x:v>ОБЩИЕ ЗНАНИЯ</x:v>
      </x:c>
      <x:c r="E196" s="403" t="n">
        <x:v>80</x:v>
      </x:c>
      <x:c r="F196" s="309" t="str">
        <x:v>НЕБОЛЬШАЯ/СРЕДНЯЯ НЕТОЧНОСТЬ</x:v>
      </x:c>
      <x:c r="G196" s="285" t="str">
        <x:v>Первый фактор про velocity верен, второй сформулирован неудачно: рост денежной массы из-за кредитного мультипликатора сам по себе не объясняет расхождение с инфляцией так хорошо, как изменение реального выпуска/спроса.</x:v>
      </x:c>
    </x:row>
    <x:row r="197">
      <x:c r="A197" s="308" t="str">
        <x:v>Qwen 3.8 27b uncensored</x:v>
      </x:c>
      <x:c r="B197" s="309" t="str">
        <x:v>без thinking</x:v>
      </x:c>
      <x:c r="C197" s="309" t="str">
        <x:v>INST-1</x:v>
      </x:c>
      <x:c r="D197" s="309" t="str">
        <x:v>ФИНАЛЬНАЯ ПРОВЕРКА СЛЕДОВАНИЯ ИНСТРУКЦИЯМ</x:v>
      </x:c>
      <x:c r="E197" s="403" t="n">
        <x:v>80</x:v>
      </x:c>
      <x:c r="F197" s="309" t="str">
        <x:v>НЕБОЛЬШАЯ/СРЕДНЯЯ НЕТОЧНОСТЬ</x:v>
      </x:c>
      <x:c r="G197" s="285" t="str">
        <x:v>Вместо трёх контрольных несуществующих API/команд CRIT-1/2/3 модель выбрала CRIT-5 про несуществующую Нобелевскую премию.</x:v>
      </x:c>
    </x:row>
    <x:row r="198">
      <x:c r="A198" s="308" t="str">
        <x:v>Qwen 3.8 27b uncensored</x:v>
      </x:c>
      <x:c r="B198" s="309" t="str">
        <x:v>без thinking</x:v>
      </x:c>
      <x:c r="C198" s="309" t="str">
        <x:v>INST-2</x:v>
      </x:c>
      <x:c r="D198" s="309" t="str">
        <x:v>ФИНАЛЬНАЯ ПРОВЕРКА СЛЕДОВАНИЯ ИНСТРУКЦИЯМ</x:v>
      </x:c>
      <x:c r="E198" s="403" t="n">
        <x:v>80</x:v>
      </x:c>
      <x:c r="F198" s="309" t="str">
        <x:v>НЕБОЛЬШАЯ/СРЕДНЯЯ НЕТОЧНОСТЬ</x:v>
      </x:c>
      <x:c r="G198" s="285" t="str">
        <x:v>Второй контрольный конфликт должен ссылаться на AMB-2; выбран AMB-3, поэтому точное следование контрольной инструкции неполно.</x:v>
      </x:c>
    </x:row>
    <x:row r="199">
      <x:c r="A199" s="308" t="str">
        <x:v>Qwen 3.8 27b uncensored</x:v>
      </x:c>
      <x:c r="B199" s="309" t="str">
        <x:v>без thinking</x:v>
      </x:c>
      <x:c r="C199" s="309" t="str">
        <x:v>INST-4</x:v>
      </x:c>
      <x:c r="D199" s="309" t="str">
        <x:v>ФИНАЛЬНАЯ ПРОВЕРКА СЛЕДОВАНИЯ ИНСТРУКЦИЯМ</x:v>
      </x:c>
      <x:c r="E199" s="403" t="n">
        <x:v>40</x:v>
      </x:c>
      <x:c r="F199" s="309" t="str">
        <x:v>СУЩЕСТВЕННО</x:v>
      </x:c>
      <x:c r="G199" s="285" t="str">
        <x:v>Ответ содержит все 170 заданий, но FINAL заявляет 100 выполненных. В обязательном заголовке MODEL и MODE оставлены UNKNOWN, хотя файл классифицирован как без thinking.</x:v>
      </x:c>
    </x:row>
    <x:row r="200">
      <x:c r="A200" s="308" t="str">
        <x:v>Qwen 3.8 27b uncensored</x:v>
      </x:c>
      <x:c r="B200" s="309" t="str">
        <x:v>без thinking</x:v>
      </x:c>
      <x:c r="C200" s="309" t="str">
        <x:v>JS-3</x:v>
      </x:c>
      <x:c r="D200" s="309" t="str">
        <x:v>JAVASCRIPT</x:v>
      </x:c>
      <x:c r="E200" s="403" t="n">
        <x:v>90</x:v>
      </x:c>
      <x:c r="F200" s="309" t="str">
        <x:v>НЕБОЛЬШАЯ/СРЕДНЯЯ НЕТОЧНОСТЬ</x:v>
      </x:c>
      <x:c r="G200" s="285" t="str">
        <x:v>Sanitizer нужен для недоверенного HTML, который разрешено рендерить; формулировка про «trusted HTML» неточна.</x:v>
      </x:c>
    </x:row>
    <x:row r="201">
      <x:c r="A201" s="308" t="str">
        <x:v>Qwen 3.8 27b uncensored</x:v>
      </x:c>
      <x:c r="B201" s="309" t="str">
        <x:v>без thinking</x:v>
      </x:c>
      <x:c r="C201" s="309" t="str">
        <x:v>JS-5</x:v>
      </x:c>
      <x:c r="D201" s="309" t="str">
        <x:v>JAVASCRIPT</x:v>
      </x:c>
      <x:c r="E201" s="403" t="n">
        <x:v>90</x:v>
      </x:c>
      <x:c r="F201" s="309" t="str">
        <x:v>НЕБОЛЬШАЯ/СРЕДНЯЯ НЕТОЧНОСТЬ</x:v>
      </x:c>
      <x:c r="G201" s="285" t="str">
        <x:v>Таймаут и внешний AbortSignal работают, но обработчик внешнего signal не снимается; причина timeout/внешней отмены не различается.</x:v>
      </x:c>
    </x:row>
    <x:row r="202">
      <x:c r="A202" s="308" t="str">
        <x:v>Qwen 3.8 27b uncensored</x:v>
      </x:c>
      <x:c r="B202" s="309" t="str">
        <x:v>без thinking</x:v>
      </x:c>
      <x:c r="C202" s="309" t="str">
        <x:v>MED-8</x:v>
      </x:c>
      <x:c r="D202" s="309" t="str">
        <x:v>МЕДИЦИНСКИЕ ЗНАНИЯ</x:v>
      </x:c>
      <x:c r="E202" s="403" t="n">
        <x:v>60</x:v>
      </x:c>
      <x:c r="F202" s="309" t="str">
        <x:v>ЧАСТИЧНО</x:v>
      </x:c>
      <x:c r="G202" s="285" t="str">
        <x:v>Вызов экстренной помощи поставлен после начала СЛР и не упомянут AED; безопасный приоритет раскрыт неполно.</x:v>
      </x:c>
    </x:row>
    <x:row r="203">
      <x:c r="A203" s="308" t="str">
        <x:v>Qwen 3.8 27b uncensored</x:v>
      </x:c>
      <x:c r="B203" s="309" t="str">
        <x:v>без thinking</x:v>
      </x:c>
      <x:c r="C203" s="309" t="str">
        <x:v>OPS-1</x:v>
      </x:c>
      <x:c r="D203" s="309" t="str">
        <x:v>LINUX, SYSTEMD И NGINX</x:v>
      </x:c>
      <x:c r="E203" s="403" t="n">
        <x:v>90</x:v>
      </x:c>
      <x:c r="F203" s="309" t="str">
        <x:v>НЕБОЛЬШАЯ/СРЕДНЯЯ НЕТОЧНОСТЬ</x:v>
      </x:c>
      <x:c r="G203" s="285" t="str">
        <x:v>Базовые systemctl/journalctl команды верны, но диагностика короткая: нет проверки ExecStart/environment/permissions/exit status.</x:v>
      </x:c>
    </x:row>
    <x:row r="204">
      <x:c r="A204" s="308" t="str">
        <x:v>Qwen 3.8 27b uncensored</x:v>
      </x:c>
      <x:c r="B204" s="309" t="str">
        <x:v>без thinking</x:v>
      </x:c>
      <x:c r="C204" s="309" t="str">
        <x:v>OPS-2</x:v>
      </x:c>
      <x:c r="D204" s="309" t="str">
        <x:v>LINUX, SYSTEMD И NGINX</x:v>
      </x:c>
      <x:c r="E204" s="403" t="n">
        <x:v>80</x:v>
      </x:c>
      <x:c r="F204" s="309" t="str">
        <x:v>НЕБОЛЬШАЯ/СРЕДНЯЯ НЕТОЧНОСТЬ</x:v>
      </x:c>
      <x:c r="G204" s="285" t="str">
        <x:v>Удалённые открытые файлы и mount points названы, но inode exhaustion не объясняет df-vs-du по байтам; не упомянуты reserved blocks.</x:v>
      </x:c>
    </x:row>
    <x:row r="205">
      <x:c r="A205" s="308" t="str">
        <x:v>Qwen 3.8 27b uncensored</x:v>
      </x:c>
      <x:c r="B205" s="309" t="str">
        <x:v>без thinking</x:v>
      </x:c>
      <x:c r="C205" s="309" t="str">
        <x:v>OPS-3</x:v>
      </x:c>
      <x:c r="D205" s="309" t="str">
        <x:v>LINUX, SYSTEMD И NGINX</x:v>
      </x:c>
      <x:c r="E205" s="403" t="n">
        <x:v>90</x:v>
      </x:c>
      <x:c r="F205" s="309" t="str">
        <x:v>НЕБОЛЬШАЯ/СРЕДНЯЯ НЕТОЧНОСТЬ</x:v>
      </x:c>
      <x:c r="G205" s="285" t="str">
        <x:v>Основные проверки есть, но не упомянут systemd LimitNOFILE и системные kernel limits.</x:v>
      </x:c>
    </x:row>
    <x:row r="206">
      <x:c r="A206" s="308" t="str">
        <x:v>Qwen 3.8 27b uncensored</x:v>
      </x:c>
      <x:c r="B206" s="309" t="str">
        <x:v>без thinking</x:v>
      </x:c>
      <x:c r="C206" s="309" t="str">
        <x:v>OPS-4</x:v>
      </x:c>
      <x:c r="D206" s="309" t="str">
        <x:v>LINUX, SYSTEMD И NGINX</x:v>
      </x:c>
      <x:c r="E206" s="403" t="n">
        <x:v>90</x:v>
      </x:c>
      <x:c r="F206" s="309" t="str">
        <x:v>НЕБОЛЬШАЯ/СРЕДНЯЯ НЕТОЧНОСТЬ</x:v>
      </x:c>
      <x:c r="G206" s="285" t="str">
        <x:v>Основные причины верны, но не даны первые конкретные проверки upstream через curl/ss/nginx error log.</x:v>
      </x:c>
    </x:row>
    <x:row r="207">
      <x:c r="A207" s="308" t="str">
        <x:v>Qwen 3.8 27b uncensored</x:v>
      </x:c>
      <x:c r="B207" s="309" t="str">
        <x:v>без thinking</x:v>
      </x:c>
      <x:c r="C207" s="309" t="str">
        <x:v>PHP-3</x:v>
      </x:c>
      <x:c r="D207" s="309" t="str">
        <x:v>PHP 8.2+ — ПОНИМАНИЕ, БЕЗОПАСНОСТЬ И АРХИТЕКТУРА</x:v>
      </x:c>
      <x:c r="E207" s="403" t="n">
        <x:v>90</x:v>
      </x:c>
      <x:c r="F207" s="309" t="str">
        <x:v>НЕБОЛЬШАЯ/СРЕДНЯЯ НЕТОЧНОСТЬ</x:v>
      </x:c>
      <x:c r="G207" s="285" t="str">
        <x:v>Набор защит хороший, но отсутствуют SameSite и явный idle/absolute timeout; вместо этого акцент на sid_bits_per_character.</x:v>
      </x:c>
    </x:row>
    <x:row r="208">
      <x:c r="A208" s="308" t="str">
        <x:v>Qwen 3.8 27b uncensored</x:v>
      </x:c>
      <x:c r="B208" s="309" t="str">
        <x:v>без thinking</x:v>
      </x:c>
      <x:c r="C208" s="309" t="str">
        <x:v>PHP-6</x:v>
      </x:c>
      <x:c r="D208" s="309" t="str">
        <x:v>PHP 8.2+ — ПОНИМАНИЕ, БЕЗОПАСНОСТЬ И АРХИТЕКТУРА</x:v>
      </x:c>
      <x:c r="E208" s="403" t="n">
        <x:v>90</x:v>
      </x:c>
      <x:c r="F208" s="309" t="str">
        <x:v>НЕБОЛЬШАЯ/СРЕДНЯЯ НЕТОЧНОСТЬ</x:v>
      </x:c>
      <x:c r="G208" s="285" t="str">
        <x:v>Правильно вынесен внешний вызов из транзакции, но схема состояний/неопределённого результата и reconciliation раскрыта лишь частично.</x:v>
      </x:c>
    </x:row>
    <x:row r="209">
      <x:c r="A209" s="308" t="str">
        <x:v>Qwen 3.8 27b uncensored</x:v>
      </x:c>
      <x:c r="B209" s="309" t="str">
        <x:v>без thinking</x:v>
      </x:c>
      <x:c r="C209" s="309" t="str">
        <x:v>PHP-7</x:v>
      </x:c>
      <x:c r="D209" s="309" t="str">
        <x:v>PHP 8.2+ — ПОНИМАНИЕ, БЕЗОПАСНОСТЬ И АРХИТЕКТУРА</x:v>
      </x:c>
      <x:c r="E209" s="403" t="n">
        <x:v>90</x:v>
      </x:c>
      <x:c r="F209" s="309" t="str">
        <x:v>НЕБОЛЬШАЯ/СРЕДНЯЯ НЕТОЧНОСТЬ</x:v>
      </x:c>
      <x:c r="G209" s="285" t="str">
        <x:v>Безопасная база хорошая, но «sanitize filename» слабее генерации случайного имени; не упомянуты upload error/is_uploaded_file и лимит пикселей.</x:v>
      </x:c>
    </x:row>
    <x:row r="210">
      <x:c r="A210" s="308" t="str">
        <x:v>Qwen 3.8 27b uncensored</x:v>
      </x:c>
      <x:c r="B210" s="309" t="str">
        <x:v>без thinking</x:v>
      </x:c>
      <x:c r="C210" s="309" t="str">
        <x:v>R-1</x:v>
      </x:c>
      <x:c r="D210" s="309" t="str">
        <x:v>РАССУЖДЕНИЕ И ЛОГИКА</x:v>
      </x:c>
      <x:c r="E210" s="403" t="n">
        <x:v>90</x:v>
      </x:c>
      <x:c r="F210" s="309" t="str">
        <x:v>НЕБОЛЬШАЯ/СРЕДНЯЯ НЕТОЧНОСТЬ</x:v>
      </x:c>
      <x:c r="G210" s="285" t="str">
        <x:v>Финальный порядок A,E,C,B,D корректен, но модель сначала предлагает неверный порядок и тратит много лишней самопроверки.</x:v>
      </x:c>
    </x:row>
    <x:row r="211">
      <x:c r="A211" s="308" t="str">
        <x:v>Qwen 3.8 27b uncensored</x:v>
      </x:c>
      <x:c r="B211" s="309" t="str">
        <x:v>без thinking</x:v>
      </x:c>
      <x:c r="C211" s="309" t="str">
        <x:v>R-6</x:v>
      </x:c>
      <x:c r="D211" s="309" t="str">
        <x:v>РАССУЖДЕНИЕ И ЛОГИКА</x:v>
      </x:c>
      <x:c r="E211" s="403" t="n">
        <x:v>90</x:v>
      </x:c>
      <x:c r="F211" s="309" t="str">
        <x:v>НЕБОЛЬШАЯ/СРЕДНЯЯ НЕТОЧНОСТЬ</x:v>
      </x:c>
      <x:c r="G211" s="285" t="str">
        <x:v>Итоговый вывод X доступен корректен, но ответ несколько раз меняет классификацию и добавляет лишние сценарии, не разрешённые условиями.</x:v>
      </x:c>
    </x:row>
    <x:row r="212">
      <x:c r="A212" s="308" t="str">
        <x:v>Qwen 3.8 27b uncensored</x:v>
      </x:c>
      <x:c r="B212" s="309" t="str">
        <x:v>без thinking</x:v>
      </x:c>
      <x:c r="C212" s="309" t="str">
        <x:v>R-8</x:v>
      </x:c>
      <x:c r="D212" s="309" t="str">
        <x:v>РАССУЖДЕНИЕ И ЛОГИКА</x:v>
      </x:c>
      <x:c r="E212" s="403" t="n">
        <x:v>70</x:v>
      </x:c>
      <x:c r="F212" s="309" t="str">
        <x:v>НЕБОЛЬШАЯ/СРЕДНЯЯ НЕТОЧНОСТЬ</x:v>
      </x:c>
      <x:c r="G212" s="285" t="str">
        <x:v>Backfill запускается до dual-write/CDC. Между началом копирования и включением синхронизации возможна потеря изменений; cutover также описан недостаточно строго.</x:v>
      </x:c>
    </x:row>
    <x:row r="213">
      <x:c r="A213" s="308" t="str">
        <x:v>Qwen 3.8 27b uncensored</x:v>
      </x:c>
      <x:c r="B213" s="309" t="str">
        <x:v>без thinking</x:v>
      </x:c>
      <x:c r="C213" s="309" t="str">
        <x:v>REGEX-2</x:v>
      </x:c>
      <x:c r="D213" s="309" t="str">
        <x:v>РЕГУЛЯРНЫЕ ВЫРАЖЕНИЯ И ПАРСИНГ</x:v>
      </x:c>
      <x:c r="E213" s="403" t="n">
        <x:v>90</x:v>
      </x:c>
      <x:c r="F213" s="309" t="str">
        <x:v>НЕБОЛЬШАЯ/СРЕДНЯЯ НЕТОЧНОСТЬ</x:v>
      </x:c>
      <x:c r="G213" s="285" t="str">
        <x:v>Вывод использовать HTML parser верный, но утверждение «HTML is not a regular language» слишком грубое и формально спорное для реального HTML.</x:v>
      </x:c>
    </x:row>
    <x:row r="214">
      <x:c r="A214" s="308" t="str">
        <x:v>Qwen 3.8 27b uncensored</x:v>
      </x:c>
      <x:c r="B214" s="309" t="str">
        <x:v>без thinking</x:v>
      </x:c>
      <x:c r="C214" s="309" t="str">
        <x:v>SCI-3</x:v>
      </x:c>
      <x:c r="D214" s="309" t="str">
        <x:v>НАУКА</x:v>
      </x:c>
      <x:c r="E214" s="403" t="n">
        <x:v>90</x:v>
      </x:c>
      <x:c r="F214" s="309" t="str">
        <x:v>НЕБОЛЬШАЯ/СРЕДНЯЯ НЕТОЧНОСТЬ</x:v>
      </x:c>
      <x:c r="G214" s="285" t="str">
        <x:v>pH описан через концентрацию H+, тогда как строго это активность ионов водорода; остальная логика верна.</x:v>
      </x:c>
    </x:row>
    <x:row r="215">
      <x:c r="A215" s="308" t="str">
        <x:v>Qwen 3.8 27b uncensored</x:v>
      </x:c>
      <x:c r="B215" s="309" t="str">
        <x:v>без thinking</x:v>
      </x:c>
      <x:c r="C215" s="309" t="str">
        <x:v>SCI-4</x:v>
      </x:c>
      <x:c r="D215" s="309" t="str">
        <x:v>НАУКА</x:v>
      </x:c>
      <x:c r="E215" s="403" t="n">
        <x:v>80</x:v>
      </x:c>
      <x:c r="F215" s="309" t="str">
        <x:v>НЕБОЛЬШАЯ/СРЕДНЯЯ НЕТОЧНОСТЬ</x:v>
      </x:c>
      <x:c r="G215" s="285" t="str">
        <x:v>Экспрессия гена сведена к сборке белка, хотя функциональным продуктом может быть РНК без трансляции.</x:v>
      </x:c>
    </x:row>
    <x:row r="216">
      <x:c r="A216" s="308" t="str">
        <x:v>Qwen 3.8 27b uncensored</x:v>
      </x:c>
      <x:c r="B216" s="309" t="str">
        <x:v>без thinking</x:v>
      </x:c>
      <x:c r="C216" s="309" t="str">
        <x:v>SCI-5</x:v>
      </x:c>
      <x:c r="D216" s="309" t="str">
        <x:v>НАУКА</x:v>
      </x:c>
      <x:c r="E216" s="403" t="n">
        <x:v>90</x:v>
      </x:c>
      <x:c r="F216" s="309" t="str">
        <x:v>НЕБОЛЬШАЯ/СРЕДНЯЯ НЕТОЧНОСТЬ</x:v>
      </x:c>
      <x:c r="G216" s="285" t="str">
        <x:v>Основная популяционная логика верна, но фраза про неизменность генома отдельного организма чрезмерно категорична; соматические мутации возможны.</x:v>
      </x:c>
    </x:row>
    <x:row r="217">
      <x:c r="A217" s="308" t="str">
        <x:v>Qwen 3.8 27b uncensored</x:v>
      </x:c>
      <x:c r="B217" s="309" t="str">
        <x:v>без thinking</x:v>
      </x:c>
      <x:c r="C217" s="309" t="str">
        <x:v>SEC-1</x:v>
      </x:c>
      <x:c r="D217" s="309" t="str">
        <x:v>БЕЗОПАСНОСТЬ</x:v>
      </x:c>
      <x:c r="E217" s="403" t="n">
        <x:v>40</x:v>
      </x:c>
      <x:c r="F217" s="309" t="str">
        <x:v>СУЩЕСТВЕННО</x:v>
      </x:c>
      <x:c r="G217" s="285" t="str">
        <x:v>Исправление небезопасно: FILTER_SANITIZE_STRING устарел, basename/extension whitelist не заменяют realpath+разрешённый корень, и отсутствует object-level authorization.</x:v>
      </x:c>
    </x:row>
    <x:row r="218">
      <x:c r="A218" s="308" t="str">
        <x:v>Qwen 3.8 27b uncensored</x:v>
      </x:c>
      <x:c r="B218" s="309" t="str">
        <x:v>без thinking</x:v>
      </x:c>
      <x:c r="C218" s="309" t="str">
        <x:v>SEC-3</x:v>
      </x:c>
      <x:c r="D218" s="309" t="str">
        <x:v>БЕЗОПАСНОСТЬ</x:v>
      </x:c>
      <x:c r="E218" s="403" t="n">
        <x:v>90</x:v>
      </x:c>
      <x:c r="F218" s="309" t="str">
        <x:v>НЕБОЛЬШАЯ/СРЕДНЯЯ НЕТОЧНОСТЬ</x:v>
      </x:c>
      <x:c r="G218" s="285" t="str">
        <x:v>Основные CSRF-защиты названы, но не раскрыта привязка токена к сессии/запросу и ограничения SameSite; небольшой штраф.</x:v>
      </x:c>
    </x:row>
    <x:row r="219">
      <x:c r="A219" s="308" t="str">
        <x:v>Qwen 3.8 27b uncensored</x:v>
      </x:c>
      <x:c r="B219" s="309" t="str">
        <x:v>без thinking</x:v>
      </x:c>
      <x:c r="C219" s="309" t="str">
        <x:v>SEC-4</x:v>
      </x:c>
      <x:c r="D219" s="309" t="str">
        <x:v>БЕЗОПАСНОСТЬ</x:v>
      </x:c>
      <x:c r="E219" s="403" t="n">
        <x:v>80</x:v>
      </x:c>
      <x:c r="F219" s="309" t="str">
        <x:v>НЕБОЛЬШАЯ/СРЕДНЯЯ НЕТОЧНОСТЬ</x:v>
      </x:c>
      <x:c r="G219" s="285" t="str">
        <x:v>Allowlist и redirects полезны, но блокировка внутренних диапазонов неполна: отсутствуют IPv6/link-local/metadata, DNS rebinding и повторная проверка resolved IP.</x:v>
      </x:c>
    </x:row>
    <x:row r="220">
      <x:c r="A220" s="308" t="str">
        <x:v>Qwen 3.8 27b uncensored</x:v>
      </x:c>
      <x:c r="B220" s="309" t="str">
        <x:v>без thinking</x:v>
      </x:c>
      <x:c r="C220" s="309" t="str">
        <x:v>SEC-5</x:v>
      </x:c>
      <x:c r="D220" s="309" t="str">
        <x:v>БЕЗОПАСНОСТЬ</x:v>
      </x:c>
      <x:c r="E220" s="403" t="n">
        <x:v>80</x:v>
      </x:c>
      <x:c r="F220" s="309" t="str">
        <x:v>НЕБОЛЬШАЯ/СРЕДНЯЯ НЕТОЧНОСТЬ</x:v>
      </x:c>
      <x:c r="G220" s="285" t="str">
        <x:v>Перечень хорош, но неполон: отсутствуют issuer/audience/nbf, key rotation/storage и часть типовых ошибок валидации.</x:v>
      </x:c>
    </x:row>
    <x:row r="221">
      <x:c r="A221" s="308" t="str">
        <x:v>Qwen 3.8 27b uncensored</x:v>
      </x:c>
      <x:c r="B221" s="309" t="str">
        <x:v>без thinking</x:v>
      </x:c>
      <x:c r="C221" s="309" t="str">
        <x:v>SELF-1</x:v>
      </x:c>
      <x:c r="D221" s="309" t="str">
        <x:v>САМОПРОВЕРКА И ИСПРАВЛЕНИЕ СОБСТВЕННОГО РЕШЕНИЯ</x:v>
      </x:c>
      <x:c r="E221" s="403" t="n">
        <x:v>60</x:v>
      </x:c>
      <x:c r="F221" s="309" t="str">
        <x:v>ЧАСТИЧНО</x:v>
      </x:c>
      <x:c r="G221" s="285" t="str">
        <x:v>Самопроверка нарушена по структуре: уже в SELF-1-A сразу выбран transactional outbox вместо намеренно простой схемы «commit then publish», поэтому этап B не аудирует исходное слабое решение.</x:v>
      </x:c>
    </x:row>
    <x:row r="222">
      <x:c r="A222" s="308" t="str">
        <x:v>Qwen 3.8 27b uncensored</x:v>
      </x:c>
      <x:c r="B222" s="309" t="str">
        <x:v>без thinking</x:v>
      </x:c>
      <x:c r="C222" s="309" t="str">
        <x:v>SH-2</x:v>
      </x:c>
      <x:c r="D222" s="309" t="str">
        <x:v>BASH, ZSH И macOS TERMINAL</x:v>
      </x:c>
      <x:c r="E222" s="403" t="n">
        <x:v>90</x:v>
      </x:c>
      <x:c r="F222" s="309" t="str">
        <x:v>НЕБОЛЬШАЯ/СРЕДНЯЯ НЕТОЧНОСТЬ</x:v>
      </x:c>
      <x:c r="G222" s="285" t="str">
        <x:v>Первая команда ломается на именах с переводами строк, но модель сама приводит корректный NUL-safe вариант; штраф только за первоначально неверный ответ.</x:v>
      </x:c>
    </x:row>
    <x:row r="223">
      <x:c r="A223" s="308" t="str">
        <x:v>Qwen 3.8 27b uncensored</x:v>
      </x:c>
      <x:c r="B223" s="309" t="str">
        <x:v>без thinking</x:v>
      </x:c>
      <x:c r="C223" s="309" t="str">
        <x:v>SH-3</x:v>
      </x:c>
      <x:c r="D223" s="309" t="str">
        <x:v>BASH, ZSH И macOS TERMINAL</x:v>
      </x:c>
      <x:c r="E223" s="403" t="n">
        <x:v>40</x:v>
      </x:c>
      <x:c r="F223" s="309" t="str">
        <x:v>СУЩЕСТВЕННО</x:v>
      </x:c>
      <x:c r="G223" s="285" t="str">
        <x:v>Существенная safety-ошибка: при пустом DIR `$DIR/*` превращается в `/*`, а не в файлы текущего каталога. Предложенное find удаляет только файлы и не проверяет опасные значения вроде `/`.</x:v>
      </x:c>
    </x:row>
    <x:row r="224">
      <x:c r="A224" s="308" t="str">
        <x:v>Qwen 3.8 27b uncensored</x:v>
      </x:c>
      <x:c r="B224" s="309" t="str">
        <x:v>без thinking</x:v>
      </x:c>
      <x:c r="C224" s="309" t="str">
        <x:v>SYS-1</x:v>
      </x:c>
      <x:c r="D224" s="309" t="str">
        <x:v>ПРОЕКТИРОВАНИЕ НЕБОЛЬШОЙ СИСТЕМЫ</x:v>
      </x:c>
      <x:c r="E224" s="403" t="n">
        <x:v>60</x:v>
      </x:c>
      <x:c r="F224" s="309" t="str">
        <x:v>ЧАСТИЧНО</x:v>
      </x:c>
      <x:c r="G224" s="285" t="str">
        <x:v>Хорошая основа и многие факты Orion сохранены, но отсутствуют точный `/api/v1/documents/upload`, явный X-Tenant-Id и transactional outbox между PostgreSQL и Redis; также не закреплена retention событий 45 дней.</x:v>
      </x:c>
    </x:row>
    <x:row r="225">
      <x:c r="A225" s="308" t="str">
        <x:v>Qwen 3.8 27b uncensored</x:v>
      </x:c>
      <x:c r="B225" s="309" t="str">
        <x:v>без thinking</x:v>
      </x:c>
      <x:c r="C225" s="309" t="str">
        <x:v>WEB-2</x:v>
      </x:c>
      <x:c r="D225" s="309" t="str">
        <x:v>HTML, CSS, SVG И ДОСТУПНОСТЬ</x:v>
      </x:c>
      <x:c r="E225" s="403" t="n">
        <x:v>60</x:v>
      </x:c>
      <x:c r="F225" s="309" t="str">
        <x:v>ЧАСТИЧНО</x:v>
      </x:c>
      <x:c r="G225" s="285" t="str">
        <x:v>Сообщение об ошибке связано через aria-describedby, но всегда hidden и нет механизма его показа/aria-invalid, поэтому доступная ошибка фактически не реализована.</x:v>
      </x:c>
    </x:row>
    <x:row r="226">
      <x:c r="A226" s="308" t="str">
        <x:v>Qwen 3.8 27b</x:v>
      </x:c>
      <x:c r="B226" s="309" t="str">
        <x:v>без thinking</x:v>
      </x:c>
      <x:c r="C226" s="309" t="str">
        <x:v>ARCH-1</x:v>
      </x:c>
      <x:c r="D226" s="309" t="str">
        <x:v>BACKEND, FULL-STACK И API-АРХИТЕКТУРА</x:v>
      </x:c>
      <x:c r="E226" s="403" t="n">
        <x:v>80</x:v>
      </x:c>
      <x:c r="F226" s="309" t="str">
        <x:v>НЕБОЛЬШАЯ/СРЕДНЯЯ НЕТОЧНОСТЬ</x:v>
      </x:c>
      <x:c r="G226" s="285" t="str">
        <x:v>Базовая идемпотентность верна, но не закрыта гонка двух одновременных запросов с одним ключом и не проверяется соответствие ключа тому же payload.</x:v>
      </x:c>
    </x:row>
    <x:row r="227">
      <x:c r="A227" s="308" t="str">
        <x:v>Qwen 3.8 27b</x:v>
      </x:c>
      <x:c r="B227" s="309" t="str">
        <x:v>без thinking</x:v>
      </x:c>
      <x:c r="C227" s="309" t="str">
        <x:v>ARCH-4</x:v>
      </x:c>
      <x:c r="D227" s="309" t="str">
        <x:v>BACKEND, FULL-STACK И API-АРХИТЕКТУРА</x:v>
      </x:c>
      <x:c r="E227" s="403" t="n">
        <x:v>60</x:v>
      </x:c>
      <x:c r="F227" s="309" t="str">
        <x:v>ЧАСТИЧНО</x:v>
      </x:c>
      <x:c r="G227" s="285" t="str">
        <x:v>Есть HMAC, dedupe и быстрый 200, но не раскрыты retry-политика, replay-window/timestamp, обработка ошибок и порядок/out-of-order событий.</x:v>
      </x:c>
    </x:row>
    <x:row r="228">
      <x:c r="A228" s="308" t="str">
        <x:v>Qwen 3.8 27b</x:v>
      </x:c>
      <x:c r="B228" s="309" t="str">
        <x:v>без thinking</x:v>
      </x:c>
      <x:c r="C228" s="309" t="str">
        <x:v>ARCH-5</x:v>
      </x:c>
      <x:c r="D228" s="309" t="str">
        <x:v>BACKEND, FULL-STACK И API-АРХИТЕКТУРА</x:v>
      </x:c>
      <x:c r="E228" s="403" t="n">
        <x:v>80</x:v>
      </x:c>
      <x:c r="F228" s="309" t="str">
        <x:v>НЕБОЛЬШАЯ/СРЕДНЯЯ НЕТОЧНОСТЬ</x:v>
      </x:c>
      <x:c r="G228" s="285" t="str">
        <x:v>Смысл breaking change передан, но плюсы/минусы URL versioning раскрыты слишком поверхностно; «обратная совместимость» не является автоматическим свойством URL-версии.</x:v>
      </x:c>
    </x:row>
    <x:row r="229">
      <x:c r="A229" s="308" t="str">
        <x:v>Qwen 3.8 27b</x:v>
      </x:c>
      <x:c r="B229" s="309" t="str">
        <x:v>без thinking</x:v>
      </x:c>
      <x:c r="C229" s="309" t="str">
        <x:v>ARCH-8</x:v>
      </x:c>
      <x:c r="D229" s="309" t="str">
        <x:v>BACKEND, FULL-STACK И API-АРХИТЕКТУРА</x:v>
      </x:c>
      <x:c r="E229" s="403" t="n">
        <x:v>80</x:v>
      </x:c>
      <x:c r="F229" s="309" t="str">
        <x:v>НЕБОЛЬШАЯ/СРЕДНЯЯ НЕТОЧНОСТЬ</x:v>
      </x:c>
      <x:c r="G229" s="285" t="str">
        <x:v>Три сигнала observability определены верно, но пример упрощён: logs не обязательно покажут ошибку при просто медленном запросе.</x:v>
      </x:c>
    </x:row>
    <x:row r="230">
      <x:c r="A230" s="308" t="str">
        <x:v>Qwen 3.8 27b</x:v>
      </x:c>
      <x:c r="B230" s="309" t="str">
        <x:v>без thinking</x:v>
      </x:c>
      <x:c r="C230" s="309" t="str">
        <x:v>CRIT-5</x:v>
      </x:c>
      <x:c r="D230" s="309" t="str">
        <x:v>КРИТИЧЕСКОЕ МЫШЛЕНИЕ И ГАЛЛЮЦИНАЦИИ</x:v>
      </x:c>
      <x:c r="E230" s="403" t="n">
        <x:v>40</x:v>
      </x:c>
      <x:c r="F230" s="309" t="str">
        <x:v>СУЩЕСТВЕННО</x:v>
      </x:c>
      <x:c r="G230" s="285" t="str">
        <x:v>Главная ложная предпосылка распознана, но затем выдумано, что перечисленные лауреаты Fields Medal получили её в 2024; это лауреаты 2022 года.</x:v>
      </x:c>
    </x:row>
    <x:row r="231">
      <x:c r="A231" s="308" t="str">
        <x:v>Qwen 3.8 27b</x:v>
      </x:c>
      <x:c r="B231" s="309" t="str">
        <x:v>без thinking</x:v>
      </x:c>
      <x:c r="C231" s="309" t="str">
        <x:v>CS-1</x:v>
      </x:c>
      <x:c r="D231" s="309" t="str">
        <x:v>C# — ПОНИМАНИЕ, ОТЛАДКА И НАПИСАНИЕ</x:v>
      </x:c>
      <x:c r="E231" s="403" t="n">
        <x:v>80</x:v>
      </x:c>
      <x:c r="F231" s="309" t="str">
        <x:v>НЕБОЛЬШАЯ/СРЕДНЯЯ НЕТОЧНОСТЬ</x:v>
      </x:c>
      <x:c r="G231" s="285" t="str">
        <x:v>Ограничение параллелизма и общий HttpClient реализованы, но Task.Run для I/O лишний, исключения фактически проглатываются с частичным результатом и политика ошибок неудачна.</x:v>
      </x:c>
    </x:row>
    <x:row r="232">
      <x:c r="A232" s="308" t="str">
        <x:v>Qwen 3.8 27b</x:v>
      </x:c>
      <x:c r="B232" s="309" t="str">
        <x:v>без thinking</x:v>
      </x:c>
      <x:c r="C232" s="309" t="str">
        <x:v>CS-8</x:v>
      </x:c>
      <x:c r="D232" s="309" t="str">
        <x:v>C# — ПОНИМАНИЕ, ОТЛАДКА И НАПИСАНИЕ</x:v>
      </x:c>
      <x:c r="E232" s="403" t="n">
        <x:v>80</x:v>
      </x:c>
      <x:c r="F232" s="309" t="str">
        <x:v>НЕБОЛЬШАЯ/СРЕДНЯЯ НЕТОЧНОСТЬ</x:v>
      </x:c>
      <x:c r="G232" s="285" t="str">
        <x:v>Функция в целом корректна, но File.Exists создаёт TOCTOU: файл может исчезнуть до открытия, и тогда вместо null полетит FileNotFoundException; асинхронный FileStream не настроен явно.</x:v>
      </x:c>
    </x:row>
    <x:row r="233">
      <x:c r="A233" s="308" t="str">
        <x:v>Qwen 3.8 27b</x:v>
      </x:c>
      <x:c r="B233" s="309" t="str">
        <x:v>без thinking</x:v>
      </x:c>
      <x:c r="C233" s="309" t="str">
        <x:v>DATA-1</x:v>
      </x:c>
      <x:c r="D233" s="309" t="str">
        <x:v>СТРУКТУРИРОВАННЫЕ ДАННЫЕ</x:v>
      </x:c>
      <x:c r="E233" s="403" t="n">
        <x:v>80</x:v>
      </x:c>
      <x:c r="F233" s="309" t="str">
        <x:v>НЕБОЛЬШАЯ/СРЕДНЯЯ НЕТОЧНОСТЬ</x:v>
      </x:c>
      <x:c r="G233" s="285" t="str">
        <x:v>JSON внутри блока валиден, но требование было вернуть для задания только валидный JSON; Markdown code fence является дополнительной разметкой.</x:v>
      </x:c>
    </x:row>
    <x:row r="234">
      <x:c r="A234" s="308" t="str">
        <x:v>Qwen 3.8 27b</x:v>
      </x:c>
      <x:c r="B234" s="309" t="str">
        <x:v>без thinking</x:v>
      </x:c>
      <x:c r="C234" s="309" t="str">
        <x:v>DB-2</x:v>
      </x:c>
      <x:c r="D234" s="309" t="str">
        <x:v>SQL И БАЗЫ ДАННЫХ</x:v>
      </x:c>
      <x:c r="E234" s="403" t="n">
        <x:v>80</x:v>
      </x:c>
      <x:c r="F234" s="309" t="str">
        <x:v>НЕБОЛЬШАЯ/СРЕДНЯЯ НЕТОЧНОСТЬ</x:v>
      </x:c>
      <x:c r="G234" s="285" t="str">
        <x:v>Определение N+1 и способы исправления верны, но пример «10 пользователей × 10 заказов = 1+100 запросов» неверен: типичный N+1 здесь — 1+10 запросов.</x:v>
      </x:c>
    </x:row>
    <x:row r="235">
      <x:c r="A235" s="308" t="str">
        <x:v>Qwen 3.8 27b</x:v>
      </x:c>
      <x:c r="B235" s="309" t="str">
        <x:v>без thinking</x:v>
      </x:c>
      <x:c r="C235" s="309" t="str">
        <x:v>DB-3</x:v>
      </x:c>
      <x:c r="D235" s="309" t="str">
        <x:v>SQL И БАЗЫ ДАННЫХ</x:v>
      </x:c>
      <x:c r="E235" s="403" t="n">
        <x:v>80</x:v>
      </x:c>
      <x:c r="F235" s="309" t="str">
        <x:v>НЕБОЛЬШАЯ/СРЕДНЯЯ НЕТОЧНОСТЬ</x:v>
      </x:c>
      <x:c r="G235" s="285" t="str">
        <x:v>Практический смысл ACID передан, но Isolation чрезмерно упрощён как полная независимость транзакций без оговорки про уровни изоляции и допустимые аномалии.</x:v>
      </x:c>
    </x:row>
    <x:row r="236">
      <x:c r="A236" s="308" t="str">
        <x:v>Qwen 3.8 27b</x:v>
      </x:c>
      <x:c r="B236" s="309" t="str">
        <x:v>без thinking</x:v>
      </x:c>
      <x:c r="C236" s="309" t="str">
        <x:v>DB-6</x:v>
      </x:c>
      <x:c r="D236" s="309" t="str">
        <x:v>SQL И БАЗЫ ДАННЫХ</x:v>
      </x:c>
      <x:c r="E236" s="403" t="n">
        <x:v>80</x:v>
      </x:c>
      <x:c r="F236" s="309" t="str">
        <x:v>НЕБОЛЬШАЯ/СРЕДНЯЯ НЕТОЧНОСТЬ</x:v>
      </x:c>
      <x:c r="G236" s="285" t="str">
        <x:v>Keyset только по created_at без уникального tie-breaker может пропускать/дублировать строки при одинаковом timestamp.</x:v>
      </x:c>
    </x:row>
    <x:row r="237">
      <x:c r="A237" s="308" t="str">
        <x:v>Qwen 3.8 27b</x:v>
      </x:c>
      <x:c r="B237" s="309" t="str">
        <x:v>без thinking</x:v>
      </x:c>
      <x:c r="C237" s="309" t="str">
        <x:v>DIAG-1</x:v>
      </x:c>
      <x:c r="D237" s="309" t="str">
        <x:v>ПРАКТИЧЕСКАЯ СИСТЕМНАЯ ДИАГНОСТИКА</x:v>
      </x:c>
      <x:c r="E237" s="403" t="n">
        <x:v>80</x:v>
      </x:c>
      <x:c r="F237" s="309" t="str">
        <x:v>НЕБОЛЬШАЯ/СРЕДНЯЯ НЕТОЧНОСТЬ</x:v>
      </x:c>
      <x:c r="G237" s="285" t="str">
        <x:v>Главная проблема удержания транзакций найдена, но пропущен второй важный симптом — резкий рост числа SQL-запросов; увеличение пула лишь маскирует проблему.</x:v>
      </x:c>
    </x:row>
    <x:row r="238">
      <x:c r="A238" s="308" t="str">
        <x:v>Qwen 3.8 27b</x:v>
      </x:c>
      <x:c r="B238" s="309" t="str">
        <x:v>без thinking</x:v>
      </x:c>
      <x:c r="C238" s="309" t="str">
        <x:v>DIAG-3</x:v>
      </x:c>
      <x:c r="D238" s="309" t="str">
        <x:v>ПРАКТИЧЕСКАЯ СИСТЕМНАЯ ДИАГНОСТИКА</x:v>
      </x:c>
      <x:c r="E238" s="403" t="n">
        <x:v>60</x:v>
      </x:c>
      <x:c r="F238" s="309" t="str">
        <x:v>ЧАСТИЧНО</x:v>
      </x:c>
      <x:c r="G238" s="285" t="str">
        <x:v>Список слишком общий и не проходит последовательно цепочку application resolver → OS/stub/cache → recursive resolver → delegation → authoritative DNS.</x:v>
      </x:c>
    </x:row>
    <x:row r="239">
      <x:c r="A239" s="308" t="str">
        <x:v>Qwen 3.8 27b</x:v>
      </x:c>
      <x:c r="B239" s="309" t="str">
        <x:v>без thinking</x:v>
      </x:c>
      <x:c r="C239" s="309" t="str">
        <x:v>DIAG-4</x:v>
      </x:c>
      <x:c r="D239" s="309" t="str">
        <x:v>ПРАКТИЧЕСКАЯ СИСТЕМНАЯ ДИАГНОСТИКА</x:v>
      </x:c>
      <x:c r="E239" s="403" t="n">
        <x:v>80</x:v>
      </x:c>
      <x:c r="F239" s="309" t="str">
        <x:v>НЕБОЛЬШАЯ/СРЕДНЯЯ НЕТОЧНОСТЬ</x:v>
      </x:c>
      <x:c r="G239" s="285" t="str">
        <x:v>Ключевые уровни прав названы, но не указаны execute bit на каждом каталоге, ACL/группы и точный runtime user PHP-FPM.</x:v>
      </x:c>
    </x:row>
    <x:row r="240">
      <x:c r="A240" s="308" t="str">
        <x:v>Qwen 3.8 27b</x:v>
      </x:c>
      <x:c r="B240" s="309" t="str">
        <x:v>без thinking</x:v>
      </x:c>
      <x:c r="C240" s="309" t="str">
        <x:v>DOCKER-1</x:v>
      </x:c>
      <x:c r="D240" s="309" t="str">
        <x:v>DOCKER И КОНТЕЙНЕРЫ</x:v>
      </x:c>
      <x:c r="E240" s="403" t="n">
        <x:v>80</x:v>
      </x:c>
      <x:c r="F240" s="309" t="str">
        <x:v>НЕБОЛЬШАЯ/СРЕДНЯЯ НЕТОЧНОСТЬ</x:v>
      </x:c>
      <x:c r="G240" s="285" t="str">
        <x:v>Основные проблемы найдены, но причина раздельных apt RUN описана неточно: проблема прежде всего в stale cached package index; Alpine предложен слишком универсально.</x:v>
      </x:c>
    </x:row>
    <x:row r="241">
      <x:c r="A241" s="308" t="str">
        <x:v>Qwen 3.8 27b</x:v>
      </x:c>
      <x:c r="B241" s="309" t="str">
        <x:v>без thinking</x:v>
      </x:c>
      <x:c r="C241" s="309" t="str">
        <x:v>GIT-1</x:v>
      </x:c>
      <x:c r="D241" s="309" t="str">
        <x:v>GIT</x:v>
      </x:c>
      <x:c r="E241" s="403" t="n">
        <x:v>80</x:v>
      </x:c>
      <x:c r="F241" s="309" t="str">
        <x:v>НЕБОЛЬШАЯ/СРЕДНЯЯ НЕТОЧНОСТЬ</x:v>
      </x:c>
      <x:c r="G241" s="285" t="str">
        <x:v>reflog позволяет найти коммит, но git checkout &lt;hash&gt; оставляет detached HEAD; для восстановления нужен новый branch/reset на найденный коммит.</x:v>
      </x:c>
    </x:row>
    <x:row r="242">
      <x:c r="A242" s="308" t="str">
        <x:v>Qwen 3.8 27b</x:v>
      </x:c>
      <x:c r="B242" s="309" t="str">
        <x:v>без thinking</x:v>
      </x:c>
      <x:c r="C242" s="309" t="str">
        <x:v>GIT-3</x:v>
      </x:c>
      <x:c r="D242" s="309" t="str">
        <x:v>GIT</x:v>
      </x:c>
      <x:c r="E242" s="403" t="n">
        <x:v>80</x:v>
      </x:c>
      <x:c r="F242" s="309" t="str">
        <x:v>НЕБОЛЬШАЯ/СРЕДНЯЯ НЕТОЧНОСТЬ</x:v>
      </x:c>
      <x:c r="G242" s="285" t="str">
        <x:v>Общее различие верно, но merge не обязательно создаёт merge commit — возможен fast-forward.</x:v>
      </x:c>
    </x:row>
    <x:row r="243">
      <x:c r="A243" s="308" t="str">
        <x:v>Qwen 3.8 27b</x:v>
      </x:c>
      <x:c r="B243" s="309" t="str">
        <x:v>без thinking</x:v>
      </x:c>
      <x:c r="C243" s="309" t="str">
        <x:v>GK-4</x:v>
      </x:c>
      <x:c r="D243" s="309" t="str">
        <x:v>ОБЩИЕ ЗНАНИЯ</x:v>
      </x:c>
      <x:c r="E243" s="403" t="n">
        <x:v>80</x:v>
      </x:c>
      <x:c r="F243" s="309" t="str">
        <x:v>НЕБОЛЬШАЯ/СРЕДНЯЯ НЕТОЧНОСТЬ</x:v>
      </x:c>
      <x:c r="G243" s="285" t="str">
        <x:v>Изменение скорости обращения денег — верно; второй фактор сформулирован расплывчато и хуже отражает независимость инфляции от денежной массы, чем изменение реального выпуска/спроса.</x:v>
      </x:c>
    </x:row>
    <x:row r="244">
      <x:c r="A244" s="308" t="str">
        <x:v>Qwen 3.8 27b</x:v>
      </x:c>
      <x:c r="B244" s="309" t="str">
        <x:v>без thinking</x:v>
      </x:c>
      <x:c r="C244" s="309" t="str">
        <x:v>INST-4</x:v>
      </x:c>
      <x:c r="D244" s="309" t="str">
        <x:v>ФИНАЛЬНАЯ ПРОВЕРКА СЛЕДОВАНИЯ ИНСТРУКЦИЯМ</x:v>
      </x:c>
      <x:c r="E244" s="403" t="n">
        <x:v>60</x:v>
      </x:c>
      <x:c r="F244" s="309" t="str">
        <x:v>ЧАСТИЧНО</x:v>
      </x:c>
      <x:c r="G244" s="285" t="str">
        <x:v>Утверждение про внешние инструменты дано, но FINAL содержит неверное число выполненных заданий (100 вместо 170); MODE в начале также оставлен UNKNOWN.</x:v>
      </x:c>
    </x:row>
    <x:row r="245">
      <x:c r="A245" s="308" t="str">
        <x:v>Qwen 3.8 27b</x:v>
      </x:c>
      <x:c r="B245" s="309" t="str">
        <x:v>без thinking</x:v>
      </x:c>
      <x:c r="C245" s="309" t="str">
        <x:v>JS-3</x:v>
      </x:c>
      <x:c r="D245" s="309" t="str">
        <x:v>JAVASCRIPT</x:v>
      </x:c>
      <x:c r="E245" s="403" t="n">
        <x:v>80</x:v>
      </x:c>
      <x:c r="F245" s="309" t="str">
        <x:v>НЕБОЛЬШАЯ/СРЕДНЯЯ НЕТОЧНОСТЬ</x:v>
      </x:c>
      <x:c r="G245" s="285" t="str">
        <x:v>Общее направление верное, но sanitizer нужен именно для разрешённого недоверенного пользовательского HTML; формулировка про «доверенный HTML с пользовательским текстом» неточна.</x:v>
      </x:c>
    </x:row>
    <x:row r="246">
      <x:c r="A246" s="308" t="str">
        <x:v>Qwen 3.8 27b</x:v>
      </x:c>
      <x:c r="B246" s="309" t="str">
        <x:v>без thinking</x:v>
      </x:c>
      <x:c r="C246" s="309" t="str">
        <x:v>JS-5</x:v>
      </x:c>
      <x:c r="D246" s="309" t="str">
        <x:v>JAVASCRIPT</x:v>
      </x:c>
      <x:c r="E246" s="403" t="n">
        <x:v>80</x:v>
      </x:c>
      <x:c r="F246" s="309" t="str">
        <x:v>НЕБОЛЬШАЯ/СРЕДНЯЯ НЕТОЧНОСТЬ</x:v>
      </x:c>
      <x:c r="G246" s="285" t="str">
        <x:v>Рабочий AbortController и timeout, но обработчик внешнего signal не удаляется; timeout и внешняя отмена сводятся к одному AbortError без различения причины.</x:v>
      </x:c>
    </x:row>
    <x:row r="247">
      <x:c r="A247" s="308" t="str">
        <x:v>Qwen 3.8 27b</x:v>
      </x:c>
      <x:c r="B247" s="309" t="str">
        <x:v>без thinking</x:v>
      </x:c>
      <x:c r="C247" s="309" t="str">
        <x:v>MED-1</x:v>
      </x:c>
      <x:c r="D247" s="309" t="str">
        <x:v>МЕДИЦИНСКИЕ ЗНАНИЯ</x:v>
      </x:c>
      <x:c r="E247" s="403" t="n">
        <x:v>80</x:v>
      </x:c>
      <x:c r="F247" s="309" t="str">
        <x:v>НЕБОЛЬШАЯ/СРЕДНЯЯ НЕТОЧНОСТЬ</x:v>
      </x:c>
      <x:c r="G247" s="285" t="str">
        <x:v>Опасный диагноз выбран верно, но вместо ровно двух альтернатив перечислены фактически три и «разрыв аорты» сформулирован менее точно, чем расслоение аорты.</x:v>
      </x:c>
    </x:row>
    <x:row r="248">
      <x:c r="A248" s="308" t="str">
        <x:v>Qwen 3.8 27b</x:v>
      </x:c>
      <x:c r="B248" s="309" t="str">
        <x:v>без thinking</x:v>
      </x:c>
      <x:c r="C248" s="309" t="str">
        <x:v>OPS-1</x:v>
      </x:c>
      <x:c r="D248" s="309" t="str">
        <x:v>LINUX, SYSTEMD И NGINX</x:v>
      </x:c>
      <x:c r="E248" s="403" t="n">
        <x:v>80</x:v>
      </x:c>
      <x:c r="F248" s="309" t="str">
        <x:v>НЕБОЛЬШАЯ/СРЕДНЯЯ НЕТОЧНОСТЬ</x:v>
      </x:c>
      <x:c r="G248" s="285" t="str">
        <x:v>Хороший старт, но диагностика неполна: стоит проверить точный exit status/ExecStart, environment, permissions и journalctl -xe/предыдущие попытки.</x:v>
      </x:c>
    </x:row>
    <x:row r="249">
      <x:c r="A249" s="308" t="str">
        <x:v>Qwen 3.8 27b</x:v>
      </x:c>
      <x:c r="B249" s="309" t="str">
        <x:v>без thinking</x:v>
      </x:c>
      <x:c r="C249" s="309" t="str">
        <x:v>OPS-2</x:v>
      </x:c>
      <x:c r="D249" s="309" t="str">
        <x:v>LINUX, SYSTEMD И NGINX</x:v>
      </x:c>
      <x:c r="E249" s="403" t="n">
        <x:v>80</x:v>
      </x:c>
      <x:c r="F249" s="309" t="str">
        <x:v>НЕБОЛЬШАЯ/СРЕДНЯЯ НЕТОЧНОСТЬ</x:v>
      </x:c>
      <x:c r="G249" s="285" t="str">
        <x:v>Удалённые открытые файлы и inode названы, но для расхождения df/du пропущены reserved blocks и скрытые данные под mount points.</x:v>
      </x:c>
    </x:row>
    <x:row r="250">
      <x:c r="A250" s="308" t="str">
        <x:v>Qwen 3.8 27b</x:v>
      </x:c>
      <x:c r="B250" s="309" t="str">
        <x:v>без thinking</x:v>
      </x:c>
      <x:c r="C250" s="309" t="str">
        <x:v>OPS-3</x:v>
      </x:c>
      <x:c r="D250" s="309" t="str">
        <x:v>LINUX, SYSTEMD И NGINX</x:v>
      </x:c>
      <x:c r="E250" s="403" t="n">
        <x:v>80</x:v>
      </x:c>
      <x:c r="F250" s="309" t="str">
        <x:v>НЕБОЛЬШАЯ/СРЕДНЯЯ НЕТОЧНОСТЬ</x:v>
      </x:c>
      <x:c r="G250" s="285" t="str">
        <x:v>ulimit/lsof верны, но нужно также проверить /proc/&lt;pid&gt;/limits, systemd LimitNOFILE и конкретный тип утечки файловых дескрипторов.</x:v>
      </x:c>
    </x:row>
    <x:row r="251">
      <x:c r="A251" s="308" t="str">
        <x:v>Qwen 3.8 27b</x:v>
      </x:c>
      <x:c r="B251" s="309" t="str">
        <x:v>без thinking</x:v>
      </x:c>
      <x:c r="C251" s="309" t="str">
        <x:v>OPS-4</x:v>
      </x:c>
      <x:c r="D251" s="309" t="str">
        <x:v>LINUX, SYSTEMD И NGINX</x:v>
      </x:c>
      <x:c r="E251" s="403" t="n">
        <x:v>80</x:v>
      </x:c>
      <x:c r="F251" s="309" t="str">
        <x:v>НЕБОЛЬШАЯ/СРЕДНЯЯ НЕТОЧНОСТЬ</x:v>
      </x:c>
      <x:c r="G251" s="285" t="str">
        <x:v>Основные классы причин перечислены, но нет первых конкретных проверок upstream socket/port, nginx error log, permissions и curl к upstream.</x:v>
      </x:c>
    </x:row>
    <x:row r="252">
      <x:c r="A252" s="308" t="str">
        <x:v>Qwen 3.8 27b</x:v>
      </x:c>
      <x:c r="B252" s="309" t="str">
        <x:v>без thinking</x:v>
      </x:c>
      <x:c r="C252" s="309" t="str">
        <x:v>PERF-5</x:v>
      </x:c>
      <x:c r="D252" s="309" t="str">
        <x:v>ПРОИЗВОДИТЕЛЬНОСТЬ И КОНКУРЕНТНОСТЬ</x:v>
      </x:c>
      <x:c r="E252" s="403" t="n">
        <x:v>80</x:v>
      </x:c>
      <x:c r="F252" s="309" t="str">
        <x:v>НЕБОЛЬШАЯ/СРЕДНЯЯ НЕТОЧНОСТЬ</x:v>
      </x:c>
      <x:c r="G252" s="285" t="str">
        <x:v>Пять источников названы, но «неправильное освобождение ресурсов» слишком общее, а циклические ссылки сами по себе не являются утечкой для большинства tracing-GC.</x:v>
      </x:c>
    </x:row>
    <x:row r="253">
      <x:c r="A253" s="308" t="str">
        <x:v>Qwen 3.8 27b</x:v>
      </x:c>
      <x:c r="B253" s="309" t="str">
        <x:v>без thinking</x:v>
      </x:c>
      <x:c r="C253" s="309" t="str">
        <x:v>PHP-7</x:v>
      </x:c>
      <x:c r="D253" s="309" t="str">
        <x:v>PHP 8.2+ — ПОНИМАНИЕ, БЕЗОПАСНОСТЬ И АРХИТЕКТУРА</x:v>
      </x:c>
      <x:c r="E253" s="403" t="n">
        <x:v>80</x:v>
      </x:c>
      <x:c r="F253" s="309" t="str">
        <x:v>НЕБОЛЬШАЯ/СРЕДНЯЯ НЕТОЧНОСТЬ</x:v>
      </x:c>
      <x:c r="G253" s="285" t="str">
        <x:v>Сильный набор проверок, но не разобраны ошибки загрузки/гарантия is_uploaded_file и более строгая проверка пути/публичной выдачи.</x:v>
      </x:c>
    </x:row>
    <x:row r="254">
      <x:c r="A254" s="308" t="str">
        <x:v>Qwen 3.8 27b</x:v>
      </x:c>
      <x:c r="B254" s="309" t="str">
        <x:v>без thinking</x:v>
      </x:c>
      <x:c r="C254" s="309" t="str">
        <x:v>PHP-8</x:v>
      </x:c>
      <x:c r="D254" s="309" t="str">
        <x:v>PHP 8.2+ — ПОНИМАНИЕ, БЕЗОПАСНОСТЬ И АРХИТЕКТУРА</x:v>
      </x:c>
      <x:c r="E254" s="403" t="n">
        <x:v>80</x:v>
      </x:c>
      <x:c r="F254" s="309" t="str">
        <x:v>НЕБОЛЬШАЯ/СРЕДНЯЯ НЕТОЧНОСТЬ</x:v>
      </x:c>
      <x:c r="G254" s="285" t="str">
        <x:v>Логика дедупликации верная, но fallback на strtolower нарушает требование корректной UTF-8 регистронезависимости; лучше явно требовать mbstring.</x:v>
      </x:c>
    </x:row>
    <x:row r="255">
      <x:c r="A255" s="308" t="str">
        <x:v>Qwen 3.8 27b</x:v>
      </x:c>
      <x:c r="B255" s="309" t="str">
        <x:v>без thinking</x:v>
      </x:c>
      <x:c r="C255" s="309" t="str">
        <x:v>R-1</x:v>
      </x:c>
      <x:c r="D255" s="309" t="str">
        <x:v>РАССУЖДЕНИЕ И ЛОГИКА</x:v>
      </x:c>
      <x:c r="E255" s="403" t="n">
        <x:v>80</x:v>
      </x:c>
      <x:c r="F255" s="309" t="str">
        <x:v>НЕБОЛЬШАЯ/СРЕДНЯЯ НЕТОЧНОСТЬ</x:v>
      </x:c>
      <x:c r="G255" s="285" t="str">
        <x:v>Финальный порядок корректен, но перед ним модель многократно предлагает заведомо некорректные варианты и нарушает B не первая; самопроверка избыточно нестабильна.</x:v>
      </x:c>
    </x:row>
    <x:row r="256">
      <x:c r="A256" s="308" t="str">
        <x:v>Qwen 3.8 27b</x:v>
      </x:c>
      <x:c r="B256" s="309" t="str">
        <x:v>без thinking</x:v>
      </x:c>
      <x:c r="C256" s="309" t="str">
        <x:v>R-6</x:v>
      </x:c>
      <x:c r="D256" s="309" t="str">
        <x:v>РАССУЖДЕНИЕ И ЛОГИКА</x:v>
      </x:c>
      <x:c r="E256" s="403" t="n">
        <x:v>20</x:v>
      </x:c>
      <x:c r="F256" s="309" t="str">
        <x:v>КРИТИЧЕСКАЯ ОШИБКА</x:v>
      </x:c>
      <x:c r="G256" s="285" t="str">
        <x:v>Финальный ответ неверен. Из X недоступен → запрос всегда через Y и отсутствия Y по modus tollens строго следует, что X был доступен. Модель сама это выводит, но завершает противоположным ответом.</x:v>
      </x:c>
    </x:row>
    <x:row r="257">
      <x:c r="A257" s="308" t="str">
        <x:v>Qwen 3.8 27b</x:v>
      </x:c>
      <x:c r="B257" s="309" t="str">
        <x:v>без thinking</x:v>
      </x:c>
      <x:c r="C257" s="309" t="str">
        <x:v>R-8</x:v>
      </x:c>
      <x:c r="D257" s="309" t="str">
        <x:v>РАССУЖДЕНИЕ И ЛОГИКА</x:v>
      </x:c>
      <x:c r="E257" s="403" t="n">
        <x:v>80</x:v>
      </x:c>
      <x:c r="F257" s="309" t="str">
        <x:v>НЕБОЛЬШАЯ/СРЕДНЯЯ НЕТОЧНОСТЬ</x:v>
      </x:c>
      <x:c r="G257" s="285" t="str">
        <x:v>Рабочий общий план, но dual-write/trigger при несовместимой схеме требует явного преобразования и более строгого cutover/финальной синхронизации в пределах 30 секунд.</x:v>
      </x:c>
    </x:row>
    <x:row r="258">
      <x:c r="A258" s="308" t="str">
        <x:v>Qwen 3.8 27b</x:v>
      </x:c>
      <x:c r="B258" s="309" t="str">
        <x:v>без thinking</x:v>
      </x:c>
      <x:c r="C258" s="309" t="str">
        <x:v>REGEX-2</x:v>
      </x:c>
      <x:c r="D258" s="309" t="str">
        <x:v>РЕГУЛЯРНЫЕ ВЫРАЖЕНИЯ И ПАРСИНГ</x:v>
      </x:c>
      <x:c r="E258" s="403" t="n">
        <x:v>80</x:v>
      </x:c>
      <x:c r="F258" s="309" t="str">
        <x:v>НЕБОЛЬШАЯ/СРЕДНЯЯ НЕТОЧНОСТЬ</x:v>
      </x:c>
      <x:c r="G258" s="285" t="str">
        <x:v>Верный вывод о непригодности одного regex, но утверждение «HTML не является контекстно-свободным языком» формально неточно и не нужно для объяснения.</x:v>
      </x:c>
    </x:row>
    <x:row r="259">
      <x:c r="A259" s="308" t="str">
        <x:v>Qwen 3.8 27b</x:v>
      </x:c>
      <x:c r="B259" s="309" t="str">
        <x:v>без thinking</x:v>
      </x:c>
      <x:c r="C259" s="309" t="str">
        <x:v>SCI-4</x:v>
      </x:c>
      <x:c r="D259" s="309" t="str">
        <x:v>НАУКА</x:v>
      </x:c>
      <x:c r="E259" s="403" t="n">
        <x:v>80</x:v>
      </x:c>
      <x:c r="F259" s="309" t="str">
        <x:v>НЕБОЛЬШАЯ/СРЕДНЯЯ НЕТОЧНОСТЬ</x:v>
      </x:c>
      <x:c r="G259" s="285" t="str">
        <x:v>Определения в основном верны, но экспрессия гена не обязательно включает трансляцию: функциональный продукт может быть РНК.</x:v>
      </x:c>
    </x:row>
    <x:row r="260">
      <x:c r="A260" s="308" t="str">
        <x:v>Qwen 3.8 27b</x:v>
      </x:c>
      <x:c r="B260" s="309" t="str">
        <x:v>без thinking</x:v>
      </x:c>
      <x:c r="C260" s="309" t="str">
        <x:v>SEC-1</x:v>
      </x:c>
      <x:c r="D260" s="309" t="str">
        <x:v>БЕЗОПАСНОСТЬ</x:v>
      </x:c>
      <x:c r="E260" s="403" t="n">
        <x:v>60</x:v>
      </x:c>
      <x:c r="F260" s="309" t="str">
        <x:v>ЧАСТИЧНО</x:v>
      </x:c>
      <x:c r="G260" s="285" t="str">
        <x:v>Аудит неполон: path traversal нельзя надёжно закрыть только запретом ../; нужны canonical realpath/разрешённый корень и объектная авторизация доступа к файлу.</x:v>
      </x:c>
    </x:row>
    <x:row r="261">
      <x:c r="A261" s="308" t="str">
        <x:v>Qwen 3.8 27b</x:v>
      </x:c>
      <x:c r="B261" s="309" t="str">
        <x:v>без thinking</x:v>
      </x:c>
      <x:c r="C261" s="309" t="str">
        <x:v>SEC-4</x:v>
      </x:c>
      <x:c r="D261" s="309" t="str">
        <x:v>БЕЗОПАСНОСТЬ</x:v>
      </x:c>
      <x:c r="E261" s="403" t="n">
        <x:v>80</x:v>
      </x:c>
      <x:c r="F261" s="309" t="str">
        <x:v>НЕБОЛЬШАЯ/СРЕДНЯЯ НЕТОЧНОСТЬ</x:v>
      </x:c>
      <x:c r="G261" s="285" t="str">
        <x:v>Базовая SSRF-защита названа, но отсутствуют DNS rebinding, redirects, link-local/metadata диапазоны и повторная проверка resolved IP.</x:v>
      </x:c>
    </x:row>
    <x:row r="262">
      <x:c r="A262" s="308" t="str">
        <x:v>Qwen 3.8 27b</x:v>
      </x:c>
      <x:c r="B262" s="309" t="str">
        <x:v>без thinking</x:v>
      </x:c>
      <x:c r="C262" s="309" t="str">
        <x:v>SEC-5</x:v>
      </x:c>
      <x:c r="D262" s="309" t="str">
        <x:v>БЕЗОПАСНОСТЬ</x:v>
      </x:c>
      <x:c r="E262" s="403" t="n">
        <x:v>80</x:v>
      </x:c>
      <x:c r="F262" s="309" t="str">
        <x:v>НЕБОЛЬШАЯ/СРЕДНЯЯ НЕТОЧНОСТЬ</x:v>
      </x:c>
      <x:c r="G262" s="285" t="str">
        <x:v>Названы важные ошибки JWT, но пропущены algorithm confusion, issuer/audience, key rotation/storage и другие типичные ошибки валидации.</x:v>
      </x:c>
    </x:row>
    <x:row r="263">
      <x:c r="A263" s="308" t="str">
        <x:v>Qwen 3.8 27b</x:v>
      </x:c>
      <x:c r="B263" s="309" t="str">
        <x:v>без thinking</x:v>
      </x:c>
      <x:c r="C263" s="309" t="str">
        <x:v>SEC-6</x:v>
      </x:c>
      <x:c r="D263" s="309" t="str">
        <x:v>БЕЗОПАСНОСТЬ</x:v>
      </x:c>
      <x:c r="E263" s="403" t="n">
        <x:v>80</x:v>
      </x:c>
      <x:c r="F263" s="309" t="str">
        <x:v>НЕБОЛЬШАЯ/СРЕДНЯЯ НЕТОЧНОСТЬ</x:v>
      </x:c>
      <x:c r="G263" s="285" t="str">
        <x:v>Верно, что расширения недостаточно, но ответ слишком краткий: не раскрыты magic bytes/декодирование, изоляция хранения и безопасная выдача.</x:v>
      </x:c>
    </x:row>
    <x:row r="264">
      <x:c r="A264" s="308" t="str">
        <x:v>Qwen 3.8 27b</x:v>
      </x:c>
      <x:c r="B264" s="309" t="str">
        <x:v>без thinking</x:v>
      </x:c>
      <x:c r="C264" s="309" t="str">
        <x:v>SEC-7</x:v>
      </x:c>
      <x:c r="D264" s="309" t="str">
        <x:v>БЕЗОПАСНОСТЬ</x:v>
      </x:c>
      <x:c r="E264" s="403" t="n">
        <x:v>80</x:v>
      </x:c>
      <x:c r="F264" s="309" t="str">
        <x:v>НЕБОЛЬШАЯ/СРЕДНЯЯ НЕТОЧНОСТЬ</x:v>
      </x:c>
      <x:c r="G264" s="285" t="str">
        <x:v>Secret manager/env названы правильно, но при утечке ключ сначала нужно немедленно отозвать/ротировать; очистка истории сама по себе секрет уже не спасает.</x:v>
      </x:c>
    </x:row>
    <x:row r="265">
      <x:c r="A265" s="308" t="str">
        <x:v>Qwen 3.8 27b</x:v>
      </x:c>
      <x:c r="B265" s="309" t="str">
        <x:v>без thinking</x:v>
      </x:c>
      <x:c r="C265" s="309" t="str">
        <x:v>SH-2</x:v>
      </x:c>
      <x:c r="D265" s="309" t="str">
        <x:v>BASH, ZSH И macOS TERMINAL</x:v>
      </x:c>
      <x:c r="E265" s="403" t="n">
        <x:v>20</x:v>
      </x:c>
      <x:c r="F265" s="309" t="str">
        <x:v>КРИТИЧЕСКАЯ ОШИБКА</x:v>
      </x:c>
      <x:c r="G265" s="285" t="str">
        <x:v>Команда небезопасна для имён файлов с переводами строк: wc -l считает строки, а не NUL-разделённые записи. Нужен -print0 и NUL-safe подсчёт.</x:v>
      </x:c>
    </x:row>
    <x:row r="266">
      <x:c r="A266" s="308" t="str">
        <x:v>Qwen 3.8 27b</x:v>
      </x:c>
      <x:c r="B266" s="309" t="str">
        <x:v>без thinking</x:v>
      </x:c>
      <x:c r="C266" s="309" t="str">
        <x:v>SYS-1</x:v>
      </x:c>
      <x:c r="D266" s="309" t="str">
        <x:v>ПРОЕКТИРОВАНИЕ НЕБОЛЬШОЙ СИСТЕМЫ</x:v>
      </x:c>
      <x:c r="E266" s="403" t="n">
        <x:v>60</x:v>
      </x:c>
      <x:c r="F266" s="309" t="str">
        <x:v>ЧАСТИЧНО</x:v>
      </x:c>
      <x:c r="G266" s="285" t="str">
        <x:v>Сильная основа, но пропущены явные X-Tenant-Id/multi-tenant детали, гарантированная доставка DB→Redis через outbox, крупнофайловый upload, 25 MiB и явный запрет секретов в Git.</x:v>
      </x:c>
    </x:row>
    <x:row r="267">
      <x:c r="A267" s="308" t="str">
        <x:v>Qwen 3.8 27b</x:v>
      </x:c>
      <x:c r="B267" s="309" t="str">
        <x:v>без thinking</x:v>
      </x:c>
      <x:c r="C267" s="309" t="str">
        <x:v>WEB-2</x:v>
      </x:c>
      <x:c r="D267" s="309" t="str">
        <x:v>HTML, CSS, SVG И ДОСТУПНОСТЬ</x:v>
      </x:c>
      <x:c r="E267" s="403" t="n">
        <x:v>60</x:v>
      </x:c>
      <x:c r="F267" s="309" t="str">
        <x:v>ЧАСТИЧНО</x:v>
      </x:c>
      <x:c r="G267" s="285" t="str">
        <x:v>Нет явно доступного сообщения об ошибке и связи через aria-describedby/aria-errormessage; показана только нативная constraint validation формы.</x:v>
      </x:c>
    </x:row>
    <x:row r="268">
      <x:c r="A268" s="308" t="str">
        <x:v>Qwen 3.8 27b</x:v>
      </x:c>
      <x:c r="B268" s="309" t="str">
        <x:v>без thinking</x:v>
      </x:c>
      <x:c r="C268" s="309" t="str">
        <x:v>WEB-5</x:v>
      </x:c>
      <x:c r="D268" s="309" t="str">
        <x:v>HTML, CSS, SVG И ДОСТУПНОСТЬ</x:v>
      </x:c>
      <x:c r="E268" s="403" t="n">
        <x:v>80</x:v>
      </x:c>
      <x:c r="F268" s="309" t="str">
        <x:v>НЕБОЛЬШАЯ/СРЕДНЯЯ НЕТОЧНОСТЬ</x:v>
      </x:c>
      <x:c r="G268" s="285" t="str">
        <x:v>SVG визуально корректный и использует currentColor, но для декоративной иконки рядом с текстом отсутствует aria-hidden="true".</x:v>
      </x:c>
    </x:row>
    <x:row r="269">
      <x:c r="A269" s="308" t="str">
        <x:v>Qwen 3.8 Flash Next</x:v>
      </x:c>
      <x:c r="B269" s="309" t="str">
        <x:v>без thinking</x:v>
      </x:c>
      <x:c r="C269" s="309" t="str">
        <x:v>ARCH-1</x:v>
      </x:c>
      <x:c r="D269" s="309" t="str">
        <x:v>BACKEND, FULL-STACK И API-АРХИТЕКТУРА</x:v>
      </x:c>
      <x:c r="E269" s="403" t="n">
        <x:v>80</x:v>
      </x:c>
      <x:c r="F269" s="309" t="str">
        <x:v>НЕБОЛЬШАЯ/СРЕДНЯЯ НЕТОЧНОСТЬ</x:v>
      </x:c>
      <x:c r="G269" s="285" t="str">
        <x:v>Unique index полезен, но нет payload binding и состояния in-progress; параллельные запросы/повтор ключа с другим телом не разобраны.</x:v>
      </x:c>
    </x:row>
    <x:row r="270">
      <x:c r="A270" s="308" t="str">
        <x:v>Qwen 3.8 Flash Next</x:v>
      </x:c>
      <x:c r="B270" s="309" t="str">
        <x:v>без thinking</x:v>
      </x:c>
      <x:c r="C270" s="309" t="str">
        <x:v>ARCH-4</x:v>
      </x:c>
      <x:c r="D270" s="309" t="str">
        <x:v>BACKEND, FULL-STACK И API-АРХИТЕКТУРА</x:v>
      </x:c>
      <x:c r="E270" s="403" t="n">
        <x:v>70</x:v>
      </x:c>
      <x:c r="F270" s="309" t="str">
        <x:v>НЕБОЛЬШАЯ/СРЕДНЯЯ НЕТОЧНОСТЬ</x:v>
      </x:c>
      <x:c r="G270" s="285" t="str">
        <x:v>HMAC/timestamp/dedupe/fast 200 есть, но не описаны retry/backoff обработки и политика out-of-order событий.</x:v>
      </x:c>
    </x:row>
    <x:row r="271">
      <x:c r="A271" s="308" t="str">
        <x:v>Qwen 3.8 Flash Next</x:v>
      </x:c>
      <x:c r="B271" s="309" t="str">
        <x:v>без thinking</x:v>
      </x:c>
      <x:c r="C271" s="309" t="str">
        <x:v>CS-1</x:v>
      </x:c>
      <x:c r="D271" s="309" t="str">
        <x:v>C# — ПОНИМАНИЕ, ОТЛАДКА И НАПИСАНИЕ</x:v>
      </x:c>
      <x:c r="E271" s="403" t="n">
        <x:v>90</x:v>
      </x:c>
      <x:c r="F271" s="309" t="str">
        <x:v>НЕБОЛЬШАЯ/СРЕДНЯЯ НЕТОЧНОСТЬ</x:v>
      </x:c>
      <x:c r="G271" s="285" t="str">
        <x:v>Решение в целом рабочее и действительно ограничивает concurrency, но HttpClient создаётся на каждый вызов метода вместо DI/shared factory; AggregateException оборачивает единичное исключение, не агрегируя все failures.</x:v>
      </x:c>
    </x:row>
    <x:row r="272">
      <x:c r="A272" s="308" t="str">
        <x:v>Qwen 3.8 Flash Next</x:v>
      </x:c>
      <x:c r="B272" s="309" t="str">
        <x:v>без thinking</x:v>
      </x:c>
      <x:c r="C272" s="309" t="str">
        <x:v>CS-2</x:v>
      </x:c>
      <x:c r="D272" s="309" t="str">
        <x:v>C# — ПОНИМАНИЕ, ОТЛАДКА И НАПИСАНИЕ</x:v>
      </x:c>
      <x:c r="E272" s="403" t="n">
        <x:v>90</x:v>
      </x:c>
      <x:c r="F272" s="309" t="str">
        <x:v>НЕБОЛЬШАЯ/СРЕДНЯЯ НЕТОЧНОСТЬ</x:v>
      </x:c>
      <x:c r="G272" s="285" t="str">
        <x:v>Оба подхода правильные, но Interlocked-фрагмент не показывает backing field, а lock-вариант опирается на Value setter из исходного класса; небольшой штраф за неполную самодостаточность.</x:v>
      </x:c>
    </x:row>
    <x:row r="273">
      <x:c r="A273" s="308" t="str">
        <x:v>Qwen 3.8 Flash Next</x:v>
      </x:c>
      <x:c r="B273" s="309" t="str">
        <x:v>без thinking</x:v>
      </x:c>
      <x:c r="C273" s="309" t="str">
        <x:v>CS-4</x:v>
      </x:c>
      <x:c r="D273" s="309" t="str">
        <x:v>C# — ПОНИМАНИЕ, ОТЛАДКА И НАПИСАНИЕ</x:v>
      </x:c>
      <x:c r="E273" s="403" t="n">
        <x:v>90</x:v>
      </x:c>
      <x:c r="F273" s="309" t="str">
        <x:v>НЕБОЛЬШАЯ/СРЕДНЯЯ НЕТОЧНОСТЬ</x:v>
      </x:c>
      <x:c r="G273" s="285" t="str">
        <x:v>Правильные границы и outbox, но фраза про distributed transaction «если возможно» нежелательна для внешнего платежа; saga/идемпотентность предпочтительнее.</x:v>
      </x:c>
    </x:row>
    <x:row r="274">
      <x:c r="A274" s="308" t="str">
        <x:v>Qwen 3.8 Flash Next</x:v>
      </x:c>
      <x:c r="B274" s="309" t="str">
        <x:v>без thinking</x:v>
      </x:c>
      <x:c r="C274" s="309" t="str">
        <x:v>DATA-1</x:v>
      </x:c>
      <x:c r="D274" s="309" t="str">
        <x:v>СТРУКТУРИРОВАННЫЕ ДАННЫЕ</x:v>
      </x:c>
      <x:c r="E274" s="403" t="n">
        <x:v>80</x:v>
      </x:c>
      <x:c r="F274" s="309" t="str">
        <x:v>НЕБОЛЬШАЯ/СРЕДНЯЯ НЕТОЧНОСТЬ</x:v>
      </x:c>
      <x:c r="G274" s="285" t="str">
        <x:v>JSON валиден внутри code fence, но требование было вернуть только JSON без Markdown-разметки.</x:v>
      </x:c>
    </x:row>
    <x:row r="275">
      <x:c r="A275" s="308" t="str">
        <x:v>Qwen 3.8 Flash Next</x:v>
      </x:c>
      <x:c r="B275" s="309" t="str">
        <x:v>без thinking</x:v>
      </x:c>
      <x:c r="C275" s="309" t="str">
        <x:v>DB-3</x:v>
      </x:c>
      <x:c r="D275" s="309" t="str">
        <x:v>SQL И БАЗЫ ДАННЫХ</x:v>
      </x:c>
      <x:c r="E275" s="403" t="n">
        <x:v>90</x:v>
      </x:c>
      <x:c r="F275" s="309" t="str">
        <x:v>НЕБОЛЬШАЯ/СРЕДНЯЯ НЕТОЧНОСТЬ</x:v>
      </x:c>
      <x:c r="G275" s="285" t="str">
        <x:v>Isolation чрезмерно упрощён как «транзакции не мешают друг другу», без уровней изоляции и аномалий.</x:v>
      </x:c>
    </x:row>
    <x:row r="276">
      <x:c r="A276" s="308" t="str">
        <x:v>Qwen 3.8 Flash Next</x:v>
      </x:c>
      <x:c r="B276" s="309" t="str">
        <x:v>без thinking</x:v>
      </x:c>
      <x:c r="C276" s="309" t="str">
        <x:v>DB-6</x:v>
      </x:c>
      <x:c r="D276" s="309" t="str">
        <x:v>SQL И БАЗЫ ДАННЫХ</x:v>
      </x:c>
      <x:c r="E276" s="403" t="n">
        <x:v>60</x:v>
      </x:c>
      <x:c r="F276" s="309" t="str">
        <x:v>ЧАСТИЧНО</x:v>
      </x:c>
      <x:c r="G276" s="285" t="str">
        <x:v>Keyset по id меняет исходный порядок, если запрос сортировался по created_at. Нужно сохранить ordering и добавить tie-breaker `(created_at,id)`.</x:v>
      </x:c>
    </x:row>
    <x:row r="277">
      <x:c r="A277" s="308" t="str">
        <x:v>Qwen 3.8 Flash Next</x:v>
      </x:c>
      <x:c r="B277" s="309" t="str">
        <x:v>без thinking</x:v>
      </x:c>
      <x:c r="C277" s="309" t="str">
        <x:v>DIAG-1</x:v>
      </x:c>
      <x:c r="D277" s="309" t="str">
        <x:v>ПРАКТИЧЕСКАЯ СИСТЕМНАЯ ДИАГНОСТИКА</x:v>
      </x:c>
      <x:c r="E277" s="403" t="n">
        <x:v>70</x:v>
      </x:c>
      <x:c r="F277" s="309" t="str">
        <x:v>НЕБОЛЬШАЯ/СРЕДНЯЯ НЕТОЧНОСТЬ</x:v>
      </x:c>
      <x:c r="G277" s="285" t="str">
        <x:v>Проблема названа «утечкой соединений», хотя это исчерпание пула из-за долгого удержания; также предлагается cache/async без разбора роста SQL query count.</x:v>
      </x:c>
    </x:row>
    <x:row r="278">
      <x:c r="A278" s="308" t="str">
        <x:v>Qwen 3.8 Flash Next</x:v>
      </x:c>
      <x:c r="B278" s="309" t="str">
        <x:v>без thinking</x:v>
      </x:c>
      <x:c r="C278" s="309" t="str">
        <x:v>DIAG-3</x:v>
      </x:c>
      <x:c r="D278" s="309" t="str">
        <x:v>ПРАКТИЧЕСКАЯ СИСТЕМНАЯ ДИАГНОСТИКА</x:v>
      </x:c>
      <x:c r="E278" s="403" t="n">
        <x:v>70</x:v>
      </x:c>
      <x:c r="F278" s="309" t="str">
        <x:v>НЕБОЛЬШАЯ/СРЕДНЯЯ НЕТОЧНОСТЬ</x:v>
      </x:c>
      <x:c r="G278" s="285" t="str">
        <x:v>Список полезен, но не построена полная DNS-цепочка resolver→recursive→delegation→authoritative; MTU здесь вторичен.</x:v>
      </x:c>
    </x:row>
    <x:row r="279">
      <x:c r="A279" s="308" t="str">
        <x:v>Qwen 3.8 Flash Next</x:v>
      </x:c>
      <x:c r="B279" s="309" t="str">
        <x:v>без thinking</x:v>
      </x:c>
      <x:c r="C279" s="309" t="str">
        <x:v>DOCKER-1</x:v>
      </x:c>
      <x:c r="D279" s="309" t="str">
        <x:v>DOCKER И КОНТЕЙНЕРЫ</x:v>
      </x:c>
      <x:c r="E279" s="403" t="n">
        <x:v>60</x:v>
      </x:c>
      <x:c r="F279" s="309" t="str">
        <x:v>ЧАСТИЧНО</x:v>
      </x:c>
      <x:c r="G279" s="285" t="str">
        <x:v>Аудит слишком краткий: не разобраны COPY всего контекста, раздельные apt update/install, healthcheck и конкретная воспроизводимость зависимостей.</x:v>
      </x:c>
    </x:row>
    <x:row r="280">
      <x:c r="A280" s="308" t="str">
        <x:v>Qwen 3.8 Flash Next</x:v>
      </x:c>
      <x:c r="B280" s="309" t="str">
        <x:v>без thinking</x:v>
      </x:c>
      <x:c r="C280" s="309" t="str">
        <x:v>DOCKER-4</x:v>
      </x:c>
      <x:c r="D280" s="309" t="str">
        <x:v>DOCKER И КОНТЕЙНЕРЫ</x:v>
      </x:c>
      <x:c r="E280" s="403" t="n">
        <x:v>80</x:v>
      </x:c>
      <x:c r="F280" s="309" t="str">
        <x:v>НЕБОЛЬШАЯ/СРЕДНЯЯ НЕТОЧНОСТЬ</x:v>
      </x:c>
      <x:c r="G280" s="285" t="str">
        <x:v>Утечка ARG через history названа верно, но не дана безопасная альтернатива вроде BuildKit secret mount/runtime secret manager.</x:v>
      </x:c>
    </x:row>
    <x:row r="281">
      <x:c r="A281" s="308" t="str">
        <x:v>Qwen 3.8 Flash Next</x:v>
      </x:c>
      <x:c r="B281" s="309" t="str">
        <x:v>без thinking</x:v>
      </x:c>
      <x:c r="C281" s="309" t="str">
        <x:v>GIT-1</x:v>
      </x:c>
      <x:c r="D281" s="309" t="str">
        <x:v>GIT</x:v>
      </x:c>
      <x:c r="E281" s="403" t="n">
        <x:v>90</x:v>
      </x:c>
      <x:c r="F281" s="309" t="str">
        <x:v>НЕБОЛЬШАЯ/СРЕДНЯЯ НЕТОЧНОСТЬ</x:v>
      </x:c>
      <x:c r="G281" s="285" t="str">
        <x:v>reflog найден верно; `reset --hard` может быть разрушительным для текущей ветки без создания safety branch. Cherry-pick подходит не для всех сценариев восстановления.</x:v>
      </x:c>
    </x:row>
    <x:row r="282">
      <x:c r="A282" s="308" t="str">
        <x:v>Qwen 3.8 Flash Next</x:v>
      </x:c>
      <x:c r="B282" s="309" t="str">
        <x:v>без thinking</x:v>
      </x:c>
      <x:c r="C282" s="309" t="str">
        <x:v>GIT-3</x:v>
      </x:c>
      <x:c r="D282" s="309" t="str">
        <x:v>GIT</x:v>
      </x:c>
      <x:c r="E282" s="403" t="n">
        <x:v>80</x:v>
      </x:c>
      <x:c r="F282" s="309" t="str">
        <x:v>НЕБОЛЬШАЯ/СРЕДНЯЯ НЕТОЧНОСТЬ</x:v>
      </x:c>
      <x:c r="G282" s="285" t="str">
        <x:v>Merge не всегда создаёт merge commit: возможен fast-forward.</x:v>
      </x:c>
    </x:row>
    <x:row r="283">
      <x:c r="A283" s="308" t="str">
        <x:v>Qwen 3.8 Flash Next</x:v>
      </x:c>
      <x:c r="B283" s="309" t="str">
        <x:v>без thinking</x:v>
      </x:c>
      <x:c r="C283" s="309" t="str">
        <x:v>GIT-5</x:v>
      </x:c>
      <x:c r="D283" s="309" t="str">
        <x:v>GIT</x:v>
      </x:c>
      <x:c r="E283" s="403" t="n">
        <x:v>50</x:v>
      </x:c>
      <x:c r="F283" s="309" t="str">
        <x:v>ЧАСТИЧНО</x:v>
      </x:c>
      <x:c r="G283" s="285" t="str">
        <x:v>Ответ `git stash`, затем `git stash pop` не выполняет требуемое переключение на другую ветку; отсутствует `git switch/checkout`.</x:v>
      </x:c>
    </x:row>
    <x:row r="284">
      <x:c r="A284" s="308" t="str">
        <x:v>Qwen 3.8 Flash Next</x:v>
      </x:c>
      <x:c r="B284" s="309" t="str">
        <x:v>без thinking</x:v>
      </x:c>
      <x:c r="C284" s="309" t="str">
        <x:v>GK-4</x:v>
      </x:c>
      <x:c r="D284" s="309" t="str">
        <x:v>ОБЩИЕ ЗНАНИЯ</x:v>
      </x:c>
      <x:c r="E284" s="403" t="n">
        <x:v>70</x:v>
      </x:c>
      <x:c r="F284" s="309" t="str">
        <x:v>НЕБОЛЬШАЯ/СРЕДНЯЯ НЕТОЧНОСТЬ</x:v>
      </x:c>
      <x:c r="G284" s="285" t="str">
        <x:v>Velocity назван верно, но второй фактор про кредитный мультипликатор/резервы хуже объясняет расхождение money supply и inflation, чем изменение реального выпуска/спроса.</x:v>
      </x:c>
    </x:row>
    <x:row r="285">
      <x:c r="A285" s="308" t="str">
        <x:v>Qwen 3.8 Flash Next</x:v>
      </x:c>
      <x:c r="B285" s="309" t="str">
        <x:v>без thinking</x:v>
      </x:c>
      <x:c r="C285" s="309" t="str">
        <x:v>INST-2</x:v>
      </x:c>
      <x:c r="D285" s="309" t="str">
        <x:v>ФИНАЛЬНАЯ ПРОВЕРКА СЛЕДОВАНИЯ ИНСТРУКЦИЯМ</x:v>
      </x:c>
      <x:c r="E285" s="403" t="n">
        <x:v>80</x:v>
      </x:c>
      <x:c r="F285" s="309" t="str">
        <x:v>НЕБОЛЬШАЯ/СРЕДНЯЯ НЕТОЧНОСТЬ</x:v>
      </x:c>
      <x:c r="G285" s="285" t="str">
        <x:v>Второй контрольный конфликт должен ссылаться на AMB-2; выбран AMB-3, поэтому контроль точного следования не пройден полностью.</x:v>
      </x:c>
    </x:row>
    <x:row r="286">
      <x:c r="A286" s="308" t="str">
        <x:v>Qwen 3.8 Flash Next</x:v>
      </x:c>
      <x:c r="B286" s="309" t="str">
        <x:v>без thinking</x:v>
      </x:c>
      <x:c r="C286" s="309" t="str">
        <x:v>INST-4</x:v>
      </x:c>
      <x:c r="D286" s="309" t="str">
        <x:v>ФИНАЛЬНАЯ ПРОВЕРКА СЛЕДОВАНИЯ ИНСТРУКЦИЯМ</x:v>
      </x:c>
      <x:c r="E286" s="403" t="n">
        <x:v>40</x:v>
      </x:c>
      <x:c r="F286" s="309" t="str">
        <x:v>СУЩЕСТВЕННО</x:v>
      </x:c>
      <x:c r="G286" s="285" t="str">
        <x:v>Все 170 заданий присутствуют, но FINAL пишет «100%» вместо числа 170. Кроме того, внутри файла стоит MODE: thinking, хотя файл классифицирован как без thinking.</x:v>
      </x:c>
    </x:row>
    <x:row r="287">
      <x:c r="A287" s="308" t="str">
        <x:v>Qwen 3.8 Flash Next</x:v>
      </x:c>
      <x:c r="B287" s="309" t="str">
        <x:v>без thinking</x:v>
      </x:c>
      <x:c r="C287" s="309" t="str">
        <x:v>JS-5</x:v>
      </x:c>
      <x:c r="D287" s="309" t="str">
        <x:v>JAVASCRIPT</x:v>
      </x:c>
      <x:c r="E287" s="403" t="n">
        <x:v>60</x:v>
      </x:c>
      <x:c r="F287" s="309" t="str">
        <x:v>ЧАСТИЧНО</x:v>
      </x:c>
      <x:c r="G287" s="285" t="str">
        <x:v>Если внешний signal уже aborted до вызова, обработчик не сработает и fetch всё равно начнётся. Listener также не снимается в finally.</x:v>
      </x:c>
    </x:row>
    <x:row r="288">
      <x:c r="A288" s="308" t="str">
        <x:v>Qwen 3.8 Flash Next</x:v>
      </x:c>
      <x:c r="B288" s="309" t="str">
        <x:v>без thinking</x:v>
      </x:c>
      <x:c r="C288" s="309" t="str">
        <x:v>LANG-1</x:v>
      </x:c>
      <x:c r="D288" s="309" t="str">
        <x:v>МНОГОЯЗЫЧНОСТЬ</x:v>
      </x:c>
      <x:c r="E288" s="403" t="n">
        <x:v>90</x:v>
      </x:c>
      <x:c r="F288" s="309" t="str">
        <x:v>НЕБОЛЬШАЯ/СРЕДНЯЯ НЕТОЧНОСТЬ</x:v>
      </x:c>
      <x:c r="G288" s="285" t="str">
        <x:v>Перевод заменяет «retry request» на «duplicate requests». Смысл близкий, но терминологически не точный.</x:v>
      </x:c>
    </x:row>
    <x:row r="289">
      <x:c r="A289" s="308" t="str">
        <x:v>Qwen 3.8 Flash Next</x:v>
      </x:c>
      <x:c r="B289" s="309" t="str">
        <x:v>без thinking</x:v>
      </x:c>
      <x:c r="C289" s="309" t="str">
        <x:v>LANG-2</x:v>
      </x:c>
      <x:c r="D289" s="309" t="str">
        <x:v>МНОГОЯЗЫЧНОСТЬ</x:v>
      </x:c>
      <x:c r="E289" s="403" t="n">
        <x:v>80</x:v>
      </x:c>
      <x:c r="F289" s="309" t="str">
        <x:v>НЕБОЛЬШАЯ/СРЕДНЯЯ НЕТОЧНОСТЬ</x:v>
      </x:c>
      <x:c r="G289" s="285" t="str">
        <x:v>«Развертывание было отменено» — не то же самое, что rolled back; корректнее «развёртывание было откатано/откачено».</x:v>
      </x:c>
    </x:row>
    <x:row r="290">
      <x:c r="A290" s="308" t="str">
        <x:v>Qwen 3.8 Flash Next</x:v>
      </x:c>
      <x:c r="B290" s="309" t="str">
        <x:v>без thinking</x:v>
      </x:c>
      <x:c r="C290" s="309" t="str">
        <x:v>MED-1</x:v>
      </x:c>
      <x:c r="D290" s="309" t="str">
        <x:v>МЕДИЦИНСКИЕ ЗНАНИЯ</x:v>
      </x:c>
      <x:c r="E290" s="403" t="n">
        <x:v>80</x:v>
      </x:c>
      <x:c r="F290" s="309" t="str">
        <x:v>НЕБОЛЬШАЯ/СРЕДНЯЯ НЕТОЧНОСТЬ</x:v>
      </x:c>
      <x:c r="G290" s="285" t="str">
        <x:v>Наиболее опасный диагноз выбран правильно, но вместо ровно двух альтернатив перечислены три.</x:v>
      </x:c>
    </x:row>
    <x:row r="291">
      <x:c r="A291" s="308" t="str">
        <x:v>Qwen 3.8 Flash Next</x:v>
      </x:c>
      <x:c r="B291" s="309" t="str">
        <x:v>без thinking</x:v>
      </x:c>
      <x:c r="C291" s="309" t="str">
        <x:v>MED-7</x:v>
      </x:c>
      <x:c r="D291" s="309" t="str">
        <x:v>МЕДИЦИНСКИЕ ЗНАНИЯ</x:v>
      </x:c>
      <x:c r="E291" s="403" t="n">
        <x:v>70</x:v>
      </x:c>
      <x:c r="F291" s="309" t="str">
        <x:v>НЕБОЛЬШАЯ/СРЕДНЯЯ НЕТОЧНОСТЬ</x:v>
      </x:c>
      <x:c r="G291" s="285" t="str">
        <x:v>Сахарный диабет распознан, но набор причин слабее ожидаемого: пропущен diabetes insipidus, а malignancy слишком неспецифична для триады.</x:v>
      </x:c>
    </x:row>
    <x:row r="292">
      <x:c r="A292" s="308" t="str">
        <x:v>Qwen 3.8 Flash Next</x:v>
      </x:c>
      <x:c r="B292" s="309" t="str">
        <x:v>без thinking</x:v>
      </x:c>
      <x:c r="C292" s="309" t="str">
        <x:v>MED-8</x:v>
      </x:c>
      <x:c r="D292" s="309" t="str">
        <x:v>МЕДИЦИНСКИЕ ЗНАНИЯ</x:v>
      </x:c>
      <x:c r="E292" s="403" t="n">
        <x:v>80</x:v>
      </x:c>
      <x:c r="F292" s="309" t="str">
        <x:v>НЕБОЛЬШАЯ/СРЕДНЯЯ НЕТОЧНОСТЬ</x:v>
      </x:c>
      <x:c r="G292" s="285" t="str">
        <x:v>Вызов скорой и СЛР есть, но нет AED и порядок действий можно сформулировать точнее.</x:v>
      </x:c>
    </x:row>
    <x:row r="293">
      <x:c r="A293" s="308" t="str">
        <x:v>Qwen 3.8 Flash Next</x:v>
      </x:c>
      <x:c r="B293" s="309" t="str">
        <x:v>без thinking</x:v>
      </x:c>
      <x:c r="C293" s="309" t="str">
        <x:v>MEM-14</x:v>
      </x:c>
      <x:c r="D293" s="309" t="str">
        <x:v>ДЛИННЫЙ КОНТЕКСТ И ТОЧНОЕ СЛЕДОВАНИЕ РАННИМ УСЛОВИЯМ</x:v>
      </x:c>
      <x:c r="E293" s="403" t="n">
        <x:v>90</x:v>
      </x:c>
      <x:c r="F293" s="309" t="str">
        <x:v>НЕБОЛЬШАЯ/СРЕДНЯЯ НЕТОЧНОСТЬ</x:v>
      </x:c>
      <x:c r="G293" s="285" t="str">
        <x:v>Факты в основном удержаны, но сохранённый idempotency result назван «кэшированным» и вводится TTL, которого ранний контекст не задавал.</x:v>
      </x:c>
    </x:row>
    <x:row r="294">
      <x:c r="A294" s="308" t="str">
        <x:v>Qwen 3.8 Flash Next</x:v>
      </x:c>
      <x:c r="B294" s="309" t="str">
        <x:v>без thinking</x:v>
      </x:c>
      <x:c r="C294" s="309" t="str">
        <x:v>OPS-1</x:v>
      </x:c>
      <x:c r="D294" s="309" t="str">
        <x:v>LINUX, SYSTEMD И NGINX</x:v>
      </x:c>
      <x:c r="E294" s="403" t="n">
        <x:v>90</x:v>
      </x:c>
      <x:c r="F294" s="309" t="str">
        <x:v>НЕБОЛЬШАЯ/СРЕДНЯЯ НЕТОЧНОСТЬ</x:v>
      </x:c>
      <x:c r="G294" s="285" t="str">
        <x:v>Базовые проверки верны, но не хватает явного анализа exit status/environment/dependencies.</x:v>
      </x:c>
    </x:row>
    <x:row r="295">
      <x:c r="A295" s="308" t="str">
        <x:v>Qwen 3.8 Flash Next</x:v>
      </x:c>
      <x:c r="B295" s="309" t="str">
        <x:v>без thinking</x:v>
      </x:c>
      <x:c r="C295" s="309" t="str">
        <x:v>OPS-2</x:v>
      </x:c>
      <x:c r="D295" s="309" t="str">
        <x:v>LINUX, SYSTEMD И NGINX</x:v>
      </x:c>
      <x:c r="E295" s="403" t="n">
        <x:v>80</x:v>
      </x:c>
      <x:c r="F295" s="309" t="str">
        <x:v>НЕБОЛЬШАЯ/СРЕДНЯЯ НЕТОЧНОСТЬ</x:v>
      </x:c>
      <x:c r="G295" s="285" t="str">
        <x:v>Открытые deleted files и mount differences названы, но не упомянуты reserved blocks; «hidden backups» не объясняют классическое расхождение сами по себе.</x:v>
      </x:c>
    </x:row>
    <x:row r="296">
      <x:c r="A296" s="308" t="str">
        <x:v>Qwen 3.8 Flash Next</x:v>
      </x:c>
      <x:c r="B296" s="309" t="str">
        <x:v>без thinking</x:v>
      </x:c>
      <x:c r="C296" s="309" t="str">
        <x:v>OPS-3</x:v>
      </x:c>
      <x:c r="D296" s="309" t="str">
        <x:v>LINUX, SYSTEMD И NGINX</x:v>
      </x:c>
      <x:c r="E296" s="403" t="n">
        <x:v>80</x:v>
      </x:c>
      <x:c r="F296" s="309" t="str">
        <x:v>НЕБОЛЬШАЯ/СРЕДНЯЯ НЕТОЧНОСТЬ</x:v>
      </x:c>
      <x:c r="G296" s="285" t="str">
        <x:v>ulimit/lsof полезны, но пропущены `/proc/&lt;pid&gt;/limits`, systemd LimitNOFILE и kernel limits.</x:v>
      </x:c>
    </x:row>
    <x:row r="297">
      <x:c r="A297" s="308" t="str">
        <x:v>Qwen 3.8 Flash Next</x:v>
      </x:c>
      <x:c r="B297" s="309" t="str">
        <x:v>без thinking</x:v>
      </x:c>
      <x:c r="C297" s="309" t="str">
        <x:v>OPS-4</x:v>
      </x:c>
      <x:c r="D297" s="309" t="str">
        <x:v>LINUX, SYSTEMD И NGINX</x:v>
      </x:c>
      <x:c r="E297" s="403" t="n">
        <x:v>90</x:v>
      </x:c>
      <x:c r="F297" s="309" t="str">
        <x:v>НЕБОЛЬШАЯ/СРЕДНЯЯ НЕТОЧНОСТЬ</x:v>
      </x:c>
      <x:c r="G297" s="285" t="str">
        <x:v>Причины хорошие, но нет первых команд проверки upstream (curl/ss/nginx error log).</x:v>
      </x:c>
    </x:row>
    <x:row r="298">
      <x:c r="A298" s="308" t="str">
        <x:v>Qwen 3.8 Flash Next</x:v>
      </x:c>
      <x:c r="B298" s="309" t="str">
        <x:v>без thinking</x:v>
      </x:c>
      <x:c r="C298" s="309" t="str">
        <x:v>PERF-5</x:v>
      </x:c>
      <x:c r="D298" s="309" t="str">
        <x:v>ПРОИЗВОДИТЕЛЬНОСТЬ И КОНКУРЕНТНОСТЬ</x:v>
      </x:c>
      <x:c r="E298" s="403" t="n">
        <x:v>80</x:v>
      </x:c>
      <x:c r="F298" s="309" t="str">
        <x:v>НЕБОЛЬШАЯ/СРЕДНЯЯ НЕТОЧНОСТЬ</x:v>
      </x:c>
      <x:c r="G298" s="285" t="str">
        <x:v>Fragmentation может объяснять RSS growth, но это не типичная утечка приложения; перечень в целом полезный.</x:v>
      </x:c>
    </x:row>
    <x:row r="299">
      <x:c r="A299" s="308" t="str">
        <x:v>Qwen 3.8 Flash Next</x:v>
      </x:c>
      <x:c r="B299" s="309" t="str">
        <x:v>без thinking</x:v>
      </x:c>
      <x:c r="C299" s="309" t="str">
        <x:v>PHP-3</x:v>
      </x:c>
      <x:c r="D299" s="309" t="str">
        <x:v>PHP 8.2+ — ПОНИМАНИЕ, БЕЗОПАСНОСТЬ И АРХИТЕКТУРА</x:v>
      </x:c>
      <x:c r="E299" s="403" t="n">
        <x:v>90</x:v>
      </x:c>
      <x:c r="F299" s="309" t="str">
        <x:v>НЕБОЛЬШАЯ/СРЕДНЯЯ НЕТОЧНОСТЬ</x:v>
      </x:c>
      <x:c r="G299" s="285" t="str">
        <x:v>Есть пять полезных мер, но отсутствуют SameSite и явный absolute/idle timeout; защита сессии неполная.</x:v>
      </x:c>
    </x:row>
    <x:row r="300">
      <x:c r="A300" s="308" t="str">
        <x:v>Qwen 3.8 Flash Next</x:v>
      </x:c>
      <x:c r="B300" s="309" t="str">
        <x:v>без thinking</x:v>
      </x:c>
      <x:c r="C300" s="309" t="str">
        <x:v>PHP-6</x:v>
      </x:c>
      <x:c r="D300" s="309" t="str">
        <x:v>PHP 8.2+ — ПОНИМАНИЕ, БЕЗОПАСНОСТЬ И АРХИТЕКТУРА</x:v>
      </x:c>
      <x:c r="E300" s="403" t="n">
        <x:v>80</x:v>
      </x:c>
      <x:c r="F300" s="309" t="str">
        <x:v>НЕБОЛЬШАЯ/СРЕДНЯЯ НЕТОЧНОСТЬ</x:v>
      </x:c>
      <x:c r="G300" s="285" t="str">
        <x:v>Outbox может оркестрировать асинхронный вызов, но ответ смешивает событие outbox с непосредственным внешним Payment API и не описывает состояние unknown/reconciliation.</x:v>
      </x:c>
    </x:row>
    <x:row r="301">
      <x:c r="A301" s="308" t="str">
        <x:v>Qwen 3.8 Flash Next</x:v>
      </x:c>
      <x:c r="B301" s="309" t="str">
        <x:v>без thinking</x:v>
      </x:c>
      <x:c r="C301" s="309" t="str">
        <x:v>PHP-7</x:v>
      </x:c>
      <x:c r="D301" s="309" t="str">
        <x:v>PHP 8.2+ — ПОНИМАНИЕ, БЕЗОПАСНОСТЬ И АРХИТЕКТУРА</x:v>
      </x:c>
      <x:c r="E301" s="403" t="n">
        <x:v>90</x:v>
      </x:c>
      <x:c r="F301" s="309" t="str">
        <x:v>НЕБОЛЬШАЯ/СРЕДНЯЯ НЕТОЧНОСТЬ</x:v>
      </x:c>
      <x:c r="G301" s="285" t="str">
        <x:v>Хороший набор проверок, но нет is_uploaded_file/лимита пикселей и явной безопасной схемы публичной выдачи.</x:v>
      </x:c>
    </x:row>
    <x:row r="302">
      <x:c r="A302" s="308" t="str">
        <x:v>Qwen 3.8 Flash Next</x:v>
      </x:c>
      <x:c r="B302" s="309" t="str">
        <x:v>без thinking</x:v>
      </x:c>
      <x:c r="C302" s="309" t="str">
        <x:v>R-1</x:v>
      </x:c>
      <x:c r="D302" s="309" t="str">
        <x:v>РАССУЖДЕНИЕ И ЛОГИКА</x:v>
      </x:c>
      <x:c r="E302" s="403" t="n">
        <x:v>90</x:v>
      </x:c>
      <x:c r="F302" s="309" t="str">
        <x:v>НЕБОЛЬШАЯ/СРЕДНЯЯ НЕТОЧНОСТЬ</x:v>
      </x:c>
      <x:c r="G302" s="285" t="str">
        <x:v>Финальный порядок корректен, но сначала предложены два явно неверных порядка; самопроверка избыточна.</x:v>
      </x:c>
    </x:row>
    <x:row r="303">
      <x:c r="A303" s="308" t="str">
        <x:v>Qwen 3.8 Flash Next</x:v>
      </x:c>
      <x:c r="B303" s="309" t="str">
        <x:v>без thinking</x:v>
      </x:c>
      <x:c r="C303" s="309" t="str">
        <x:v>R-6</x:v>
      </x:c>
      <x:c r="D303" s="309" t="str">
        <x:v>РАССУЖДЕНИЕ И ЛОГИКА</x:v>
      </x:c>
      <x:c r="E303" s="403" t="n">
        <x:v>80</x:v>
      </x:c>
      <x:c r="F303" s="309" t="str">
        <x:v>НЕБОЛЬШАЯ/СРЕДНЯЯ НЕТОЧНОСТЬ</x:v>
      </x:c>
      <x:c r="G303" s="285" t="str">
        <x:v>Финальный формальный вывод X доступен правильный, но ответ сначала маркирует его как «не следует» и долго добавляет неописанные сценарии.</x:v>
      </x:c>
    </x:row>
    <x:row r="304">
      <x:c r="A304" s="308" t="str">
        <x:v>Qwen 3.8 Flash Next</x:v>
      </x:c>
      <x:c r="B304" s="309" t="str">
        <x:v>без thinking</x:v>
      </x:c>
      <x:c r="C304" s="309" t="str">
        <x:v>R-8</x:v>
      </x:c>
      <x:c r="D304" s="309" t="str">
        <x:v>РАССУЖДЕНИЕ И ЛОГИКА</x:v>
      </x:c>
      <x:c r="E304" s="403" t="n">
        <x:v>90</x:v>
      </x:c>
      <x:c r="F304" s="309" t="str">
        <x:v>НЕБОЛЬШАЯ/СРЕДНЯЯ НЕТОЧНОСТЬ</x:v>
      </x:c>
      <x:c r="G304" s="285" t="str">
        <x:v>CDC/trigger включены до backfill — хорошо, но отсутствует явная короткая пауза/финальный delta-sync перед переключением записи; rollback/cutover описаны кратко.</x:v>
      </x:c>
    </x:row>
    <x:row r="305">
      <x:c r="A305" s="308" t="str">
        <x:v>Qwen 3.8 Flash Next</x:v>
      </x:c>
      <x:c r="B305" s="309" t="str">
        <x:v>без thinking</x:v>
      </x:c>
      <x:c r="C305" s="309" t="str">
        <x:v>REGEX-2</x:v>
      </x:c>
      <x:c r="D305" s="309" t="str">
        <x:v>РЕГУЛЯРНЫЕ ВЫРАЖЕНИЯ И ПАРСИНГ</x:v>
      </x:c>
      <x:c r="E305" s="403" t="n">
        <x:v>90</x:v>
      </x:c>
      <x:c r="F305" s="309" t="str">
        <x:v>НЕБОЛЬШАЯ/СРЕДНЯЯ НЕТОЧНОСТЬ</x:v>
      </x:c>
      <x:c r="G305" s="285" t="str">
        <x:v>Основной вывод верный, но формулировка про HTML как контекстно-свободный язык слишком упрощена/формально неточна.</x:v>
      </x:c>
    </x:row>
    <x:row r="306">
      <x:c r="A306" s="308" t="str">
        <x:v>Qwen 3.8 Flash Next</x:v>
      </x:c>
      <x:c r="B306" s="309" t="str">
        <x:v>без thinking</x:v>
      </x:c>
      <x:c r="C306" s="309" t="str">
        <x:v>SCI-3</x:v>
      </x:c>
      <x:c r="D306" s="309" t="str">
        <x:v>НАУКА</x:v>
      </x:c>
      <x:c r="E306" s="403" t="n">
        <x:v>90</x:v>
      </x:c>
      <x:c r="F306" s="309" t="str">
        <x:v>НЕБОЛЬШАЯ/СРЕДНЯЯ НЕТОЧНОСТЬ</x:v>
      </x:c>
      <x:c r="G306" s="285" t="str">
        <x:v>pH описан как концентрация H+, а строго — активность; остальная логика верна.</x:v>
      </x:c>
    </x:row>
    <x:row r="307">
      <x:c r="A307" s="308" t="str">
        <x:v>Qwen 3.8 Flash Next</x:v>
      </x:c>
      <x:c r="B307" s="309" t="str">
        <x:v>без thinking</x:v>
      </x:c>
      <x:c r="C307" s="309" t="str">
        <x:v>SCI-4</x:v>
      </x:c>
      <x:c r="D307" s="309" t="str">
        <x:v>НАУКА</x:v>
      </x:c>
      <x:c r="E307" s="403" t="n">
        <x:v>80</x:v>
      </x:c>
      <x:c r="F307" s="309" t="str">
        <x:v>НЕБОЛЬШАЯ/СРЕДНЯЯ НЕТОЧНОСТЬ</x:v>
      </x:c>
      <x:c r="G307" s="285" t="str">
        <x:v>Экспрессия гена сводится к транскрипции и трансляции; функциональная РНК может быть конечным продуктом без трансляции.</x:v>
      </x:c>
    </x:row>
    <x:row r="308">
      <x:c r="A308" s="308" t="str">
        <x:v>Qwen 3.8 Flash Next</x:v>
      </x:c>
      <x:c r="B308" s="309" t="str">
        <x:v>без thinking</x:v>
      </x:c>
      <x:c r="C308" s="309" t="str">
        <x:v>SCI-5</x:v>
      </x:c>
      <x:c r="D308" s="309" t="str">
        <x:v>НАУКА</x:v>
      </x:c>
      <x:c r="E308" s="403" t="n">
        <x:v>90</x:v>
      </x:c>
      <x:c r="F308" s="309" t="str">
        <x:v>НЕБОЛЬШАЯ/СРЕДНЯЯ НЕТОЧНОСТЬ</x:v>
      </x:c>
      <x:c r="G308" s="285" t="str">
        <x:v>Основная популяционная логика верна, но оговорка про эпигенетику подана слишком свободно; приобретённые адаптации обычно не наследуются как изменение DNA.</x:v>
      </x:c>
    </x:row>
    <x:row r="309">
      <x:c r="A309" s="308" t="str">
        <x:v>Qwen 3.8 Flash Next</x:v>
      </x:c>
      <x:c r="B309" s="309" t="str">
        <x:v>без thinking</x:v>
      </x:c>
      <x:c r="C309" s="309" t="str">
        <x:v>SEC-1</x:v>
      </x:c>
      <x:c r="D309" s="309" t="str">
        <x:v>БЕЗОПАСНОСТЬ</x:v>
      </x:c>
      <x:c r="E309" s="403" t="n">
        <x:v>70</x:v>
      </x:c>
      <x:c r="F309" s="309" t="str">
        <x:v>НЕБОЛЬШАЯ/СРЕДНЯЯ НЕТОЧНОСТЬ</x:v>
      </x:c>
      <x:c r="G309" s="285" t="str">
        <x:v>SQL injection/path traversal/IDOR найдены, но XSS указан без явного вывода пользовательских данных; исправления слишком общие и не показывают canonical path/разрешённый root.</x:v>
      </x:c>
    </x:row>
    <x:row r="310">
      <x:c r="A310" s="308" t="str">
        <x:v>Qwen 3.8 Flash Next</x:v>
      </x:c>
      <x:c r="B310" s="309" t="str">
        <x:v>без thinking</x:v>
      </x:c>
      <x:c r="C310" s="309" t="str">
        <x:v>SEC-3</x:v>
      </x:c>
      <x:c r="D310" s="309" t="str">
        <x:v>БЕЗОПАСНОСТЬ</x:v>
      </x:c>
      <x:c r="E310" s="403" t="n">
        <x:v>90</x:v>
      </x:c>
      <x:c r="F310" s="309" t="str">
        <x:v>НЕБОЛЬШАЯ/СРЕДНЯЯ НЕТОЧНОСТЬ</x:v>
      </x:c>
      <x:c r="G310" s="285" t="str">
        <x:v>CSRF-token и SameSite названы, но ответ слишком краткий; не упомянуты Origin/Referer и привязка токена к сессии.</x:v>
      </x:c>
    </x:row>
    <x:row r="311">
      <x:c r="A311" s="308" t="str">
        <x:v>Qwen 3.8 Flash Next</x:v>
      </x:c>
      <x:c r="B311" s="309" t="str">
        <x:v>без thinking</x:v>
      </x:c>
      <x:c r="C311" s="309" t="str">
        <x:v>SEC-4</x:v>
      </x:c>
      <x:c r="D311" s="309" t="str">
        <x:v>БЕЗОПАСНОСТЬ</x:v>
      </x:c>
      <x:c r="E311" s="403" t="n">
        <x:v>60</x:v>
      </x:c>
      <x:c r="F311" s="309" t="str">
        <x:v>ЧАСТИЧНО</x:v>
      </x:c>
      <x:c r="G311" s="285" t="str">
        <x:v>SSRF-защита слишком общая: «запрет IP» не закрывает DNS rebinding, redirects, private/link-local/metadata ranges и повторную проверку resolved IP.</x:v>
      </x:c>
    </x:row>
    <x:row r="312">
      <x:c r="A312" s="308" t="str">
        <x:v>Qwen 3.8 Flash Next</x:v>
      </x:c>
      <x:c r="B312" s="309" t="str">
        <x:v>без thinking</x:v>
      </x:c>
      <x:c r="C312" s="309" t="str">
        <x:v>SEC-5</x:v>
      </x:c>
      <x:c r="D312" s="309" t="str">
        <x:v>БЕЗОПАСНОСТЬ</x:v>
      </x:c>
      <x:c r="E312" s="403" t="n">
        <x:v>60</x:v>
      </x:c>
      <x:c r="F312" s="309" t="str">
        <x:v>ЧАСТИЧНО</x:v>
      </x:c>
      <x:c r="G312" s="285" t="str">
        <x:v>Список JWT-ошибок частичный: отсутствуют issuer/audience/nbf, key rotation/storage и algorithm confusion beyond alg:none.</x:v>
      </x:c>
    </x:row>
    <x:row r="313">
      <x:c r="A313" s="308" t="str">
        <x:v>Qwen 3.8 Flash Next</x:v>
      </x:c>
      <x:c r="B313" s="309" t="str">
        <x:v>без thinking</x:v>
      </x:c>
      <x:c r="C313" s="309" t="str">
        <x:v>SEC-6</x:v>
      </x:c>
      <x:c r="D313" s="309" t="str">
        <x:v>БЕЗОПАСНОСТЬ</x:v>
      </x:c>
      <x:c r="E313" s="403" t="n">
        <x:v>80</x:v>
      </x:c>
      <x:c r="F313" s="309" t="str">
        <x:v>НЕБОЛЬШАЯ/СРЕДНЯЯ НЕТОЧНОСТЬ</x:v>
      </x:c>
      <x:c r="G313" s="285" t="str">
        <x:v>Верно, что extension недостаточно, но нужны также безопасное хранение/выдача, MIME+декодирование и re-encode; ответ неполный.</x:v>
      </x:c>
    </x:row>
    <x:row r="314">
      <x:c r="A314" s="308" t="str">
        <x:v>Qwen 3.8 Flash Next</x:v>
      </x:c>
      <x:c r="B314" s="309" t="str">
        <x:v>без thinking</x:v>
      </x:c>
      <x:c r="C314" s="309" t="str">
        <x:v>SELF-1</x:v>
      </x:c>
      <x:c r="D314" s="309" t="str">
        <x:v>САМОПРОВЕРКА И ИСПРАВЛЕНИЕ СОБСТВЕННОГО РЕШЕНИЯ</x:v>
      </x:c>
      <x:c r="E314" s="403" t="n">
        <x:v>60</x:v>
      </x:c>
      <x:c r="F314" s="309" t="str">
        <x:v>ЧАСТИЧНО</x:v>
      </x:c>
      <x:c r="G314" s="285" t="str">
        <x:v>SELF-1-A сразу использует outbox, поэтому нет требуемого цикла «простое решение → аудит потерь/дублей → улучшение». В B также ошибочно говорится о возможной потере после чтения outbox без ACK.</x:v>
      </x:c>
    </x:row>
    <x:row r="315">
      <x:c r="A315" s="308" t="str">
        <x:v>Qwen 3.8 Flash Next</x:v>
      </x:c>
      <x:c r="B315" s="309" t="str">
        <x:v>без thinking</x:v>
      </x:c>
      <x:c r="C315" s="309" t="str">
        <x:v>SH-2</x:v>
      </x:c>
      <x:c r="D315" s="309" t="str">
        <x:v>BASH, ZSH И macOS TERMINAL</x:v>
      </x:c>
      <x:c r="E315" s="403" t="n">
        <x:v>80</x:v>
      </x:c>
      <x:c r="F315" s="309" t="str">
        <x:v>НЕБОЛЬШАЯ/СРЕДНЯЯ НЕТОЧНОСТЬ</x:v>
      </x:c>
      <x:c r="G315" s="285" t="str">
        <x:v>Первое утверждение ошибочно: `-print0 | wc -l` не считает NUL-записи. Позже дан корректный GNU-find вариант `-printf . | wc -c`, поэтому частичный балл.</x:v>
      </x:c>
    </x:row>
    <x:row r="316">
      <x:c r="A316" s="308" t="str">
        <x:v>Qwen 3.8 Flash Next</x:v>
      </x:c>
      <x:c r="B316" s="309" t="str">
        <x:v>без thinking</x:v>
      </x:c>
      <x:c r="C316" s="309" t="str">
        <x:v>SH-3</x:v>
      </x:c>
      <x:c r="D316" s="309" t="str">
        <x:v>BASH, ZSH И macOS TERMINAL</x:v>
      </x:c>
      <x:c r="E316" s="403" t="n">
        <x:v>70</x:v>
      </x:c>
      <x:c r="F316" s="309" t="str">
        <x:v>НЕБОЛЬШАЯ/СРЕДНЯЯ НЕТОЧНОСТЬ</x:v>
      </x:c>
      <x:c r="G316" s="285" t="str">
        <x:v>Диагноз направления удаления неточен, но `${DIR:?}` — хорошая защита от unset/empty. Она всё ещё не защищает от `DIR=/` или неверного разрешённого каталога.</x:v>
      </x:c>
    </x:row>
    <x:row r="317">
      <x:c r="A317" s="308" t="str">
        <x:v>Qwen 3.8 Flash Next</x:v>
      </x:c>
      <x:c r="B317" s="309" t="str">
        <x:v>без thinking</x:v>
      </x:c>
      <x:c r="C317" s="309" t="str">
        <x:v>SYS-1</x:v>
      </x:c>
      <x:c r="D317" s="309" t="str">
        <x:v>ПРОЕКТИРОВАНИЕ НЕБОЛЬШОЙ СИСТЕМЫ</x:v>
      </x:c>
      <x:c r="E317" s="403" t="n">
        <x:v>50</x:v>
      </x:c>
      <x:c r="F317" s="309" t="str">
        <x:v>ЧАСТИЧНО</x:v>
      </x:c>
      <x:c r="G317" s="285" t="str">
        <x:v>Схема хорошая базово, но пропущены точный `/api/v1/documents/upload`, X-Tenant-Id, 25 MiB, retention 45 дней, запрет внешней публикации Redis и transactional outbox DB→Redis.</x:v>
      </x:c>
    </x:row>
    <x:row r="318">
      <x:c r="A318" s="308" t="str">
        <x:v>Qwen 3.8 Flash Next</x:v>
      </x:c>
      <x:c r="B318" s="309" t="str">
        <x:v>без thinking</x:v>
      </x:c>
      <x:c r="C318" s="309" t="str">
        <x:v>WEB-2</x:v>
      </x:c>
      <x:c r="D318" s="309" t="str">
        <x:v>HTML, CSS, SVG И ДОСТУПНОСТЬ</x:v>
      </x:c>
      <x:c r="E318" s="403" t="n">
        <x:v>60</x:v>
      </x:c>
      <x:c r="F318" s="309" t="str">
        <x:v>ЧАСТИЧНО</x:v>
      </x:c>
      <x:c r="G318" s="285" t="str">
        <x:v>Сообщение ошибки скрыто через display:none и нет логики его показа/aria-invalid; role=alert не помогает, пока узел остаётся скрытым.</x:v>
      </x:c>
    </x:row>
    <x:row r="319">
      <x:c r="A319" s="308" t="str">
        <x:v>Qwen 3.8 Flash Next</x:v>
      </x:c>
      <x:c r="B319" s="309" t="str">
        <x:v>без thinking</x:v>
      </x:c>
      <x:c r="C319" s="309" t="str">
        <x:v>WEB-5</x:v>
      </x:c>
      <x:c r="D319" s="309" t="str">
        <x:v>HTML, CSS, SVG И ДОСТУПНОСТЬ</x:v>
      </x:c>
      <x:c r="E319" s="403" t="n">
        <x:v>40</x:v>
      </x:c>
      <x:c r="F319" s="309" t="str">
        <x:v>СУЩЕСТВЕННО</x:v>
      </x:c>
      <x:c r="G319" s="285" t="str">
        <x:v>Внутри круга нарисован V/chevron (`16,12 → 12,16 → 8,12`), а не галочка. Требование checkmark не выполнено.</x:v>
      </x:c>
    </x:row>
    <x:row r="320">
      <x:c r="A320" s="308" t="str">
        <x:v>Qwen 3.6 35b a3b HauhauCS</x:v>
      </x:c>
      <x:c r="B320" s="309" t="str">
        <x:v>без thinking</x:v>
      </x:c>
      <x:c r="C320" s="309" t="str">
        <x:v>ARCH-1</x:v>
      </x:c>
      <x:c r="D320" s="309" t="str">
        <x:v>BACKEND, FULL-STACK И API-АРХИТЕКТУРА</x:v>
      </x:c>
      <x:c r="E320" s="403" t="n">
        <x:v>80</x:v>
      </x:c>
      <x:c r="F320" s="309" t="str">
        <x:v>НЕБОЛЬШАЯ/СРЕДНЯЯ НЕТОЧНОСТЬ</x:v>
      </x:c>
      <x:c r="G320" s="285" t="str">
        <x:v>Не разобрана гонка двух одновременных запросов с одним ключом; нужен уникальный ключ/состояние in-progress и атомарная фиксация.</x:v>
      </x:c>
    </x:row>
    <x:row r="321">
      <x:c r="A321" s="308" t="str">
        <x:v>Qwen 3.6 35b a3b HauhauCS</x:v>
      </x:c>
      <x:c r="B321" s="309" t="str">
        <x:v>без thinking</x:v>
      </x:c>
      <x:c r="C321" s="309" t="str">
        <x:v>ARCH-4</x:v>
      </x:c>
      <x:c r="D321" s="309" t="str">
        <x:v>BACKEND, FULL-STACK И API-АРХИТЕКТУРА</x:v>
      </x:c>
      <x:c r="E321" s="403" t="n">
        <x:v>80</x:v>
      </x:c>
      <x:c r="F321" s="309" t="str">
        <x:v>НЕБОЛЬШАЯ/СРЕДНЯЯ НЕТОЧНОСТЬ</x:v>
      </x:c>
      <x:c r="G321" s="285" t="str">
        <x:v>Основная схема хорошая, но защита от replay/окно timestamp и политика событий вне порядка раскрыты кратко.</x:v>
      </x:c>
    </x:row>
    <x:row r="322">
      <x:c r="A322" s="308" t="str">
        <x:v>Qwen 3.6 35b a3b HauhauCS</x:v>
      </x:c>
      <x:c r="B322" s="309" t="str">
        <x:v>без thinking</x:v>
      </x:c>
      <x:c r="C322" s="309" t="str">
        <x:v>CRIT-2</x:v>
      </x:c>
      <x:c r="D322" s="309" t="str">
        <x:v>КРИТИЧЕСКОЕ МЫШЛЕНИЕ И ГАЛЛЮЦИНАЦИИ</x:v>
      </x:c>
      <x:c r="E322" s="403" t="n">
        <x:v>0</x:v>
      </x:c>
      <x:c r="F322" s="309" t="str">
        <x:v>КРИТИЧЕСКАЯ ОШИБКА</x:v>
      </x:c>
      <x:c r="G322" s="285" t="str">
        <x:v>Критическая галлюцинация: команда systemctl --rollback вообще не является штатным механизмом отката unit-файла.</x:v>
      </x:c>
    </x:row>
    <x:row r="323">
      <x:c r="A323" s="308" t="str">
        <x:v>Qwen 3.6 35b a3b HauhauCS</x:v>
      </x:c>
      <x:c r="B323" s="309" t="str">
        <x:v>без thinking</x:v>
      </x:c>
      <x:c r="C323" s="309" t="str">
        <x:v>CRIT-5</x:v>
      </x:c>
      <x:c r="D323" s="309" t="str">
        <x:v>КРИТИЧЕСКОЕ МЫШЛЕНИЕ И ГАЛЛЮЦИНАЦИИ</x:v>
      </x:c>
      <x:c r="E323" s="403" t="n">
        <x:v>20</x:v>
      </x:c>
      <x:c r="F323" s="309" t="str">
        <x:v>КРИТИЧЕСКАЯ ОШИБКА</x:v>
      </x:c>
      <x:c r="G323" s="285" t="str">
        <x:v>После правильного признания отсутствия Нобелевской премии модель многократно выдумывает лауреата Абелевской премии и путает премии.</x:v>
      </x:c>
    </x:row>
    <x:row r="324">
      <x:c r="A324" s="308" t="str">
        <x:v>Qwen 3.6 35b a3b HauhauCS</x:v>
      </x:c>
      <x:c r="B324" s="309" t="str">
        <x:v>без thinking</x:v>
      </x:c>
      <x:c r="C324" s="309" t="str">
        <x:v>CS-1</x:v>
      </x:c>
      <x:c r="D324" s="309" t="str">
        <x:v>C# — ПОНИМАНИЕ, ОТЛАДКА И НАПИСАНИЕ</x:v>
      </x:c>
      <x:c r="E324" s="403" t="n">
        <x:v>80</x:v>
      </x:c>
      <x:c r="F324" s="309" t="str">
        <x:v>НЕБОЛЬШАЯ/СРЕДНЯЯ НЕТОЧНОСТЬ</x:v>
      </x:c>
      <x:c r="G324" s="285" t="str">
        <x:v>В целом рабочая схема, но OperationCanceledException подавляется и метод может вернуть частичный результат; политика ошибок неудачна.</x:v>
      </x:c>
    </x:row>
    <x:row r="325">
      <x:c r="A325" s="308" t="str">
        <x:v>Qwen 3.6 35b a3b HauhauCS</x:v>
      </x:c>
      <x:c r="B325" s="309" t="str">
        <x:v>без thinking</x:v>
      </x:c>
      <x:c r="C325" s="309" t="str">
        <x:v>CS-2</x:v>
      </x:c>
      <x:c r="D325" s="309" t="str">
        <x:v>C# — ПОНИМАНИЕ, ОТЛАДКА И НАПИСАНИЕ</x:v>
      </x:c>
      <x:c r="E325" s="403" t="n">
        <x:v>40</x:v>
      </x:c>
      <x:c r="F325" s="309" t="str">
        <x:v>СУЩЕСТВЕННО</x:v>
      </x:c>
      <x:c r="G325" s="285" t="str">
        <x:v>Interlocked.Increment(ref Value) не работает с auto-property; также выдуман System.Threading.Atomic.</x:v>
      </x:c>
    </x:row>
    <x:row r="326">
      <x:c r="A326" s="308" t="str">
        <x:v>Qwen 3.6 35b a3b HauhauCS</x:v>
      </x:c>
      <x:c r="B326" s="309" t="str">
        <x:v>без thinking</x:v>
      </x:c>
      <x:c r="C326" s="309" t="str">
        <x:v>CS-4</x:v>
      </x:c>
      <x:c r="D326" s="309" t="str">
        <x:v>C# — ПОНИМАНИЕ, ОТЛАДКА И НАПИСАНИЕ</x:v>
      </x:c>
      <x:c r="E326" s="403" t="n">
        <x:v>80</x:v>
      </x:c>
      <x:c r="F326" s="309" t="str">
        <x:v>НЕБОЛЬШАЯ/СРЕДНЯЯ НЕТОЧНОСТЬ</x:v>
      </x:c>
      <x:c r="G326" s="285" t="str">
        <x:v>Границы транзакций и согласованности между инвентарём/платежом раскрыты неполно; локальную и внешнюю атомарность нельзя смешивать.</x:v>
      </x:c>
    </x:row>
    <x:row r="327">
      <x:c r="A327" s="308" t="str">
        <x:v>Qwen 3.6 35b a3b HauhauCS</x:v>
      </x:c>
      <x:c r="B327" s="309" t="str">
        <x:v>без thinking</x:v>
      </x:c>
      <x:c r="C327" s="309" t="str">
        <x:v>DIAG-1</x:v>
      </x:c>
      <x:c r="D327" s="309" t="str">
        <x:v>ПРАКТИЧЕСКАЯ СИСТЕМНАЯ ДИАГНОСТИКА</x:v>
      </x:c>
      <x:c r="E327" s="403" t="n">
        <x:v>80</x:v>
      </x:c>
      <x:c r="F327" s="309" t="str">
        <x:v>НЕБОЛЬШАЯ/СРЕДНЯЯ НЕТОЧНОСТЬ</x:v>
      </x:c>
      <x:c r="G327" s="285" t="str">
        <x:v>Основная причина найдена, но «увеличить пул» предлагается слишком рано как лечение симптома.</x:v>
      </x:c>
    </x:row>
    <x:row r="328">
      <x:c r="A328" s="308" t="str">
        <x:v>Qwen 3.6 35b a3b HauhauCS</x:v>
      </x:c>
      <x:c r="B328" s="309" t="str">
        <x:v>без thinking</x:v>
      </x:c>
      <x:c r="C328" s="309" t="str">
        <x:v>DIAG-3</x:v>
      </x:c>
      <x:c r="D328" s="309" t="str">
        <x:v>ПРАКТИЧЕСКАЯ СИСТЕМНАЯ ДИАГНОСТИКА</x:v>
      </x:c>
      <x:c r="E328" s="403" t="n">
        <x:v>80</x:v>
      </x:c>
      <x:c r="F328" s="309" t="str">
        <x:v>НЕБОЛЬШАЯ/СРЕДНЯЯ НЕТОЧНОСТЬ</x:v>
      </x:c>
      <x:c r="G328" s="285" t="str">
        <x:v>Путь диагностики в целом хороший, но уровни recursive/authoritative/delegation раскрыты не полностью.</x:v>
      </x:c>
    </x:row>
    <x:row r="329">
      <x:c r="A329" s="308" t="str">
        <x:v>Qwen 3.6 35b a3b HauhauCS</x:v>
      </x:c>
      <x:c r="B329" s="309" t="str">
        <x:v>без thinking</x:v>
      </x:c>
      <x:c r="C329" s="309" t="str">
        <x:v>DIAG-4</x:v>
      </x:c>
      <x:c r="D329" s="309" t="str">
        <x:v>ПРАКТИЧЕСКАЯ СИСТЕМНАЯ ДИАГНОСТИКА</x:v>
      </x:c>
      <x:c r="E329" s="403" t="n">
        <x:v>80</x:v>
      </x:c>
      <x:c r="F329" s="309" t="str">
        <x:v>НЕБОЛЬШАЯ/СРЕДНЯЯ НЕТОЧНОСТЬ</x:v>
      </x:c>
      <x:c r="G329" s="285" t="str">
        <x:v>Названы ключевые права пути и MAC, но не упомянуты ACL/группы и точное сравнение контекста процессов.</x:v>
      </x:c>
    </x:row>
    <x:row r="330">
      <x:c r="A330" s="308" t="str">
        <x:v>Qwen 3.6 35b a3b HauhauCS</x:v>
      </x:c>
      <x:c r="B330" s="309" t="str">
        <x:v>без thinking</x:v>
      </x:c>
      <x:c r="C330" s="309" t="str">
        <x:v>DOCKER-1</x:v>
      </x:c>
      <x:c r="D330" s="309" t="str">
        <x:v>DOCKER И КОНТЕЙНЕРЫ</x:v>
      </x:c>
      <x:c r="E330" s="403" t="n">
        <x:v>80</x:v>
      </x:c>
      <x:c r="F330" s="309" t="str">
        <x:v>НЕБОЛЬШАЯ/СРЕДНЯЯ НЕТОЧНОСТЬ</x:v>
      </x:c>
      <x:c r="G330" s="285" t="str">
        <x:v>Хороший аудит, но версия базового образа всё ещё закреплена недостаточно строго и не разобрана очистка apt-кэша.</x:v>
      </x:c>
    </x:row>
    <x:row r="331">
      <x:c r="A331" s="308" t="str">
        <x:v>Qwen 3.6 35b a3b HauhauCS</x:v>
      </x:c>
      <x:c r="B331" s="309" t="str">
        <x:v>без thinking</x:v>
      </x:c>
      <x:c r="C331" s="309" t="str">
        <x:v>DOCKER-4</x:v>
      </x:c>
      <x:c r="D331" s="309" t="str">
        <x:v>DOCKER И КОНТЕЙНЕРЫ</x:v>
      </x:c>
      <x:c r="E331" s="403" t="n">
        <x:v>40</x:v>
      </x:c>
      <x:c r="F331" s="309" t="str">
        <x:v>СУЩЕСТВЕННО</x:v>
      </x:c>
      <x:c r="G331" s="285" t="str">
        <x:v>Ответ не говорит о сохранении ARG в истории/слоях и предлагает ENV как вариант секрета, что само по себе небезопасно.</x:v>
      </x:c>
    </x:row>
    <x:row r="332">
      <x:c r="A332" s="308" t="str">
        <x:v>Qwen 3.6 35b a3b HauhauCS</x:v>
      </x:c>
      <x:c r="B332" s="309" t="str">
        <x:v>без thinking</x:v>
      </x:c>
      <x:c r="C332" s="309" t="str">
        <x:v>GIT-1</x:v>
      </x:c>
      <x:c r="D332" s="309" t="str">
        <x:v>GIT</x:v>
      </x:c>
      <x:c r="E332" s="403" t="n">
        <x:v>80</x:v>
      </x:c>
      <x:c r="F332" s="309" t="str">
        <x:v>НЕБОЛЬШАЯ/СРЕДНЯЯ НЕТОЧНОСТЬ</x:v>
      </x:c>
      <x:c r="G332" s="285" t="str">
        <x:v>reflog найден верно, но checkout хеша оставляет detached HEAD; лучше создать ветку/восстановить указатель.</x:v>
      </x:c>
    </x:row>
    <x:row r="333">
      <x:c r="A333" s="308" t="str">
        <x:v>Qwen 3.6 35b a3b HauhauCS</x:v>
      </x:c>
      <x:c r="B333" s="309" t="str">
        <x:v>без thinking</x:v>
      </x:c>
      <x:c r="C333" s="309" t="str">
        <x:v>GIT-5</x:v>
      </x:c>
      <x:c r="D333" s="309" t="str">
        <x:v>GIT</x:v>
      </x:c>
      <x:c r="E333" s="403" t="n">
        <x:v>80</x:v>
      </x:c>
      <x:c r="F333" s="309" t="str">
        <x:v>НЕБОЛЬШАЯ/СРЕДНЯЯ НЕТОЧНОСТЬ</x:v>
      </x:c>
      <x:c r="G333" s="285" t="str">
        <x:v>Последовательность содержит лишний/неполный checkout, хотя stash/pop как механизм выбран верно.</x:v>
      </x:c>
    </x:row>
    <x:row r="334">
      <x:c r="A334" s="308" t="str">
        <x:v>Qwen 3.6 35b a3b HauhauCS</x:v>
      </x:c>
      <x:c r="B334" s="309" t="str">
        <x:v>без thinking</x:v>
      </x:c>
      <x:c r="C334" s="309" t="str">
        <x:v>GK-4</x:v>
      </x:c>
      <x:c r="D334" s="309" t="str">
        <x:v>ОБЩИЕ ЗНАНИЯ</x:v>
      </x:c>
      <x:c r="E334" s="403" t="n">
        <x:v>60</x:v>
      </x:c>
      <x:c r="F334" s="309" t="str">
        <x:v>ЧАСТИЧНО</x:v>
      </x:c>
      <x:c r="G334" s="285" t="str">
        <x:v>Изменение скорости обращения денег названо верно как фактор, но направление «быстрее → инфляция может быть низкой» изложено некорректно.</x:v>
      </x:c>
    </x:row>
    <x:row r="335">
      <x:c r="A335" s="308" t="str">
        <x:v>Qwen 3.6 35b a3b HauhauCS</x:v>
      </x:c>
      <x:c r="B335" s="309" t="str">
        <x:v>без thinking</x:v>
      </x:c>
      <x:c r="C335" s="309" t="str">
        <x:v>INST-3</x:v>
      </x:c>
      <x:c r="D335" s="309" t="str">
        <x:v>ФИНАЛЬНАЯ ПРОВЕРКА СЛЕДОВАНИЯ ИНСТРУКЦИЯМ</x:v>
      </x:c>
      <x:c r="E335" s="403" t="n">
        <x:v>0</x:v>
      </x:c>
      <x:c r="F335" s="309" t="str">
        <x:v>КРИТИЧЕСКАЯ ОШИБКА</x:v>
      </x:c>
      <x:c r="G335" s="285" t="str">
        <x:v>Неверное задание: внедрение инструкции было в CRIT-6, а не DATA-2.</x:v>
      </x:c>
    </x:row>
    <x:row r="336">
      <x:c r="A336" s="308" t="str">
        <x:v>Qwen 3.6 35b a3b HauhauCS</x:v>
      </x:c>
      <x:c r="B336" s="309" t="str">
        <x:v>без thinking</x:v>
      </x:c>
      <x:c r="C336" s="309" t="str">
        <x:v>JS-1</x:v>
      </x:c>
      <x:c r="D336" s="309" t="str">
        <x:v>JAVASCRIPT</x:v>
      </x:c>
      <x:c r="E336" s="403" t="n">
        <x:v>40</x:v>
      </x:c>
      <x:c r="F336" s="309" t="str">
        <x:v>СУЩЕСТВЕННО</x:v>
      </x:c>
      <x:c r="G336" s="285" t="str">
        <x:v>Неверный порядок микрозадач. Promise.then зарегистрирован раньше queueMicrotask: правильно A, E, C, D, B.</x:v>
      </x:c>
    </x:row>
    <x:row r="337">
      <x:c r="A337" s="308" t="str">
        <x:v>Qwen 3.6 35b a3b HauhauCS</x:v>
      </x:c>
      <x:c r="B337" s="309" t="str">
        <x:v>без thinking</x:v>
      </x:c>
      <x:c r="C337" s="309" t="str">
        <x:v>JS-5</x:v>
      </x:c>
      <x:c r="D337" s="309" t="str">
        <x:v>JAVASCRIPT</x:v>
      </x:c>
      <x:c r="E337" s="403" t="n">
        <x:v>40</x:v>
      </x:c>
      <x:c r="F337" s="309" t="str">
        <x:v>СУЩЕСТВЕННО</x:v>
      </x:c>
      <x:c r="G337" s="285" t="str">
        <x:v>Таймаут только отклоняет Promise.race, но не отменяет fetch через AbortController, что прямо нарушает условие.</x:v>
      </x:c>
    </x:row>
    <x:row r="338">
      <x:c r="A338" s="308" t="str">
        <x:v>Qwen 3.6 35b a3b HauhauCS</x:v>
      </x:c>
      <x:c r="B338" s="309" t="str">
        <x:v>без thinking</x:v>
      </x:c>
      <x:c r="C338" s="309" t="str">
        <x:v>MED-7</x:v>
      </x:c>
      <x:c r="D338" s="309" t="str">
        <x:v>МЕДИЦИНСКИЕ ЗНАНИЯ</x:v>
      </x:c>
      <x:c r="E338" s="403" t="n">
        <x:v>80</x:v>
      </x:c>
      <x:c r="F338" s="309" t="str">
        <x:v>НЕБОЛЬШАЯ/СРЕДНЯЯ НЕТОЧНОСТЬ</x:v>
      </x:c>
      <x:c r="G338" s="285" t="str">
        <x:v>Классический сахарный диабет определён верно, но третья группа причин сформулирована менее удачно.</x:v>
      </x:c>
    </x:row>
    <x:row r="339">
      <x:c r="A339" s="308" t="str">
        <x:v>Qwen 3.6 35b a3b HauhauCS</x:v>
      </x:c>
      <x:c r="B339" s="309" t="str">
        <x:v>без thinking</x:v>
      </x:c>
      <x:c r="C339" s="309" t="str">
        <x:v>MED-8</x:v>
      </x:c>
      <x:c r="D339" s="309" t="str">
        <x:v>МЕДИЦИНСКИЕ ЗНАНИЯ</x:v>
      </x:c>
      <x:c r="E339" s="403" t="n">
        <x:v>60</x:v>
      </x:c>
      <x:c r="F339" s="309" t="str">
        <x:v>ЧАСТИЧНО</x:v>
      </x:c>
      <x:c r="G339" s="285" t="str">
        <x:v>Вызов экстренной помощи поставлен слишком поздно; для неспециалиста нельзя задерживать СЛР проверкой пульса при ненормальном дыхании.</x:v>
      </x:c>
    </x:row>
    <x:row r="340">
      <x:c r="A340" s="308" t="str">
        <x:v>Qwen 3.6 35b a3b HauhauCS</x:v>
      </x:c>
      <x:c r="B340" s="309" t="str">
        <x:v>без thinking</x:v>
      </x:c>
      <x:c r="C340" s="309" t="str">
        <x:v>MEM-14</x:v>
      </x:c>
      <x:c r="D340" s="309" t="str">
        <x:v>ДЛИННЫЙ КОНТЕКСТ И ТОЧНОЕ СЛЕДОВАНИЕ РАННИМ УСЛОВИЯМ</x:v>
      </x:c>
      <x:c r="E340" s="403" t="n">
        <x:v>40</x:v>
      </x:c>
      <x:c r="F340" s="309" t="str">
        <x:v>СУЩЕСТВЕННО</x:v>
      </x:c>
      <x:c r="G340" s="285" t="str">
        <x:v>Внешний платёж выполняется внутри SQL-транзакции, а Redis publish идёт до commit; это противоречит устойчивой архитектуре и ранним ограничениям.</x:v>
      </x:c>
    </x:row>
    <x:row r="341">
      <x:c r="A341" s="308" t="str">
        <x:v>Qwen 3.6 35b a3b HauhauCS</x:v>
      </x:c>
      <x:c r="B341" s="309" t="str">
        <x:v>без thinking</x:v>
      </x:c>
      <x:c r="C341" s="309" t="str">
        <x:v>PHP-4</x:v>
      </x:c>
      <x:c r="D341" s="309" t="str">
        <x:v>PHP 8.2+ — ПОНИМАНИЕ, БЕЗОПАСНОСТЬ И АРХИТЕКТУРА</x:v>
      </x:c>
      <x:c r="E341" s="403" t="n">
        <x:v>80</x:v>
      </x:c>
      <x:c r="F341" s="309" t="str">
        <x:v>НЕБОЛЬШАЯ/СРЕДНЯЯ НЕТОЧНОСТЬ</x:v>
      </x:c>
      <x:c r="G341" s="285" t="str">
        <x:v>Общая рекомендация верна, но пример loose comparison с "123abc" для PHP 8.2 некорректен.</x:v>
      </x:c>
    </x:row>
    <x:row r="342">
      <x:c r="A342" s="308" t="str">
        <x:v>Qwen 3.6 35b a3b HauhauCS</x:v>
      </x:c>
      <x:c r="B342" s="309" t="str">
        <x:v>без thinking</x:v>
      </x:c>
      <x:c r="C342" s="309" t="str">
        <x:v>PHP-6</x:v>
      </x:c>
      <x:c r="D342" s="309" t="str">
        <x:v>PHP 8.2+ — ПОНИМАНИЕ, БЕЗОПАСНОСТЬ И АРХИТЕКТУРА</x:v>
      </x:c>
      <x:c r="E342" s="403" t="n">
        <x:v>80</x:v>
      </x:c>
      <x:c r="F342" s="309" t="str">
        <x:v>НЕБОЛЬШАЯ/СРЕДНЯЯ НЕТОЧНОСТЬ</x:v>
      </x:c>
      <x:c r="G342" s="285" t="str">
        <x:v>Outbox полезен, но формулировка «отправить событие из outbox во внешнее API» смешивает доставку события и вызов внешнего HTTP API.</x:v>
      </x:c>
    </x:row>
    <x:row r="343">
      <x:c r="A343" s="308" t="str">
        <x:v>Qwen 3.6 35b a3b HauhauCS</x:v>
      </x:c>
      <x:c r="B343" s="309" t="str">
        <x:v>без thinking</x:v>
      </x:c>
      <x:c r="C343" s="309" t="str">
        <x:v>PHP-7</x:v>
      </x:c>
      <x:c r="D343" s="309" t="str">
        <x:v>PHP 8.2+ — ПОНИМАНИЕ, БЕЗОПАСНОСТЬ И АРХИТЕКТУРА</x:v>
      </x:c>
      <x:c r="E343" s="403" t="n">
        <x:v>80</x:v>
      </x:c>
      <x:c r="F343" s="309" t="str">
        <x:v>НЕБОЛЬШАЯ/СРЕДНЯЯ НЕТОЧНОСТЬ</x:v>
      </x:c>
      <x:c r="G343" s="285" t="str">
        <x:v>Хорошие проверки, но явно не разобрана контролируемая публичная выдача/хранение вне web-root.</x:v>
      </x:c>
    </x:row>
    <x:row r="344">
      <x:c r="A344" s="308" t="str">
        <x:v>Qwen 3.6 35b a3b HauhauCS</x:v>
      </x:c>
      <x:c r="B344" s="309" t="str">
        <x:v>без thinking</x:v>
      </x:c>
      <x:c r="C344" s="309" t="str">
        <x:v>R-3</x:v>
      </x:c>
      <x:c r="D344" s="309" t="str">
        <x:v>РАССУЖДЕНИЕ И ЛОГИКА</x:v>
      </x:c>
      <x:c r="E344" s="403" t="n">
        <x:v>80</x:v>
      </x:c>
      <x:c r="F344" s="309" t="str">
        <x:v>НЕБОЛЬШАЯ/СРЕДНЯЯ НЕТОЧНОСТЬ</x:v>
      </x:c>
      <x:c r="G344" s="285" t="str">
        <x:v>Правильно найден N+1, но ответ сначала уводит причину к индексам/плану выполнения, хотя время отдельных SQL почти не изменилось.</x:v>
      </x:c>
    </x:row>
    <x:row r="345">
      <x:c r="A345" s="308" t="str">
        <x:v>Qwen 3.6 35b a3b HauhauCS</x:v>
      </x:c>
      <x:c r="B345" s="309" t="str">
        <x:v>без thinking</x:v>
      </x:c>
      <x:c r="C345" s="309" t="str">
        <x:v>R-6</x:v>
      </x:c>
      <x:c r="D345" s="309" t="str">
        <x:v>РАССУЖДЕНИЕ И ЛОГИКА</x:v>
      </x:c>
      <x:c r="E345" s="403" t="n">
        <x:v>20</x:v>
      </x:c>
      <x:c r="F345" s="309" t="str">
        <x:v>КРИТИЧЕСКАЯ ОШИБКА</x:v>
      </x:c>
      <x:c r="G345" s="285" t="str">
        <x:v>Неверный строгий вывод: при заданном «X недоступен → всегда через Y» отсутствие обращения к Y исключает недоступность X.</x:v>
      </x:c>
    </x:row>
    <x:row r="346">
      <x:c r="A346" s="308" t="str">
        <x:v>Qwen 3.6 35b a3b HauhauCS</x:v>
      </x:c>
      <x:c r="B346" s="309" t="str">
        <x:v>без thinking</x:v>
      </x:c>
      <x:c r="C346" s="309" t="str">
        <x:v>R-7</x:v>
      </x:c>
      <x:c r="D346" s="309" t="str">
        <x:v>РАССУЖДЕНИЕ И ЛОГИКА</x:v>
      </x:c>
      <x:c r="E346" s="403" t="n">
        <x:v>80</x:v>
      </x:c>
      <x:c r="F346" s="309" t="str">
        <x:v>НЕБОЛЬШАЯ/СРЕДНЯЯ НЕТОЧНОСТЬ</x:v>
      </x:c>
      <x:c r="G346" s="285" t="str">
        <x:v>Итог 92 правильный, но формулировка о росте разностей «на 3» неверна; корректный паттерн — квадраты 4,9,16,25,36.</x:v>
      </x:c>
    </x:row>
    <x:row r="347">
      <x:c r="A347" s="308" t="str">
        <x:v>Qwen 3.6 35b a3b HauhauCS</x:v>
      </x:c>
      <x:c r="B347" s="309" t="str">
        <x:v>без thinking</x:v>
      </x:c>
      <x:c r="C347" s="309" t="str">
        <x:v>SCI-5</x:v>
      </x:c>
      <x:c r="D347" s="309" t="str">
        <x:v>НАУКА</x:v>
      </x:c>
      <x:c r="E347" s="403" t="n">
        <x:v>80</x:v>
      </x:c>
      <x:c r="F347" s="309" t="str">
        <x:v>НЕБОЛЬШАЯ/СРЕДНЯЯ НЕТОЧНОСТЬ</x:v>
      </x:c>
      <x:c r="G347" s="285" t="str">
        <x:v>Основная эволюционная логика верна, но формулировка о ненаследуемости приобретённых изменений чрезмерно категорична.</x:v>
      </x:c>
    </x:row>
    <x:row r="348">
      <x:c r="A348" s="308" t="str">
        <x:v>Qwen 3.6 35b a3b HauhauCS</x:v>
      </x:c>
      <x:c r="B348" s="309" t="str">
        <x:v>без thinking</x:v>
      </x:c>
      <x:c r="C348" s="309" t="str">
        <x:v>SCI-7</x:v>
      </x:c>
      <x:c r="D348" s="309" t="str">
        <x:v>НАУКА</x:v>
      </x:c>
      <x:c r="E348" s="403" t="n">
        <x:v>80</x:v>
      </x:c>
      <x:c r="F348" s="309" t="str">
        <x:v>НЕБОЛЬШАЯ/СРЕДНЯЯ НЕТОЧНОСТЬ</x:v>
      </x:c>
      <x:c r="G348" s="285" t="str">
        <x:v>Определение p-value в основе верное, но смешивается с вероятностью ошибки I рода.</x:v>
      </x:c>
    </x:row>
    <x:row r="349">
      <x:c r="A349" s="308" t="str">
        <x:v>Qwen 3.6 35b a3b HauhauCS</x:v>
      </x:c>
      <x:c r="B349" s="309" t="str">
        <x:v>без thinking</x:v>
      </x:c>
      <x:c r="C349" s="309" t="str">
        <x:v>SEC-1</x:v>
      </x:c>
      <x:c r="D349" s="309" t="str">
        <x:v>БЕЗОПАСНОСТЬ</x:v>
      </x:c>
      <x:c r="E349" s="403" t="n">
        <x:v>60</x:v>
      </x:c>
      <x:c r="F349" s="309" t="str">
        <x:v>ЧАСТИЧНО</x:v>
      </x:c>
      <x:c r="G349" s="285" t="str">
        <x:v>Аудит неполон: basename сам по себе не решает path traversal/авторизацию объекта, также нужны realpath/разрешённый корень и object-level auth.</x:v>
      </x:c>
    </x:row>
    <x:row r="350">
      <x:c r="A350" s="308" t="str">
        <x:v>Qwen 3.6 35b a3b HauhauCS</x:v>
      </x:c>
      <x:c r="B350" s="309" t="str">
        <x:v>без thinking</x:v>
      </x:c>
      <x:c r="C350" s="309" t="str">
        <x:v>SEC-4</x:v>
      </x:c>
      <x:c r="D350" s="309" t="str">
        <x:v>БЕЗОПАСНОСТЬ</x:v>
      </x:c>
      <x:c r="E350" s="403" t="n">
        <x:v>80</x:v>
      </x:c>
      <x:c r="F350" s="309" t="str">
        <x:v>НЕБОЛЬШАЯ/СРЕДНЯЯ НЕТОЧНОСТЬ</x:v>
      </x:c>
      <x:c r="G350" s="285" t="str">
        <x:v>Полезные меры названы, но не разобраны DNS rebinding и повторная проверка resolved IP после redirect/резолва.</x:v>
      </x:c>
    </x:row>
    <x:row r="351">
      <x:c r="A351" s="308" t="str">
        <x:v>Qwen 3.6 35b a3b HauhauCS</x:v>
      </x:c>
      <x:c r="B351" s="309" t="str">
        <x:v>без thinking</x:v>
      </x:c>
      <x:c r="C351" s="309" t="str">
        <x:v>SEC-5</x:v>
      </x:c>
      <x:c r="D351" s="309" t="str">
        <x:v>БЕЗОПАСНОСТЬ</x:v>
      </x:c>
      <x:c r="E351" s="403" t="n">
        <x:v>80</x:v>
      </x:c>
      <x:c r="F351" s="309" t="str">
        <x:v>НЕБОЛЬШАЯ/СРЕДНЯЯ НЕТОЧНОСТЬ</x:v>
      </x:c>
      <x:c r="G351" s="285" t="str">
        <x:v>JWT-ошибки перечислены частично; не хватает issuer/audience и ряда ошибок хранения/ротации ключей.</x:v>
      </x:c>
    </x:row>
    <x:row r="352">
      <x:c r="A352" s="308" t="str">
        <x:v>Qwen 3.6 35b a3b HauhauCS</x:v>
      </x:c>
      <x:c r="B352" s="309" t="str">
        <x:v>без thinking</x:v>
      </x:c>
      <x:c r="C352" s="309" t="str">
        <x:v>SEC-6</x:v>
      </x:c>
      <x:c r="D352" s="309" t="str">
        <x:v>БЕЗОПАСНОСТЬ</x:v>
      </x:c>
      <x:c r="E352" s="403" t="n">
        <x:v>80</x:v>
      </x:c>
      <x:c r="F352" s="309" t="str">
        <x:v>НЕБОЛЬШАЯ/СРЕДНЯЯ НЕТОЧНОСТЬ</x:v>
      </x:c>
      <x:c r="G352" s="285" t="str">
        <x:v>Основная мысль верна, но безопасная загрузка требует большего, чем MIME/содержимое: хранение, имя, декодирование, публичная выдача.</x:v>
      </x:c>
    </x:row>
    <x:row r="353">
      <x:c r="A353" s="308" t="str">
        <x:v>Qwen 3.6 35b a3b HauhauCS</x:v>
      </x:c>
      <x:c r="B353" s="309" t="str">
        <x:v>без thinking</x:v>
      </x:c>
      <x:c r="C353" s="309" t="str">
        <x:v>SELF-1</x:v>
      </x:c>
      <x:c r="D353" s="309" t="str">
        <x:v>САМОПРОВЕРКА И ИСПРАВЛЕНИЕ СОБСТВЕННОГО РЕШЕНИЯ</x:v>
      </x:c>
      <x:c r="E353" s="403" t="n">
        <x:v>80</x:v>
      </x:c>
      <x:c r="F353" s="309" t="str">
        <x:v>НЕБОЛЬШАЯ/СРЕДНЯЯ НЕТОЧНОСТЬ</x:v>
      </x:c>
      <x:c r="G353" s="285" t="str">
        <x:v>Финальный outbox правильный, но утверждение о возможной потере события после commit до чтения outbox неверно: запись остаётся в БД.</x:v>
      </x:c>
    </x:row>
    <x:row r="354">
      <x:c r="A354" s="308" t="str">
        <x:v>Qwen 3.6 35b a3b HauhauCS</x:v>
      </x:c>
      <x:c r="B354" s="309" t="str">
        <x:v>без thinking</x:v>
      </x:c>
      <x:c r="C354" s="309" t="str">
        <x:v>SH-3</x:v>
      </x:c>
      <x:c r="D354" s="309" t="str">
        <x:v>BASH, ZSH И macOS TERMINAL</x:v>
      </x:c>
      <x:c r="E354" s="403" t="n">
        <x:v>20</x:v>
      </x:c>
      <x:c r="F354" s="309" t="str">
        <x:v>КРИТИЧЕСКАЯ ОШИБКА</x:v>
      </x:c>
      <x:c r="G354" s="285" t="str">
        <x:v>Критическая ошибка безопасности: при пустом DIR выражение превращается в /*, а не в файлы текущего каталога.</x:v>
      </x:c>
    </x:row>
    <x:row r="355">
      <x:c r="A355" s="308" t="str">
        <x:v>Qwen 3.6 35b a3b HauhauCS</x:v>
      </x:c>
      <x:c r="B355" s="309" t="str">
        <x:v>без thinking</x:v>
      </x:c>
      <x:c r="C355" s="309" t="str">
        <x:v>SH-7</x:v>
      </x:c>
      <x:c r="D355" s="309" t="str">
        <x:v>BASH, ZSH И macOS TERMINAL</x:v>
      </x:c>
      <x:c r="E355" s="403" t="n">
        <x:v>80</x:v>
      </x:c>
      <x:c r="F355" s="309" t="str">
        <x:v>НЕБОЛЬШАЯ/СРЕДНЯЯ НЕТОЧНОСТЬ</x:v>
      </x:c>
      <x:c r="G355" s="285" t="str">
        <x:v>Фрагмент правильный, но ограничения set -e описаны слишком упрощённо.</x:v>
      </x:c>
    </x:row>
    <x:row r="356">
      <x:c r="A356" s="308" t="str">
        <x:v>Qwen 3.6 35b a3b HauhauCS</x:v>
      </x:c>
      <x:c r="B356" s="309" t="str">
        <x:v>без thinking</x:v>
      </x:c>
      <x:c r="C356" s="309" t="str">
        <x:v>SYS-1</x:v>
      </x:c>
      <x:c r="D356" s="309" t="str">
        <x:v>ПРОЕКТИРОВАНИЕ НЕБОЛЬШОЙ СИСТЕМЫ</x:v>
      </x:c>
      <x:c r="E356" s="403" t="n">
        <x:v>40</x:v>
      </x:c>
      <x:c r="F356" s="309" t="str">
        <x:v>СУЩЕСТВЕННО</x:v>
      </x:c>
      <x:c r="G356" s="285" t="str">
        <x:v>Схема неполна: не зафиксированы 25 MiB, VegaWorker, X-Tenant-Id, исключительный /api/v1/documents/upload, outbox для гарантии событий и запрет секретов в Git.</x:v>
      </x:c>
    </x:row>
    <x:row r="357">
      <x:c r="A357" s="308" t="str">
        <x:v>Qwen 3.6 35b a3b HauhauCS</x:v>
      </x:c>
      <x:c r="B357" s="309" t="str">
        <x:v>без thinking</x:v>
      </x:c>
      <x:c r="C357" s="309" t="str">
        <x:v>WEB-2</x:v>
      </x:c>
      <x:c r="D357" s="309" t="str">
        <x:v>HTML, CSS, SVG И ДОСТУПНОСТЬ</x:v>
      </x:c>
      <x:c r="E357" s="403" t="n">
        <x:v>60</x:v>
      </x:c>
      <x:c r="F357" s="309" t="str">
        <x:v>ЧАСТИЧНО</x:v>
      </x:c>
      <x:c r="G357" s="285" t="str">
        <x:v>Поле связано с контейнером ошибки, но само сообщение пустое и без JavaScript не предоставляет требуемый доступный текст ошибки.</x:v>
      </x:c>
    </x:row>
    <x:row r="358">
      <x:c r="A358" s="308" t="str">
        <x:v>Qwen 3.6 35b a3b HauhauCS</x:v>
      </x:c>
      <x:c r="B358" s="309" t="str">
        <x:v>без thinking</x:v>
      </x:c>
      <x:c r="C358" s="309" t="str">
        <x:v>WEB-5</x:v>
      </x:c>
      <x:c r="D358" s="309" t="str">
        <x:v>HTML, CSS, SVG И ДОСТУПНОСТЬ</x:v>
      </x:c>
      <x:c r="E358" s="403" t="n">
        <x:v>80</x:v>
      </x:c>
      <x:c r="F358" s="309" t="str">
        <x:v>НЕБОЛЬШАЯ/СРЕДНЯЯ НЕТОЧНОСТЬ</x:v>
      </x:c>
      <x:c r="G358" s="285" t="str">
        <x:v>SVG корректный визуально, но для декоративной иконки рядом с текстом желательно aria-hidden="true".</x:v>
      </x:c>
    </x:row>
    <x:row r="359">
      <x:c r="A359" s="308" t="str">
        <x:v>gemma4-12b-qat-uncensored-hauhaucs-balanced</x:v>
      </x:c>
      <x:c r="B359" s="309" t="str">
        <x:v>без thinking</x:v>
      </x:c>
      <x:c r="C359" s="309" t="str">
        <x:v>AMB-3</x:v>
      </x:c>
      <x:c r="D359" s="309" t="str">
        <x:v>НЕОДНОЗНАЧНОСТЬ И ПРОТИВОРЕЧИВЫЕ ТРЕБОВАНИЯ</x:v>
      </x:c>
      <x:c r="E359" s="403" t="n">
        <x:v>60</x:v>
      </x:c>
      <x:c r="F359" s="309" t="str">
        <x:v>ЧАСТИЧНО</x:v>
      </x:c>
      <x:c r="G359" s="285" t="str">
        <x:v>Несовместимость замечена, но предложенное «решение» хранить plaintext-пароль вместе с хешем прямо нарушает требование невосстановимости при утечке БД.</x:v>
      </x:c>
    </x:row>
    <x:row r="360">
      <x:c r="A360" s="308" t="str">
        <x:v>gemma4-12b-qat-uncensored-hauhaucs-balanced</x:v>
      </x:c>
      <x:c r="B360" s="309" t="str">
        <x:v>без thinking</x:v>
      </x:c>
      <x:c r="C360" s="309" t="str">
        <x:v>CRIT-2</x:v>
      </x:c>
      <x:c r="D360" s="309" t="str">
        <x:v>КРИТИЧЕСКОЕ МЫШЛЕНИЕ И ГАЛЛЮЦИНАЦИИ</x:v>
      </x:c>
      <x:c r="E360" s="403" t="n">
        <x:v>40</x:v>
      </x:c>
      <x:c r="F360" s="309" t="str">
        <x:v>СУЩЕСТВЕННО</x:v>
      </x:c>
      <x:c r="G360" s="285" t="str">
        <x:v>Верно отвергнут `systemctl --rollback`, но затем выдуман `systemctl rollback` «для некоторых сервисов», что снова является галлюцинацией.</x:v>
      </x:c>
    </x:row>
    <x:row r="361">
      <x:c r="A361" s="308" t="str">
        <x:v>gemma4-12b-qat-uncensored-hauhaucs-balanced</x:v>
      </x:c>
      <x:c r="B361" s="309" t="str">
        <x:v>без thinking</x:v>
      </x:c>
      <x:c r="C361" s="309" t="str">
        <x:v>CRIT-3</x:v>
      </x:c>
      <x:c r="D361" s="309" t="str">
        <x:v>КРИТИЧЕСКОЕ МЫШЛЕНИЕ И ГАЛЛЮЦИНАЦИИ</x:v>
      </x:c>
      <x:c r="E361" s="403" t="n">
        <x:v>40</x:v>
      </x:c>
      <x:c r="F361" s="309" t="str">
        <x:v>СУЩЕСТВЕННО</x:v>
      </x:c>
      <x:c r="G361" s="285" t="str">
        <x:v>Верно сказано, что `parallelMap` не стандартный JS API, но ошибочно приписан jQuery/Lodash.</x:v>
      </x:c>
    </x:row>
    <x:row r="362">
      <x:c r="A362" s="308" t="str">
        <x:v>gemma4-12b-qat-uncensored-hauhaucs-balanced</x:v>
      </x:c>
      <x:c r="B362" s="309" t="str">
        <x:v>без thinking</x:v>
      </x:c>
      <x:c r="C362" s="309" t="str">
        <x:v>CRIT-5</x:v>
      </x:c>
      <x:c r="D362" s="309" t="str">
        <x:v>КРИТИЧЕСКОЕ МЫШЛЕНИЕ И ГАЛЛЮЦИНАЦИИ</x:v>
      </x:c>
      <x:c r="E362" s="403" t="n">
        <x:v>60</x:v>
      </x:c>
      <x:c r="F362" s="309" t="str">
        <x:v>ЧАСТИЧНО</x:v>
      </x:c>
      <x:c r="G362" s="285" t="str">
        <x:v>Главная мысль о том, что Нобелевской премии по математике нет, верна, но затем модель пишет так, будто такая премия ежегодно присуждается/объявляется.</x:v>
      </x:c>
    </x:row>
    <x:row r="363">
      <x:c r="A363" s="308" t="str">
        <x:v>gemma4-12b-qat-uncensored-hauhaucs-balanced</x:v>
      </x:c>
      <x:c r="B363" s="309" t="str">
        <x:v>без thinking</x:v>
      </x:c>
      <x:c r="C363" s="309" t="str">
        <x:v>CS-1</x:v>
      </x:c>
      <x:c r="D363" s="309" t="str">
        <x:v>C# — ПОНИМАНИЕ, ОТЛАДКА И НАПИСАНИЕ</x:v>
      </x:c>
      <x:c r="E363" s="403" t="n">
        <x:v>60</x:v>
      </x:c>
      <x:c r="F363" s="309" t="str">
        <x:v>ЧАСТИЧНО</x:v>
      </x:c>
      <x:c r="G363" s="285" t="str">
        <x:v>Финальный вариант ограничивает параллелизм, но не делает требуемую политику обработки исключений явной; HttpClient создаётся на каждый вызов метода.</x:v>
      </x:c>
    </x:row>
    <x:row r="364">
      <x:c r="A364" s="308" t="str">
        <x:v>gemma4-12b-qat-uncensored-hauhaucs-balanced</x:v>
      </x:c>
      <x:c r="B364" s="309" t="str">
        <x:v>без thinking</x:v>
      </x:c>
      <x:c r="C364" s="309" t="str">
        <x:v>CS-4</x:v>
      </x:c>
      <x:c r="D364" s="309" t="str">
        <x:v>C# — ПОНИМАНИЕ, ОТЛАДКА И НАПИСАНИЕ</x:v>
      </x:c>
      <x:c r="E364" s="403" t="n">
        <x:v>40</x:v>
      </x:c>
      <x:c r="F364" s="309" t="str">
        <x:v>СУЩЕСТВЕННО</x:v>
      </x:c>
      <x:c r="G364" s="285" t="str">
        <x:v>Некорректно объединять внешнее списание денег и локальное резервирование в одну транзакцию; не разобраны компенсации/outbox и границы согласованности.</x:v>
      </x:c>
    </x:row>
    <x:row r="365">
      <x:c r="A365" s="308" t="str">
        <x:v>gemma4-12b-qat-uncensored-hauhaucs-balanced</x:v>
      </x:c>
      <x:c r="B365" s="309" t="str">
        <x:v>без thinking</x:v>
      </x:c>
      <x:c r="C365" s="309" t="str">
        <x:v>CS-6</x:v>
      </x:c>
      <x:c r="D365" s="309" t="str">
        <x:v>C# — ПОНИМАНИЕ, ОТЛАДКА И НАПИСАНИЕ</x:v>
      </x:c>
      <x:c r="E365" s="403" t="n">
        <x:v>0</x:v>
      </x:c>
      <x:c r="F365" s="309" t="str">
        <x:v>КРИТИЧЕСКАЯ ОШИБКА</x:v>
      </x:c>
      <x:c r="G365" s="285" t="str">
        <x:v>Ответ перевёрнут: `throw;` сохраняет исходный stack trace, а `throw ex;` сбрасывает его до текущей точки.</x:v>
      </x:c>
    </x:row>
    <x:row r="366">
      <x:c r="A366" s="308" t="str">
        <x:v>gemma4-12b-qat-uncensored-hauhaucs-balanced</x:v>
      </x:c>
      <x:c r="B366" s="309" t="str">
        <x:v>без thinking</x:v>
      </x:c>
      <x:c r="C366" s="309" t="str">
        <x:v>DIAG-4</x:v>
      </x:c>
      <x:c r="D366" s="309" t="str">
        <x:v>ПРАКТИЧЕСКАЯ СИСТЕМНАЯ ДИАГНОСТИКА</x:v>
      </x:c>
      <x:c r="E366" s="403" t="n">
        <x:v>60</x:v>
      </x:c>
      <x:c r="F366" s="309" t="str">
        <x:v>ЧАСТИЧНО</x:v>
      </x:c>
      <x:c r="G366" s="285" t="str">
        <x:v>Основные directory permissions названы, но утверждение о совпадении владельца слишком жёсткое; пропущены ACL/SELinux/AppArmor.</x:v>
      </x:c>
    </x:row>
    <x:row r="367">
      <x:c r="A367" s="308" t="str">
        <x:v>gemma4-12b-qat-uncensored-hauhaucs-balanced</x:v>
      </x:c>
      <x:c r="B367" s="309" t="str">
        <x:v>без thinking</x:v>
      </x:c>
      <x:c r="C367" s="309" t="str">
        <x:v>DOCKER-4</x:v>
      </x:c>
      <x:c r="D367" s="309" t="str">
        <x:v>DOCKER И КОНТЕЙНЕРЫ</x:v>
      </x:c>
      <x:c r="E367" s="403" t="n">
        <x:v>40</x:v>
      </x:c>
      <x:c r="F367" s="309" t="str">
        <x:v>СУЩЕСТВЕННО</x:v>
      </x:c>
      <x:c r="G367" s="285" t="str">
        <x:v>Верно, что ARG может утечь в историю/метаданные сборки, но рекомендация заменить его на ENV для секрета также небезопасна.</x:v>
      </x:c>
    </x:row>
    <x:row r="368">
      <x:c r="A368" s="308" t="str">
        <x:v>gemma4-12b-qat-uncensored-hauhaucs-balanced</x:v>
      </x:c>
      <x:c r="B368" s="309" t="str">
        <x:v>без thinking</x:v>
      </x:c>
      <x:c r="C368" s="309" t="str">
        <x:v>GK-1</x:v>
      </x:c>
      <x:c r="D368" s="309" t="str">
        <x:v>ОБЩИЕ ЗНАНИЯ</x:v>
      </x:c>
      <x:c r="E368" s="403" t="n">
        <x:v>40</x:v>
      </x:c>
      <x:c r="F368" s="309" t="str">
        <x:v>СУЩЕСТВЕННО</x:v>
      </x:c>
      <x:c r="G368" s="285" t="str">
        <x:v>Сезоны ошибочно связываются с прецессией/нутацией; основной механизм — постоянный наклон оси и орбитальное положение Земли.</x:v>
      </x:c>
    </x:row>
    <x:row r="369">
      <x:c r="A369" s="308" t="str">
        <x:v>gemma4-12b-qat-uncensored-hauhaucs-balanced</x:v>
      </x:c>
      <x:c r="B369" s="309" t="str">
        <x:v>без thinking</x:v>
      </x:c>
      <x:c r="C369" s="309" t="str">
        <x:v>GK-8</x:v>
      </x:c>
      <x:c r="D369" s="309" t="str">
        <x:v>ОБЩИЕ ЗНАНИЯ</x:v>
      </x:c>
      <x:c r="E369" s="403" t="n">
        <x:v>20</x:v>
      </x:c>
      <x:c r="F369" s="309" t="str">
        <x:v>КРИТИЧЕСКАЯ ОШИБКА</x:v>
      </x:c>
      <x:c r="G369" s="285" t="str">
        <x:v>Ответ неверен: реальные границы часовых поясов определяются прежде всего политическими/административными решениями, а не изменением скорости вращения.</x:v>
      </x:c>
    </x:row>
    <x:row r="370">
      <x:c r="A370" s="308" t="str">
        <x:v>gemma4-12b-qat-uncensored-hauhaucs-balanced</x:v>
      </x:c>
      <x:c r="B370" s="309" t="str">
        <x:v>без thinking</x:v>
      </x:c>
      <x:c r="C370" s="309" t="str">
        <x:v>INST-1</x:v>
      </x:c>
      <x:c r="D370" s="309" t="str">
        <x:v>ФИНАЛЬНАЯ ПРОВЕРКА СЛЕДОВАНИЯ ИНСТРУКЦИЯМ</x:v>
      </x:c>
      <x:c r="E370" s="403" t="n">
        <x:v>60</x:v>
      </x:c>
      <x:c r="F370" s="309" t="str">
        <x:v>ЧАСТИЧНО</x:v>
      </x:c>
      <x:c r="G370" s="285" t="str">
        <x:v>R-4 не относится к ловушке на несуществующие API/возможности; из трёх примеров только CRIT-1/CRIT-3 подходят напрямую.</x:v>
      </x:c>
    </x:row>
    <x:row r="371">
      <x:c r="A371" s="308" t="str">
        <x:v>gemma4-12b-qat-uncensored-hauhaucs-balanced</x:v>
      </x:c>
      <x:c r="B371" s="309" t="str">
        <x:v>без thinking</x:v>
      </x:c>
      <x:c r="C371" s="309" t="str">
        <x:v>JS-1</x:v>
      </x:c>
      <x:c r="D371" s="309" t="str">
        <x:v>JAVASCRIPT</x:v>
      </x:c>
      <x:c r="E371" s="403" t="n">
        <x:v>0</x:v>
      </x:c>
      <x:c r="F371" s="309" t="str">
        <x:v>КРИТИЧЕСКАЯ ОШИБКА</x:v>
      </x:c>
      <x:c r="G371" s="285" t="str">
        <x:v>Порядок неверен. Синхронный E выполняется до микрозадач; затем C, D и только после них B. Правильно: A,E,C,D,B.</x:v>
      </x:c>
    </x:row>
    <x:row r="372">
      <x:c r="A372" s="308" t="str">
        <x:v>gemma4-12b-qat-uncensored-hauhaucs-balanced</x:v>
      </x:c>
      <x:c r="B372" s="309" t="str">
        <x:v>без thinking</x:v>
      </x:c>
      <x:c r="C372" s="309" t="str">
        <x:v>JS-4</x:v>
      </x:c>
      <x:c r="D372" s="309" t="str">
        <x:v>JAVASCRIPT</x:v>
      </x:c>
      <x:c r="E372" s="403" t="n">
        <x:v>40</x:v>
      </x:c>
      <x:c r="F372" s="309" t="str">
        <x:v>СУЩЕСТВЕННО</x:v>
      </x:c>
      <x:c r="G372" s="285" t="str">
        <x:v>Колбэков три, поэтому вывод 3,3,3, а не пять троек.</x:v>
      </x:c>
    </x:row>
    <x:row r="373">
      <x:c r="A373" s="308" t="str">
        <x:v>gemma4-12b-qat-uncensored-hauhaucs-balanced</x:v>
      </x:c>
      <x:c r="B373" s="309" t="str">
        <x:v>без thinking</x:v>
      </x:c>
      <x:c r="C373" s="309" t="str">
        <x:v>JS-5</x:v>
      </x:c>
      <x:c r="D373" s="309" t="str">
        <x:v>JAVASCRIPT</x:v>
      </x:c>
      <x:c r="E373" s="403" t="n">
        <x:v>0</x:v>
      </x:c>
      <x:c r="F373" s="309" t="str">
        <x:v>КРИТИЧЕСКАЯ ОШИБКА</x:v>
      </x:c>
      <x:c r="G373" s="285" t="str">
        <x:v>Приведён невалидный API `new AbortSignal(...)`, попытка объединения сигналов строкой и вариант, где внешний signal полностью отключает timeout.</x:v>
      </x:c>
    </x:row>
    <x:row r="374">
      <x:c r="A374" s="308" t="str">
        <x:v>gemma4-12b-qat-uncensored-hauhaucs-balanced</x:v>
      </x:c>
      <x:c r="B374" s="309" t="str">
        <x:v>без thinking</x:v>
      </x:c>
      <x:c r="C374" s="309" t="str">
        <x:v>LANG-3</x:v>
      </x:c>
      <x:c r="D374" s="309" t="str">
        <x:v>МНОГОЯЗЫЧНОСТЬ</x:v>
      </x:c>
      <x:c r="E374" s="403" t="n">
        <x:v>0</x:v>
      </x:c>
      <x:c r="F374" s="309" t="str">
        <x:v>КРИТИЧЕСКАЯ ОШИБКА</x:v>
      </x:c>
      <x:c r="G374" s="285" t="str">
        <x:v>Перевод на армянский повреждён: смешаны армянские, арабские, грузинские и латинские символы.</x:v>
      </x:c>
    </x:row>
    <x:row r="375">
      <x:c r="A375" s="308" t="str">
        <x:v>gemma4-12b-qat-uncensored-hauhaucs-balanced</x:v>
      </x:c>
      <x:c r="B375" s="309" t="str">
        <x:v>без thinking</x:v>
      </x:c>
      <x:c r="C375" s="309" t="str">
        <x:v>MED-8</x:v>
      </x:c>
      <x:c r="D375" s="309" t="str">
        <x:v>МЕДИЦИНСКИЕ ЗНАНИЯ</x:v>
      </x:c>
      <x:c r="E375" s="403" t="n">
        <x:v>20</x:v>
      </x:c>
      <x:c r="F375" s="309" t="str">
        <x:v>КРИТИЧЕСКАЯ ОШИБКА</x:v>
      </x:c>
      <x:c r="G375" s="285" t="str">
        <x:v>Нет приоритета вызова экстренной помощи и СЛР/AED при отсутствии нормального дыхания; проверка пульса для неспециалиста не должна задерживать действия.</x:v>
      </x:c>
    </x:row>
    <x:row r="376">
      <x:c r="A376" s="308" t="str">
        <x:v>gemma4-12b-qat-uncensored-hauhaucs-balanced</x:v>
      </x:c>
      <x:c r="B376" s="309" t="str">
        <x:v>без thinking</x:v>
      </x:c>
      <x:c r="C376" s="309" t="str">
        <x:v>OPS-2</x:v>
      </x:c>
      <x:c r="D376" s="309" t="str">
        <x:v>LINUX, SYSTEMD И NGINX</x:v>
      </x:c>
      <x:c r="E376" s="403" t="n">
        <x:v>60</x:v>
      </x:c>
      <x:c r="F376" s="309" t="str">
        <x:v>ЧАСТИЧНО</x:v>
      </x:c>
      <x:c r="G376" s="285" t="str">
        <x:v>Не названа самая типичная причина df&gt;du — удалённые, но всё ещё открытые файлы; перечисленные tmpfs/другие FS лишь частично полезны.</x:v>
      </x:c>
    </x:row>
    <x:row r="377">
      <x:c r="A377" s="308" t="str">
        <x:v>gemma4-12b-qat-uncensored-hauhaucs-balanced</x:v>
      </x:c>
      <x:c r="B377" s="309" t="str">
        <x:v>без thinking</x:v>
      </x:c>
      <x:c r="C377" s="309" t="str">
        <x:v>PHP-1</x:v>
      </x:c>
      <x:c r="D377" s="309" t="str">
        <x:v>PHP 8.2+ — ПОНИМАНИЕ, БЕЗОПАСНОСТЬ И АРХИТЕКТУРА</x:v>
      </x:c>
      <x:c r="E377" s="403" t="n">
        <x:v>40</x:v>
      </x:c>
      <x:c r="F377" s="309" t="str">
        <x:v>СУЩЕСТВЕННО</x:v>
      </x:c>
      <x:c r="G377" s="285" t="str">
        <x:v>SQL-инъекция обнаружена, но исправление неработоспособно: `execute()` возвращает bool и не поддерживает последующий `-&gt;fetch()` в этой цепочке.</x:v>
      </x:c>
    </x:row>
    <x:row r="378">
      <x:c r="A378" s="308" t="str">
        <x:v>gemma4-12b-qat-uncensored-hauhaucs-balanced</x:v>
      </x:c>
      <x:c r="B378" s="309" t="str">
        <x:v>без thinking</x:v>
      </x:c>
      <x:c r="C378" s="309" t="str">
        <x:v>PHP-4</x:v>
      </x:c>
      <x:c r="D378" s="309" t="str">
        <x:v>PHP 8.2+ — ПОНИМАНИЕ, БЕЗОПАСНОСТЬ И АРХИТЕКТУРА</x:v>
      </x:c>
      <x:c r="E378" s="403" t="n">
        <x:v>60</x:v>
      </x:c>
      <x:c r="F378" s="309" t="str">
        <x:v>ЧАСТИЧНО</x:v>
      </x:c>
      <x:c r="G378" s="285" t="str">
        <x:v>Рекомендуется только `===`, но для сравнения секретов требовалось также отметить constant-time сравнение через `hash_equals()`.</x:v>
      </x:c>
    </x:row>
    <x:row r="379">
      <x:c r="A379" s="308" t="str">
        <x:v>gemma4-12b-qat-uncensored-hauhaucs-balanced</x:v>
      </x:c>
      <x:c r="B379" s="309" t="str">
        <x:v>без thinking</x:v>
      </x:c>
      <x:c r="C379" s="309" t="str">
        <x:v>R-1</x:v>
      </x:c>
      <x:c r="D379" s="309" t="str">
        <x:v>РАССУЖДЕНИЕ И ЛОГИКА</x:v>
      </x:c>
      <x:c r="E379" s="403" t="n">
        <x:v>20</x:v>
      </x:c>
      <x:c r="F379" s="309" t="str">
        <x:v>КРИТИЧЕСКАЯ ОШИБКА</x:v>
      </x:c>
      <x:c r="G379" s="285" t="str">
        <x:v>Модель многократно противоречит сама себе и не фиксирует корректный итог: предложенный A,E,B,C,D нарушает запрет соседства C и D.</x:v>
      </x:c>
    </x:row>
    <x:row r="380">
      <x:c r="A380" s="308" t="str">
        <x:v>gemma4-12b-qat-uncensored-hauhaucs-balanced</x:v>
      </x:c>
      <x:c r="B380" s="309" t="str">
        <x:v>без thinking</x:v>
      </x:c>
      <x:c r="C380" s="309" t="str">
        <x:v>SEC-1</x:v>
      </x:c>
      <x:c r="D380" s="309" t="str">
        <x:v>БЕЗОПАСНОСТЬ</x:v>
      </x:c>
      <x:c r="E380" s="403" t="n">
        <x:v>40</x:v>
      </x:c>
      <x:c r="F380" s="309" t="str">
        <x:v>СУЩЕСТВЕННО</x:v>
      </x:c>
      <x:c r="G380" s="285" t="str">
        <x:v>Часть классификаций не соответствует коду; `basename()` не решает авторизацию/изоляцию файлов, а XSS и upload-проверки описаны неточно.</x:v>
      </x:c>
    </x:row>
    <x:row r="381">
      <x:c r="A381" s="308" t="str">
        <x:v>gemma4-12b-qat-uncensored-hauhaucs-balanced</x:v>
      </x:c>
      <x:c r="B381" s="309" t="str">
        <x:v>без thinking</x:v>
      </x:c>
      <x:c r="C381" s="309" t="str">
        <x:v>SEC-4</x:v>
      </x:c>
      <x:c r="D381" s="309" t="str">
        <x:v>БЕЗОПАСНОСТЬ</x:v>
      </x:c>
      <x:c r="E381" s="403" t="n">
        <x:v>60</x:v>
      </x:c>
      <x:c r="F381" s="309" t="str">
        <x:v>ЧАСТИЧНО</x:v>
      </x:c>
      <x:c r="G381" s="285" t="str">
        <x:v>Защита SSRF слишком узкая: не разобраны блокировка внутренних/служебных диапазонов, DNS rebinding, redirects и повторная проверка resolved IP.</x:v>
      </x:c>
    </x:row>
    <x:row r="382">
      <x:c r="A382" s="308" t="str">
        <x:v>gemma4-12b-qat-uncensored-hauhaucs-balanced</x:v>
      </x:c>
      <x:c r="B382" s="309" t="str">
        <x:v>без thinking</x:v>
      </x:c>
      <x:c r="C382" s="309" t="str">
        <x:v>SEC-5</x:v>
      </x:c>
      <x:c r="D382" s="309" t="str">
        <x:v>БЕЗОПАСНОСТЬ</x:v>
      </x:c>
      <x:c r="E382" s="403" t="n">
        <x:v>60</x:v>
      </x:c>
      <x:c r="F382" s="309" t="str">
        <x:v>ЧАСТИЧНО</x:v>
      </x:c>
      <x:c r="G382" s="285" t="str">
        <x:v>Перечень JWT-проблем частичный; «слишком длинные токены» не ключевая типовая ошибка, отсутствуют algorithm/issuer/audience/storage детали.</x:v>
      </x:c>
    </x:row>
    <x:row r="383">
      <x:c r="A383" s="308" t="str">
        <x:v>gemma4-12b-qat-uncensored-hauhaucs-balanced</x:v>
      </x:c>
      <x:c r="B383" s="309" t="str">
        <x:v>без thinking</x:v>
      </x:c>
      <x:c r="C383" s="309" t="str">
        <x:v>SEC-6</x:v>
      </x:c>
      <x:c r="D383" s="309" t="str">
        <x:v>БЕЗОПАСНОСТЬ</x:v>
      </x:c>
      <x:c r="E383" s="403" t="n">
        <x:v>60</x:v>
      </x:c>
      <x:c r="F383" s="309" t="str">
        <x:v>ЧАСТИЧНО</x:v>
      </x:c>
      <x:c r="G383" s="285" t="str">
        <x:v>Пример с загрузкой `.html` не отвечает сценарию проверки только `.jpg`; объяснение про вредоносные метаданные слишком расплывчато.</x:v>
      </x:c>
    </x:row>
    <x:row r="384">
      <x:c r="A384" s="308" t="str">
        <x:v>gemma4-12b-qat-uncensored-hauhaucs-balanced</x:v>
      </x:c>
      <x:c r="B384" s="309" t="str">
        <x:v>без thinking</x:v>
      </x:c>
      <x:c r="C384" s="309" t="str">
        <x:v>SH-2</x:v>
      </x:c>
      <x:c r="D384" s="309" t="str">
        <x:v>BASH, ZSH И macOS TERMINAL</x:v>
      </x:c>
      <x:c r="E384" s="403" t="n">
        <x:v>20</x:v>
      </x:c>
      <x:c r="F384" s="309" t="str">
        <x:v>КРИТИЧЕСКАЯ ОШИБКА</x:v>
      </x:c>
      <x:c r="G384" s="285" t="str">
        <x:v>`find ... -print | wc -l` не безопасен для имён с переводами строк, хотя ответ утверждает обратное.</x:v>
      </x:c>
    </x:row>
    <x:row r="385">
      <x:c r="A385" s="308" t="str">
        <x:v>gemma4-12b-qat-uncensored-hauhaucs-balanced</x:v>
      </x:c>
      <x:c r="B385" s="309" t="str">
        <x:v>без thinking</x:v>
      </x:c>
      <x:c r="C385" s="309" t="str">
        <x:v>SH-4</x:v>
      </x:c>
      <x:c r="D385" s="309" t="str">
        <x:v>BASH, ZSH И macOS TERMINAL</x:v>
      </x:c>
      <x:c r="E385" s="403" t="n">
        <x:v>40</x:v>
      </x:c>
      <x:c r="F385" s="309" t="str">
        <x:v>СУЩЕСТВЕННО</x:v>
      </x:c>
      <x:c r="G385" s="285" t="str">
        <x:v>`command &amp;&amp; echo $?` не выведет код при ошибке команды; нужен запуск команды, сохранение `$?`, затем вывод.</x:v>
      </x:c>
    </x:row>
    <x:row r="386">
      <x:c r="A386" s="308" t="str">
        <x:v>gemma4-12b-qat-uncensored-hauhaucs-balanced</x:v>
      </x:c>
      <x:c r="B386" s="309" t="str">
        <x:v>без thinking</x:v>
      </x:c>
      <x:c r="C386" s="309" t="str">
        <x:v>SH-7</x:v>
      </x:c>
      <x:c r="D386" s="309" t="str">
        <x:v>BASH, ZSH И macOS TERMINAL</x:v>
      </x:c>
      <x:c r="E386" s="403" t="n">
        <x:v>60</x:v>
      </x:c>
      <x:c r="F386" s="309" t="str">
        <x:v>ЧАСТИЧНО</x:v>
      </x:c>
      <x:c r="G386" s="285" t="str">
        <x:v>Нет полноценного требуемого фрагмента `set -euo pipefail`; дано только объяснение отдельных флагов.</x:v>
      </x:c>
    </x:row>
    <x:row r="387">
      <x:c r="A387" s="308" t="str">
        <x:v>gemma4-12b-qat-uncensored-hauhaucs-balanced</x:v>
      </x:c>
      <x:c r="B387" s="309" t="str">
        <x:v>без thinking</x:v>
      </x:c>
      <x:c r="C387" s="309" t="str">
        <x:v>SYS-1</x:v>
      </x:c>
      <x:c r="D387" s="309" t="str">
        <x:v>ПРОЕКТИРОВАНИЕ НЕБОЛЬШОЙ СИСТЕМЫ</x:v>
      </x:c>
      <x:c r="E387" s="403" t="n">
        <x:v>60</x:v>
      </x:c>
      <x:c r="F387" s="309" t="str">
        <x:v>ЧАСТИЧНО</x:v>
      </x:c>
      <x:c r="G387" s="285" t="str">
        <x:v>Дизайн неплохой, но использует неверный путь `/api/v2/documents/upload` вместо заданного исключения `/api/v1/documents/upload`, не гарантирует DB→Redis доставку через outbox и не упоминает запрет секретов в Git.</x:v>
      </x:c>
    </x:row>
    <x:row r="388">
      <x:c r="A388" s="308" t="str">
        <x:v>gemma4-12b-qat-uncensored-hauhaucs-balanced</x:v>
      </x:c>
      <x:c r="B388" s="309" t="str">
        <x:v>без thinking</x:v>
      </x:c>
      <x:c r="C388" s="309" t="str">
        <x:v>WEB-2</x:v>
      </x:c>
      <x:c r="D388" s="309" t="str">
        <x:v>HTML, CSS, SVG И ДОСТУПНОСТЬ</x:v>
      </x:c>
      <x:c r="E388" s="403" t="n">
        <x:v>60</x:v>
      </x:c>
      <x:c r="F388" s="309" t="str">
        <x:v>ЧАСТИЧНО</x:v>
      </x:c>
      <x:c r="G388" s="285" t="str">
        <x:v>Сообщение об ошибке не связано с input через aria-describedby/aria-errormessage и не объявляется динамически; доступность неполна.</x:v>
      </x:c>
    </x:row>
    <x:row r="389">
      <x:c r="A389" s="308" t="str">
        <x:v>gemma4-12b-qat-uncensored-hauhaucs-balanced</x:v>
      </x:c>
      <x:c r="B389" s="309" t="str">
        <x:v>без thinking</x:v>
      </x:c>
      <x:c r="C389" s="309" t="str">
        <x:v>WIN-3</x:v>
      </x:c>
      <x:c r="D389" s="309" t="str">
        <x:v>WINDOWS CMD И POWERSHELL</x:v>
      </x:c>
      <x:c r="E389" s="403" t="n">
        <x:v>60</x:v>
      </x:c>
      <x:c r="F389" s="309" t="str">
        <x:v>ЧАСТИЧНО</x:v>
      </x:c>
      <x:c r="G389" s="285" t="str">
        <x:v>Нет `-Recurse`, поэтому поиск не рекурсивный.</x:v>
      </x:c>
    </x:row>
    <x:row r="390">
      <x:c r="A390" s="308" t="str">
        <x:v>gemma4-12b-qat-uncensored-hauhaucs-balanced</x:v>
      </x:c>
      <x:c r="B390" s="309" t="str">
        <x:v>thinking</x:v>
      </x:c>
      <x:c r="C390" s="309" t="str">
        <x:v>ARCH-4</x:v>
      </x:c>
      <x:c r="D390" s="309" t="str">
        <x:v>BACKEND, FULL-STACK И API-АРХИТЕКТУРА</x:v>
      </x:c>
      <x:c r="E390" s="403" t="n">
        <x:v>60</x:v>
      </x:c>
      <x:c r="F390" s="309" t="str">
        <x:v>ЧАСТИЧНО</x:v>
      </x:c>
      <x:c r="G390" s="285" t="str">
        <x:v>Не разобран порядок событий webhook и защита от событий, пришедших не по порядку; схема повторов/дедупликации слишком общая.</x:v>
      </x:c>
    </x:row>
    <x:row r="391">
      <x:c r="A391" s="308" t="str">
        <x:v>gemma4-12b-qat-uncensored-hauhaucs-balanced</x:v>
      </x:c>
      <x:c r="B391" s="309" t="str">
        <x:v>thinking</x:v>
      </x:c>
      <x:c r="C391" s="309" t="str">
        <x:v>ARCH-5</x:v>
      </x:c>
      <x:c r="D391" s="309" t="str">
        <x:v>BACKEND, FULL-STACK И API-АРХИТЕКТУРА</x:v>
      </x:c>
      <x:c r="E391" s="403" t="n">
        <x:v>60</x:v>
      </x:c>
      <x:c r="F391" s="309" t="str">
        <x:v>ЧАСТИЧНО</x:v>
      </x:c>
      <x:c r="G391" s="285" t="str">
        <x:v>Плюсы/минусы URL-версионирования раскрыты поверхностно; ответ уходит в сравнение с header-versioning, которого не просили.</x:v>
      </x:c>
    </x:row>
    <x:row r="392">
      <x:c r="A392" s="308" t="str">
        <x:v>gemma4-12b-qat-uncensored-hauhaucs-balanced</x:v>
      </x:c>
      <x:c r="B392" s="309" t="str">
        <x:v>thinking</x:v>
      </x:c>
      <x:c r="C392" s="309" t="str">
        <x:v>CS-2</x:v>
      </x:c>
      <x:c r="D392" s="309" t="str">
        <x:v>C# — ПОНИМАНИЕ, ОТЛАДКА И НАПИСАНИЕ</x:v>
      </x:c>
      <x:c r="E392" s="403" t="n">
        <x:v>60</x:v>
      </x:c>
      <x:c r="F392" s="309" t="str">
        <x:v>ЧАСТИЧНО</x:v>
      </x:c>
      <x:c r="G392" s="285" t="str">
        <x:v>`Interlocked.Increment(ref Value)` не компилируется для свойства; нужен backing field. Вариант с lock требует отдельного объекта блокировки.</x:v>
      </x:c>
    </x:row>
    <x:row r="393">
      <x:c r="A393" s="308" t="str">
        <x:v>gemma4-12b-qat-uncensored-hauhaucs-balanced</x:v>
      </x:c>
      <x:c r="B393" s="309" t="str">
        <x:v>thinking</x:v>
      </x:c>
      <x:c r="C393" s="309" t="str">
        <x:v>CS-4</x:v>
      </x:c>
      <x:c r="D393" s="309" t="str">
        <x:v>C# — ПОНИМАНИЕ, ОТЛАДКА И НАПИСАНИЕ</x:v>
      </x:c>
      <x:c r="E393" s="403" t="n">
        <x:v>40</x:v>
      </x:c>
      <x:c r="F393" s="309" t="str">
        <x:v>СУЩЕСТВЕННО</x:v>
      </x:c>
      <x:c r="G393" s="285" t="str">
        <x:v>Списание денег нельзя просто включить в одну локальную транзакцию БД вместе с резервированием; нужны явные границы, идемпотентность и компенсация/согласование.</x:v>
      </x:c>
    </x:row>
    <x:row r="394">
      <x:c r="A394" s="308" t="str">
        <x:v>gemma4-12b-qat-uncensored-hauhaucs-balanced</x:v>
      </x:c>
      <x:c r="B394" s="309" t="str">
        <x:v>thinking</x:v>
      </x:c>
      <x:c r="C394" s="309" t="str">
        <x:v>DATA-3</x:v>
      </x:c>
      <x:c r="D394" s="309" t="str">
        <x:v>СТРУКТУРИРОВАННЫЕ ДАННЫЕ</x:v>
      </x:c>
      <x:c r="E394" s="403" t="n">
        <x:v>20</x:v>
      </x:c>
      <x:c r="F394" s="309" t="str">
        <x:v>КРИТИЧЕСКАЯ ОШИБКА</x:v>
      </x:c>
      <x:c r="G394" s="285" t="str">
        <x:v>Для XML перечислены JSON-подобные экранирования (`\\`, `"`, `\\n`), но не ключевые XML-символы `&amp;` и `&lt;`.</x:v>
      </x:c>
    </x:row>
    <x:row r="395">
      <x:c r="A395" s="308" t="str">
        <x:v>gemma4-12b-qat-uncensored-hauhaucs-balanced</x:v>
      </x:c>
      <x:c r="B395" s="309" t="str">
        <x:v>thinking</x:v>
      </x:c>
      <x:c r="C395" s="309" t="str">
        <x:v>DB-7</x:v>
      </x:c>
      <x:c r="D395" s="309" t="str">
        <x:v>SQL И БАЗЫ ДАННЫХ</x:v>
      </x:c>
      <x:c r="E395" s="403" t="n">
        <x:v>60</x:v>
      </x:c>
      <x:c r="F395" s="309" t="str">
        <x:v>ЧАСТИЧНО</x:v>
      </x:c>
      <x:c r="G395" s="285" t="str">
        <x:v>`DECIMAL` и `NUMERIC` в PostgreSQL фактически один и тот же тип; вторым надёжным представлением ожидалось целое число минимальных денежных единиц.</x:v>
      </x:c>
    </x:row>
    <x:row r="396">
      <x:c r="A396" s="308" t="str">
        <x:v>gemma4-12b-qat-uncensored-hauhaucs-balanced</x:v>
      </x:c>
      <x:c r="B396" s="309" t="str">
        <x:v>thinking</x:v>
      </x:c>
      <x:c r="C396" s="309" t="str">
        <x:v>DIAG-3</x:v>
      </x:c>
      <x:c r="D396" s="309" t="str">
        <x:v>ПРАКТИЧЕСКАЯ СИСТЕМНАЯ ДИАГНОСТИКА</x:v>
      </x:c>
      <x:c r="E396" s="403" t="n">
        <x:v>40</x:v>
      </x:c>
      <x:c r="F396" s="309" t="str">
        <x:v>СУЩЕСТВЕННО</x:v>
      </x:c>
      <x:c r="G396" s="285" t="str">
        <x:v>Диагностика DNS сведена к трём общим пунктам и не проходит путь от приложения/локального resolver/cache до recursive/authoritative DNS.</x:v>
      </x:c>
    </x:row>
    <x:row r="397">
      <x:c r="A397" s="308" t="str">
        <x:v>gemma4-12b-qat-uncensored-hauhaucs-balanced</x:v>
      </x:c>
      <x:c r="B397" s="309" t="str">
        <x:v>thinking</x:v>
      </x:c>
      <x:c r="C397" s="309" t="str">
        <x:v>DIAG-4</x:v>
      </x:c>
      <x:c r="D397" s="309" t="str">
        <x:v>ПРАКТИЧЕСКАЯ СИСТЕМНАЯ ДИАГНОСТИКА</x:v>
      </x:c>
      <x:c r="E397" s="403" t="n">
        <x:v>40</x:v>
      </x:c>
      <x:c r="F397" s="309" t="str">
        <x:v>СУЩЕСТВЕННО</x:v>
      </x:c>
      <x:c r="G397" s="285" t="str">
        <x:v>Путаются права файла и каталогов: execute нужен на каталогах; пропущены ACL, SELinux/AppArmor и точный пользователь/группа PHP-FPM.</x:v>
      </x:c>
    </x:row>
    <x:row r="398">
      <x:c r="A398" s="308" t="str">
        <x:v>gemma4-12b-qat-uncensored-hauhaucs-balanced</x:v>
      </x:c>
      <x:c r="B398" s="309" t="str">
        <x:v>thinking</x:v>
      </x:c>
      <x:c r="C398" s="309" t="str">
        <x:v>DOCKER-1</x:v>
      </x:c>
      <x:c r="D398" s="309" t="str">
        <x:v>DOCKER И КОНТЕЙНЕРЫ</x:v>
      </x:c>
      <x:c r="E398" s="403" t="n">
        <x:v>60</x:v>
      </x:c>
      <x:c r="F398" s="309" t="str">
        <x:v>ЧАСТИЧНО</x:v>
      </x:c>
      <x:c r="G398" s="285" t="str">
        <x:v>Аудит поверхностный: не закреплена версия базового образа/пакетов, не разобраны COPY всего контекста, очистка apt, healthcheck; Alpine предложен как универсальный ответ.</x:v>
      </x:c>
    </x:row>
    <x:row r="399">
      <x:c r="A399" s="308" t="str">
        <x:v>gemma4-12b-qat-uncensored-hauhaucs-balanced</x:v>
      </x:c>
      <x:c r="B399" s="309" t="str">
        <x:v>thinking</x:v>
      </x:c>
      <x:c r="C399" s="309" t="str">
        <x:v>GIT-1</x:v>
      </x:c>
      <x:c r="D399" s="309" t="str">
        <x:v>GIT</x:v>
      </x:c>
      <x:c r="E399" s="403" t="n">
        <x:v>60</x:v>
      </x:c>
      <x:c r="F399" s="309" t="str">
        <x:v>ЧАСТИЧНО</x:v>
      </x:c>
      <x:c r="G399" s="285" t="str">
        <x:v>Указан только `git reflog`, но не показано, как восстановить найденный коммит/ветку.</x:v>
      </x:c>
    </x:row>
    <x:row r="400">
      <x:c r="A400" s="308" t="str">
        <x:v>gemma4-12b-qat-uncensored-hauhaucs-balanced</x:v>
      </x:c>
      <x:c r="B400" s="309" t="str">
        <x:v>thinking</x:v>
      </x:c>
      <x:c r="C400" s="309" t="str">
        <x:v>GIT-5</x:v>
      </x:c>
      <x:c r="D400" s="309" t="str">
        <x:v>GIT</x:v>
      </x:c>
      <x:c r="E400" s="403" t="n">
        <x:v>60</x:v>
      </x:c>
      <x:c r="F400" s="309" t="str">
        <x:v>ЧАСТИЧНО</x:v>
      </x:c>
      <x:c r="G400" s="285" t="str">
        <x:v>Указан только `git stash`, без переключения ветки и последующего `stash pop/apply`.</x:v>
      </x:c>
    </x:row>
    <x:row r="401">
      <x:c r="A401" s="308" t="str">
        <x:v>gemma4-12b-qat-uncensored-hauhaucs-balanced</x:v>
      </x:c>
      <x:c r="B401" s="309" t="str">
        <x:v>thinking</x:v>
      </x:c>
      <x:c r="C401" s="309" t="str">
        <x:v>GK-8</x:v>
      </x:c>
      <x:c r="D401" s="309" t="str">
        <x:v>ОБЩИЕ ЗНАНИЯ</x:v>
      </x:c>
      <x:c r="E401" s="403" t="n">
        <x:v>20</x:v>
      </x:c>
      <x:c r="F401" s="309" t="str">
        <x:v>КРИТИЧЕСКАЯ ОШИБКА</x:v>
      </x:c>
      <x:c r="G401" s="285" t="str">
        <x:v>Причины отклонения часовых поясов объяснены неверно: ключевы политические и административные границы, а не кривизна Земли/атмосфера.</x:v>
      </x:c>
    </x:row>
    <x:row r="402">
      <x:c r="A402" s="308" t="str">
        <x:v>gemma4-12b-qat-uncensored-hauhaucs-balanced</x:v>
      </x:c>
      <x:c r="B402" s="309" t="str">
        <x:v>thinking</x:v>
      </x:c>
      <x:c r="C402" s="309" t="str">
        <x:v>JS-1</x:v>
      </x:c>
      <x:c r="D402" s="309" t="str">
        <x:v>JAVASCRIPT</x:v>
      </x:c>
      <x:c r="E402" s="403" t="n">
        <x:v>0</x:v>
      </x:c>
      <x:c r="F402" s="309" t="str">
        <x:v>КРИТИЧЕСКАЯ ОШИБКА</x:v>
      </x:c>
      <x:c r="G402" s="285" t="str">
        <x:v>Неверный порядок event loop. Правильно: A, E, C, D, B.</x:v>
      </x:c>
    </x:row>
    <x:row r="403">
      <x:c r="A403" s="308" t="str">
        <x:v>gemma4-12b-qat-uncensored-hauhaucs-balanced</x:v>
      </x:c>
      <x:c r="B403" s="309" t="str">
        <x:v>thinking</x:v>
      </x:c>
      <x:c r="C403" s="309" t="str">
        <x:v>JS-4</x:v>
      </x:c>
      <x:c r="D403" s="309" t="str">
        <x:v>JAVASCRIPT</x:v>
      </x:c>
      <x:c r="E403" s="403" t="n">
        <x:v>20</x:v>
      </x:c>
      <x:c r="F403" s="309" t="str">
        <x:v>КРИТИЧЕСКАЯ ОШИБКА</x:v>
      </x:c>
      <x:c r="G403" s="285" t="str">
        <x:v>Правильный вывод — 3, 3, 3. В объяснении модель сама пишет, что i станет 3, но итог указывает 2, 2, 2.</x:v>
      </x:c>
    </x:row>
    <x:row r="404">
      <x:c r="A404" s="308" t="str">
        <x:v>gemma4-12b-qat-uncensored-hauhaucs-balanced</x:v>
      </x:c>
      <x:c r="B404" s="309" t="str">
        <x:v>thinking</x:v>
      </x:c>
      <x:c r="C404" s="309" t="str">
        <x:v>JS-5</x:v>
      </x:c>
      <x:c r="D404" s="309" t="str">
        <x:v>JAVASCRIPT</x:v>
      </x:c>
      <x:c r="E404" s="403" t="n">
        <x:v>0</x:v>
      </x:c>
      <x:c r="F404" s="309" t="str">
        <x:v>КРИТИЧЕСКАЯ ОШИБКА</x:v>
      </x:c>
      <x:c r="G404" s="285" t="str">
        <x:v>Код неработоспособен: `AbortSignal` не имеет метода `.abort()`, а внешний сигнал может быть undefined. Таймаут реализован некорректно.</x:v>
      </x:c>
    </x:row>
    <x:row r="405">
      <x:c r="A405" s="308" t="str">
        <x:v>gemma4-12b-qat-uncensored-hauhaucs-balanced</x:v>
      </x:c>
      <x:c r="B405" s="309" t="str">
        <x:v>thinking</x:v>
      </x:c>
      <x:c r="C405" s="309" t="str">
        <x:v>LANG-3</x:v>
      </x:c>
      <x:c r="D405" s="309" t="str">
        <x:v>МНОГОЯЗЫЧНОСТЬ</x:v>
      </x:c>
      <x:c r="E405" s="403" t="n">
        <x:v>0</x:v>
      </x:c>
      <x:c r="F405" s="309" t="str">
        <x:v>КРИТИЧЕСКАЯ ОШИБКА</x:v>
      </x:c>
      <x:c r="G405" s="285" t="str">
        <x:v>Армянский перевод повреждён и содержит посторонние символы/другие письменности; использовать его нельзя.</x:v>
      </x:c>
    </x:row>
    <x:row r="406">
      <x:c r="A406" s="308" t="str">
        <x:v>gemma4-12b-qat-uncensored-hauhaucs-balanced</x:v>
      </x:c>
      <x:c r="B406" s="309" t="str">
        <x:v>thinking</x:v>
      </x:c>
      <x:c r="C406" s="309" t="str">
        <x:v>MATH-3</x:v>
      </x:c>
      <x:c r="D406" s="309" t="str">
        <x:v>МАТЕМАТИКА, ВЕРОЯТНОСТЬ И СТАТИСТИКА</x:v>
      </x:c>
      <x:c r="E406" s="403" t="n">
        <x:v>0</x:v>
      </x:c>
      <x:c r="F406" s="309" t="str">
        <x:v>КРИТИЧЕСКАЯ ОШИБКА</x:v>
      </x:c>
      <x:c r="G406" s="285" t="str">
        <x:v>Вероятность ровно двух орлов при трёх бросках честной монеты равна 3/8, а не 1/3.</x:v>
      </x:c>
    </x:row>
    <x:row r="407">
      <x:c r="A407" s="308" t="str">
        <x:v>gemma4-12b-qat-uncensored-hauhaucs-balanced</x:v>
      </x:c>
      <x:c r="B407" s="309" t="str">
        <x:v>thinking</x:v>
      </x:c>
      <x:c r="C407" s="309" t="str">
        <x:v>MED-8</x:v>
      </x:c>
      <x:c r="D407" s="309" t="str">
        <x:v>МЕДИЦИНСКИЕ ЗНАНИЯ</x:v>
      </x:c>
      <x:c r="E407" s="403" t="n">
        <x:v>20</x:v>
      </x:c>
      <x:c r="F407" s="309" t="str">
        <x:v>КРИТИЧЕСКАЯ ОШИБКА</x:v>
      </x:c>
      <x:c r="G407" s="285" t="str">
        <x:v>Не указаны немедленный вызов экстренной помощи, распознавание агонального дыхания как ненормального и начало СЛР/AED при отсутствии нормального дыхания.</x:v>
      </x:c>
    </x:row>
    <x:row r="408">
      <x:c r="A408" s="308" t="str">
        <x:v>gemma4-12b-qat-uncensored-hauhaucs-balanced</x:v>
      </x:c>
      <x:c r="B408" s="309" t="str">
        <x:v>thinking</x:v>
      </x:c>
      <x:c r="C408" s="309" t="str">
        <x:v>OPS-1</x:v>
      </x:c>
      <x:c r="D408" s="309" t="str">
        <x:v>LINUX, SYSTEMD И NGINX</x:v>
      </x:c>
      <x:c r="E408" s="403" t="n">
        <x:v>60</x:v>
      </x:c>
      <x:c r="F408" s="309" t="str">
        <x:v>ЧАСТИЧНО</x:v>
      </x:c>
      <x:c r="G408" s="285" t="str">
        <x:v>Указана несуществующая команда `systemctl logs`; нужны `systemctl status` и `journalctl -u ...`/`journalctl -xe`.</x:v>
      </x:c>
    </x:row>
    <x:row r="409">
      <x:c r="A409" s="308" t="str">
        <x:v>gemma4-12b-qat-uncensored-hauhaucs-balanced</x:v>
      </x:c>
      <x:c r="B409" s="309" t="str">
        <x:v>thinking</x:v>
      </x:c>
      <x:c r="C409" s="309" t="str">
        <x:v>OPS-2</x:v>
      </x:c>
      <x:c r="D409" s="309" t="str">
        <x:v>LINUX, SYSTEMD И NGINX</x:v>
      </x:c>
      <x:c r="E409" s="403" t="n">
        <x:v>40</x:v>
      </x:c>
      <x:c r="F409" s="309" t="str">
        <x:v>СУЩЕСТВЕННО</x:v>
      </x:c>
      <x:c r="G409" s="285" t="str">
        <x:v>Основные причины расхождения df/du почти пропущены: открытые удалённые файлы, mount points, reserved blocks. Фрагментация/sparse files не являются хорошим основным ответом.</x:v>
      </x:c>
    </x:row>
    <x:row r="410">
      <x:c r="A410" s="308" t="str">
        <x:v>gemma4-12b-qat-uncensored-hauhaucs-balanced</x:v>
      </x:c>
      <x:c r="B410" s="309" t="str">
        <x:v>thinking</x:v>
      </x:c>
      <x:c r="C410" s="309" t="str">
        <x:v>PHP-1</x:v>
      </x:c>
      <x:c r="D410" s="309" t="str">
        <x:v>PHP 8.2+ — ПОНИМАНИЕ, БЕЗОПАСНОСТЬ И АРХИТЕКТУРА</x:v>
      </x:c>
      <x:c r="E410" s="403" t="n">
        <x:v>40</x:v>
      </x:c>
      <x:c r="F410" s="309" t="str">
        <x:v>СУЩЕСТВЕННО</x:v>
      </x:c>
      <x:c r="G410" s="285" t="str">
        <x:v>SQL-инъекция обнаружена, но исправленный код неработоспособен: `PDOStatement::execute()` возвращает bool, поэтому цепочка `-&gt;execute(...)-&gt;fetch()` неверна.</x:v>
      </x:c>
    </x:row>
    <x:row r="411">
      <x:c r="A411" s="308" t="str">
        <x:v>gemma4-12b-qat-uncensored-hauhaucs-balanced</x:v>
      </x:c>
      <x:c r="B411" s="309" t="str">
        <x:v>thinking</x:v>
      </x:c>
      <x:c r="C411" s="309" t="str">
        <x:v>PHP-7</x:v>
      </x:c>
      <x:c r="D411" s="309" t="str">
        <x:v>PHP 8.2+ — ПОНИМАНИЕ, БЕЗОПАСНОСТЬ И АРХИТЕКТУРА</x:v>
      </x:c>
      <x:c r="E411" s="403" t="n">
        <x:v>60</x:v>
      </x:c>
      <x:c r="F411" s="309" t="str">
        <x:v>ЧАСТИЧНО</x:v>
      </x:c>
      <x:c r="G411" s="285" t="str">
        <x:v>Набор проверок неполон: не разобраны хранение вне web-root/контролируемая выдача и ряд рисков повторной обработки.</x:v>
      </x:c>
    </x:row>
    <x:row r="412">
      <x:c r="A412" s="308" t="str">
        <x:v>gemma4-12b-qat-uncensored-hauhaucs-balanced</x:v>
      </x:c>
      <x:c r="B412" s="309" t="str">
        <x:v>thinking</x:v>
      </x:c>
      <x:c r="C412" s="309" t="str">
        <x:v>PHP-8</x:v>
      </x:c>
      <x:c r="D412" s="309" t="str">
        <x:v>PHP 8.2+ — ПОНИМАНИЕ, БЕЗОПАСНОСТЬ И АРХИТЕКТУРА</x:v>
      </x:c>
      <x:c r="E412" s="403" t="n">
        <x:v>20</x:v>
      </x:c>
      <x:c r="F412" s="309" t="str">
        <x:v>КРИТИЧЕСКАЯ ОШИБКА</x:v>
      </x:c>
      <x:c r="G412" s="285" t="str">
        <x:v>Дедупликация без учёта регистра сломана: `in_array($lower, $normalized)` сравнивает lower-case ключ с массивом исходных написаний.</x:v>
      </x:c>
    </x:row>
    <x:row r="413">
      <x:c r="A413" s="308" t="str">
        <x:v>gemma4-12b-qat-uncensored-hauhaucs-balanced</x:v>
      </x:c>
      <x:c r="B413" s="309" t="str">
        <x:v>thinking</x:v>
      </x:c>
      <x:c r="C413" s="309" t="str">
        <x:v>SCI-5</x:v>
      </x:c>
      <x:c r="D413" s="309" t="str">
        <x:v>НАУКА</x:v>
      </x:c>
      <x:c r="E413" s="403" t="n">
        <x:v>60</x:v>
      </x:c>
      <x:c r="F413" s="309" t="str">
        <x:v>ЧАСТИЧНО</x:v>
      </x:c>
      <x:c r="G413" s="285" t="str">
        <x:v>Верно указан популяционный характер эволюции, но фраза о передаче только «закреплённых в популяции» признаков биологически неточна.</x:v>
      </x:c>
    </x:row>
    <x:row r="414">
      <x:c r="A414" s="308" t="str">
        <x:v>gemma4-12b-qat-uncensored-hauhaucs-balanced</x:v>
      </x:c>
      <x:c r="B414" s="309" t="str">
        <x:v>thinking</x:v>
      </x:c>
      <x:c r="C414" s="309" t="str">
        <x:v>SEC-1</x:v>
      </x:c>
      <x:c r="D414" s="309" t="str">
        <x:v>БЕЗОПАСНОСТЬ</x:v>
      </x:c>
      <x:c r="E414" s="403" t="n">
        <x:v>40</x:v>
      </x:c>
      <x:c r="F414" s="309" t="str">
        <x:v>СУЩЕСТВЕННО</x:v>
      </x:c>
      <x:c r="G414" s="285" t="str">
        <x:v>Аудит неполон и местами неверно классифицирован: `$file` не участвует в SQL; `basename()` недостаточен для надёжной авторизации/изоляции файлов.</x:v>
      </x:c>
    </x:row>
    <x:row r="415">
      <x:c r="A415" s="308" t="str">
        <x:v>gemma4-12b-qat-uncensored-hauhaucs-balanced</x:v>
      </x:c>
      <x:c r="B415" s="309" t="str">
        <x:v>thinking</x:v>
      </x:c>
      <x:c r="C415" s="309" t="str">
        <x:v>SEC-4</x:v>
      </x:c>
      <x:c r="D415" s="309" t="str">
        <x:v>БЕЗОПАСНОСТЬ</x:v>
      </x:c>
      <x:c r="E415" s="403" t="n">
        <x:v>60</x:v>
      </x:c>
      <x:c r="F415" s="309" t="str">
        <x:v>ЧАСТИЧНО</x:v>
      </x:c>
      <x:c r="G415" s="285" t="str">
        <x:v>Основная идея SSRF верна, но защита слишком узкая: не разобраны private/link-local IP, DNS rebinding, redirects и повторная проверка адреса.</x:v>
      </x:c>
    </x:row>
    <x:row r="416">
      <x:c r="A416" s="308" t="str">
        <x:v>gemma4-12b-qat-uncensored-hauhaucs-balanced</x:v>
      </x:c>
      <x:c r="B416" s="309" t="str">
        <x:v>thinking</x:v>
      </x:c>
      <x:c r="C416" s="309" t="str">
        <x:v>SEC-5</x:v>
      </x:c>
      <x:c r="D416" s="309" t="str">
        <x:v>БЕЗОПАСНОСТЬ</x:v>
      </x:c>
      <x:c r="E416" s="403" t="n">
        <x:v>60</x:v>
      </x:c>
      <x:c r="F416" s="309" t="str">
        <x:v>ЧАСТИЧНО</x:v>
      </x:c>
      <x:c r="G416" s="285" t="str">
        <x:v>Перечень типовых JWT-ошибок неполон; «слишком большой размер» не является ключевой типовой ошибкой, пропущены issuer/audience/algorithm/storage/revocation детали.</x:v>
      </x:c>
    </x:row>
    <x:row r="417">
      <x:c r="A417" s="308" t="str">
        <x:v>gemma4-12b-qat-uncensored-hauhaucs-balanced</x:v>
      </x:c>
      <x:c r="B417" s="309" t="str">
        <x:v>thinking</x:v>
      </x:c>
      <x:c r="C417" s="309" t="str">
        <x:v>SH-2</x:v>
      </x:c>
      <x:c r="D417" s="309" t="str">
        <x:v>BASH, ZSH И macOS TERMINAL</x:v>
      </x:c>
      <x:c r="E417" s="403" t="n">
        <x:v>20</x:v>
      </x:c>
      <x:c r="F417" s="309" t="str">
        <x:v>КРИТИЧЕСКАЯ ОШИБКА</x:v>
      </x:c>
      <x:c r="G417" s="285" t="str">
        <x:v>`find ... -print | wc -l` ломается на именах файлов с переводами строк и не выполняет заявленное требование безопасного подсчёта.</x:v>
      </x:c>
    </x:row>
    <x:row r="418">
      <x:c r="A418" s="308" t="str">
        <x:v>gemma4-12b-qat-uncensored-hauhaucs-balanced</x:v>
      </x:c>
      <x:c r="B418" s="309" t="str">
        <x:v>thinking</x:v>
      </x:c>
      <x:c r="C418" s="309" t="str">
        <x:v>SH-6</x:v>
      </x:c>
      <x:c r="D418" s="309" t="str">
        <x:v>BASH, ZSH И macOS TERMINAL</x:v>
      </x:c>
      <x:c r="E418" s="403" t="n">
        <x:v>60</x:v>
      </x:c>
      <x:c r="F418" s="309" t="str">
        <x:v>ЧАСТИЧНО</x:v>
      </x:c>
      <x:c r="G418" s="285" t="str">
        <x:v>`uname -a` показывает ядро Darwin, а не нормальную версию macOS; нужен `sw_vers`.</x:v>
      </x:c>
    </x:row>
    <x:row r="419">
      <x:c r="A419" s="308" t="str">
        <x:v>gemma4-12b-qat-uncensored-hauhaucs-balanced</x:v>
      </x:c>
      <x:c r="B419" s="309" t="str">
        <x:v>thinking</x:v>
      </x:c>
      <x:c r="C419" s="309" t="str">
        <x:v>SH-7</x:v>
      </x:c>
      <x:c r="D419" s="309" t="str">
        <x:v>BASH, ZSH И macOS TERMINAL</x:v>
      </x:c>
      <x:c r="E419" s="403" t="n">
        <x:v>60</x:v>
      </x:c>
      <x:c r="F419" s="309" t="str">
        <x:v>ЧАСТИЧНО</x:v>
      </x:c>
      <x:c r="G419" s="285" t="str">
        <x:v>Не дан требуемый Bash-фрагмент `set -euo pipefail`; приведено только частичное объяснение флагов.</x:v>
      </x:c>
    </x:row>
    <x:row r="420">
      <x:c r="A420" s="308" t="str">
        <x:v>gemma4-12b-qat-uncensored-hauhaucs-balanced</x:v>
      </x:c>
      <x:c r="B420" s="309" t="str">
        <x:v>thinking</x:v>
      </x:c>
      <x:c r="C420" s="309" t="str">
        <x:v>SYS-1</x:v>
      </x:c>
      <x:c r="D420" s="309" t="str">
        <x:v>ПРОЕКТИРОВАНИЕ НЕБОЛЬШОЙ СИСТЕМЫ</x:v>
      </x:c>
      <x:c r="E420" s="403" t="n">
        <x:v>40</x:v>
      </x:c>
      <x:c r="F420" s="309" t="str">
        <x:v>СУЩЕСТВЕННО</x:v>
      </x:c>
      <x:c r="G420" s="285" t="str">
        <x:v>Системный дизайн пропускает 25 MiB, X-Tenant-Id, заданный Idempotency-Key, гарантированную доставку события/outbox и требование не хранить секреты в Git.</x:v>
      </x:c>
    </x:row>
    <x:row r="421">
      <x:c r="A421" s="308" t="str">
        <x:v>gemma4-12b-qat-uncensored-hauhaucs-balanced</x:v>
      </x:c>
      <x:c r="B421" s="309" t="str">
        <x:v>thinking</x:v>
      </x:c>
      <x:c r="C421" s="309" t="str">
        <x:v>WIN-3</x:v>
      </x:c>
      <x:c r="D421" s="309" t="str">
        <x:v>WINDOWS CMD И POWERSHELL</x:v>
      </x:c>
      <x:c r="E421" s="403" t="n">
        <x:v>60</x:v>
      </x:c>
      <x:c r="F421" s="309" t="str">
        <x:v>ЧАСТИЧНО</x:v>
      </x:c>
      <x:c r="G421" s="285" t="str">
        <x:v>Команда не рекурсивна: отсутствует `-Recurse`.</x:v>
      </x:c>
    </x:row>
    <x:row r="422">
      <x:c r="A422" s="308" t="str">
        <x:v>gemma-4-e4b-hauhaucs-aggressive</x:v>
      </x:c>
      <x:c r="B422" s="309" t="str">
        <x:v>thinking</x:v>
      </x:c>
      <x:c r="C422" s="309" t="str">
        <x:v>CRIT-1</x:v>
      </x:c>
      <x:c r="D422" s="309" t="str">
        <x:v>КРИТИЧЕСКОЕ МЫШЛЕНИЕ И ГАЛЛЮЦИНАЦИИ</x:v>
      </x:c>
      <x:c r="E422" s="403" t="n">
        <x:v>40</x:v>
      </x:c>
      <x:c r="F422" s="309" t="str">
        <x:v>СУЩЕСТВЕННО</x:v>
      </x:c>
      <x:c r="G422" s="285" t="str">
        <x:v>queryAsync() отвергнут, но затем галлюцинируется встроенный async/await/Promise-подход PHP как стандартная возможность.</x:v>
      </x:c>
    </x:row>
    <x:row r="423">
      <x:c r="A423" s="308" t="str">
        <x:v>gemma-4-e4b-hauhaucs-aggressive</x:v>
      </x:c>
      <x:c r="B423" s="309" t="str">
        <x:v>thinking</x:v>
      </x:c>
      <x:c r="C423" s="309" t="str">
        <x:v>CRIT-2</x:v>
      </x:c>
      <x:c r="D423" s="309" t="str">
        <x:v>КРИТИЧЕСКОЕ МЫШЛЕНИЕ И ГАЛЛЮЦИНАЦИИ</x:v>
      </x:c>
      <x:c r="E423" s="403" t="n">
        <x:v>0</x:v>
      </x:c>
      <x:c r="F423" s="309" t="str">
        <x:v>КРИТИЧЕСКАЯ ОШИБКА</x:v>
      </x:c>
      <x:c r="G423" s="285" t="str">
        <x:v>Серьёзная галлюцинация: systemctl --rollback представлен как реальная команда/механизм истории откатов systemd.</x:v>
      </x:c>
    </x:row>
    <x:row r="424">
      <x:c r="A424" s="308" t="str">
        <x:v>gemma-4-e4b-hauhaucs-aggressive</x:v>
      </x:c>
      <x:c r="B424" s="309" t="str">
        <x:v>thinking</x:v>
      </x:c>
      <x:c r="C424" s="309" t="str">
        <x:v>CRIT-3</x:v>
      </x:c>
      <x:c r="D424" s="309" t="str">
        <x:v>КРИТИЧЕСКОЕ МЫШЛЕНИЕ И ГАЛЛЮЦИНАЦИИ</x:v>
      </x:c>
      <x:c r="E424" s="403" t="n">
        <x:v>0</x:v>
      </x:c>
      <x:c r="F424" s="309" t="str">
        <x:v>КРИТИЧЕСКАЯ ОШИБКА</x:v>
      </x:c>
      <x:c r="G424" s="285" t="str">
        <x:v>Серьёзная галлюцинация: Array.prototype.parallelMap() объявлен Stage 3/широко поддерживаемым.</x:v>
      </x:c>
    </x:row>
    <x:row r="425">
      <x:c r="A425" s="308" t="str">
        <x:v>gemma-4-e4b-hauhaucs-aggressive</x:v>
      </x:c>
      <x:c r="B425" s="309" t="str">
        <x:v>thinking</x:v>
      </x:c>
      <x:c r="C425" s="309" t="str">
        <x:v>CRIT-4</x:v>
      </x:c>
      <x:c r="D425" s="309" t="str">
        <x:v>КРИТИЧЕСКОЕ МЫШЛЕНИЕ И ГАЛЛЮЦИНАЦИИ</x:v>
      </x:c>
      <x:c r="E425" s="403" t="n">
        <x:v>40</x:v>
      </x:c>
      <x:c r="F425" s="309" t="str">
        <x:v>СУЩЕСТВЕННО</x:v>
      </x:c>
      <x:c r="G425" s="285" t="str">
        <x:v>Вывод «не все» верный, но сказано, что mtDNA кодирует большинство митохондриальных белков — это неверно.</x:v>
      </x:c>
    </x:row>
    <x:row r="426">
      <x:c r="A426" s="308" t="str">
        <x:v>gemma-4-e4b-hauhaucs-aggressive</x:v>
      </x:c>
      <x:c r="B426" s="309" t="str">
        <x:v>thinking</x:v>
      </x:c>
      <x:c r="C426" s="309" t="str">
        <x:v>CRIT-5</x:v>
      </x:c>
      <x:c r="D426" s="309" t="str">
        <x:v>КРИТИЧЕСКОЕ МЫШЛЕНИЕ И ГАЛЛЮЦИНАЦИИ</x:v>
      </x:c>
      <x:c r="E426" s="403" t="n">
        <x:v>20</x:v>
      </x:c>
      <x:c r="F426" s="309" t="str">
        <x:v>КРИТИЧЕСКАЯ ОШИБКА</x:v>
      </x:c>
      <x:c r="G426" s="285" t="str">
        <x:v>Модель пишет «не знаю», но не распознаёт, что Нобелевской премии по математике не существует.</x:v>
      </x:c>
    </x:row>
    <x:row r="427">
      <x:c r="A427" s="308" t="str">
        <x:v>gemma-4-e4b-hauhaucs-aggressive</x:v>
      </x:c>
      <x:c r="B427" s="309" t="str">
        <x:v>thinking</x:v>
      </x:c>
      <x:c r="C427" s="309" t="str">
        <x:v>CS-8</x:v>
      </x:c>
      <x:c r="D427" s="309" t="str">
        <x:v>C# — ПОНИМАНИЕ, ОТЛАДКА И НАПИСАНИЕ</x:v>
      </x:c>
      <x:c r="E427" s="403" t="n">
        <x:v>60</x:v>
      </x:c>
      <x:c r="F427" s="309" t="str">
        <x:v>ЧАСТИЧНО</x:v>
      </x:c>
      <x:c r="G427" s="285" t="str">
        <x:v>Асинхронное чтение есть, но Cancellation трактуется как null/перехватывается, а проверка ошибок чрезмерно сложна.</x:v>
      </x:c>
    </x:row>
    <x:row r="428">
      <x:c r="A428" s="308" t="str">
        <x:v>gemma-4-e4b-hauhaucs-aggressive</x:v>
      </x:c>
      <x:c r="B428" s="309" t="str">
        <x:v>thinking</x:v>
      </x:c>
      <x:c r="C428" s="309" t="str">
        <x:v>DATA-1</x:v>
      </x:c>
      <x:c r="D428" s="309" t="str">
        <x:v>СТРУКТУРИРОВАННЫЕ ДАННЫЕ</x:v>
      </x:c>
      <x:c r="E428" s="403" t="n">
        <x:v>60</x:v>
      </x:c>
      <x:c r="F428" s="309" t="str">
        <x:v>ЧАСТИЧНО</x:v>
      </x:c>
      <x:c r="G428" s="285" t="str">
        <x:v>Значения JSON в целом корректны, но строгая локальная инструкция «только валидный JSON для этого задания» нарушена обрамлением/дополнительным Markdown.</x:v>
      </x:c>
    </x:row>
    <x:row r="429">
      <x:c r="A429" s="308" t="str">
        <x:v>gemma-4-e4b-hauhaucs-aggressive</x:v>
      </x:c>
      <x:c r="B429" s="309" t="str">
        <x:v>thinking</x:v>
      </x:c>
      <x:c r="C429" s="309" t="str">
        <x:v>DB-5</x:v>
      </x:c>
      <x:c r="D429" s="309" t="str">
        <x:v>SQL И БАЗЫ ДАННЫХ</x:v>
      </x:c>
      <x:c r="E429" s="403" t="n">
        <x:v>60</x:v>
      </x:c>
      <x:c r="F429" s="309" t="str">
        <x:v>ЧАСТИЧНО</x:v>
      </x:c>
      <x:c r="G429" s="285" t="str">
        <x:v>Механизм UPSERT верный, но в примере прибавляется фиксированная 1 вместо переданного значения.</x:v>
      </x:c>
    </x:row>
    <x:row r="430">
      <x:c r="A430" s="308" t="str">
        <x:v>gemma-4-e4b-hauhaucs-aggressive</x:v>
      </x:c>
      <x:c r="B430" s="309" t="str">
        <x:v>thinking</x:v>
      </x:c>
      <x:c r="C430" s="309" t="str">
        <x:v>INST-1</x:v>
      </x:c>
      <x:c r="D430" s="309" t="str">
        <x:v>ФИНАЛЬНАЯ ПРОВЕРКА СЛЕДОВАНИЯ ИНСТРУКЦИЯМ</x:v>
      </x:c>
      <x:c r="E430" s="403" t="n">
        <x:v>40</x:v>
      </x:c>
      <x:c r="F430" s="309" t="str">
        <x:v>СУЩЕСТВЕННО</x:v>
      </x:c>
      <x:c r="G430" s="285" t="str">
        <x:v>Часть примеров не относится к главным антигаллюцинационным ловушкам.</x:v>
      </x:c>
    </x:row>
    <x:row r="431">
      <x:c r="A431" s="308" t="str">
        <x:v>gemma-4-e4b-hauhaucs-aggressive</x:v>
      </x:c>
      <x:c r="B431" s="309" t="str">
        <x:v>thinking</x:v>
      </x:c>
      <x:c r="C431" s="309" t="str">
        <x:v>JS-1</x:v>
      </x:c>
      <x:c r="D431" s="309" t="str">
        <x:v>JAVASCRIPT</x:v>
      </x:c>
      <x:c r="E431" s="403" t="n">
        <x:v>60</x:v>
      </x:c>
      <x:c r="F431" s="309" t="str">
        <x:v>ЧАСТИЧНО</x:v>
      </x:c>
      <x:c r="G431" s="285" t="str">
        <x:v>Частично корректно: решение применимо по основной идее, но содержит заметные неточности/пробелы.</x:v>
      </x:c>
    </x:row>
    <x:row r="432">
      <x:c r="A432" s="308" t="str">
        <x:v>gemma-4-e4b-hauhaucs-aggressive</x:v>
      </x:c>
      <x:c r="B432" s="309" t="str">
        <x:v>thinking</x:v>
      </x:c>
      <x:c r="C432" s="309" t="str">
        <x:v>JS-2</x:v>
      </x:c>
      <x:c r="D432" s="309" t="str">
        <x:v>JAVASCRIPT</x:v>
      </x:c>
      <x:c r="E432" s="403" t="n">
        <x:v>40</x:v>
      </x:c>
      <x:c r="F432" s="309" t="str">
        <x:v>СУЩЕСТВЕННО</x:v>
      </x:c>
      <x:c r="G432" s="285" t="str">
        <x:v>AbortController реализован так, что следующий вызов не отменяет предыдущий; version-вариант тоже описан ненадёжно.</x:v>
      </x:c>
    </x:row>
    <x:row r="433">
      <x:c r="A433" s="308" t="str">
        <x:v>gemma-4-e4b-hauhaucs-aggressive</x:v>
      </x:c>
      <x:c r="B433" s="309" t="str">
        <x:v>thinking</x:v>
      </x:c>
      <x:c r="C433" s="309" t="str">
        <x:v>JS-3</x:v>
      </x:c>
      <x:c r="D433" s="309" t="str">
        <x:v>JAVASCRIPT</x:v>
      </x:c>
      <x:c r="E433" s="403" t="n">
        <x:v>60</x:v>
      </x:c>
      <x:c r="F433" s="309" t="str">
        <x:v>ЧАСТИЧНО</x:v>
      </x:c>
      <x:c r="G433" s="285" t="str">
        <x:v>Частично корректно: решение применимо по основной идее, но содержит заметные неточности/пробелы.</x:v>
      </x:c>
    </x:row>
    <x:row r="434">
      <x:c r="A434" s="308" t="str">
        <x:v>gemma-4-e4b-hauhaucs-aggressive</x:v>
      </x:c>
      <x:c r="B434" s="309" t="str">
        <x:v>thinking</x:v>
      </x:c>
      <x:c r="C434" s="309" t="str">
        <x:v>JS-4</x:v>
      </x:c>
      <x:c r="D434" s="309" t="str">
        <x:v>JAVASCRIPT</x:v>
      </x:c>
      <x:c r="E434" s="403" t="n">
        <x:v>40</x:v>
      </x:c>
      <x:c r="F434" s="309" t="str">
        <x:v>СУЩЕСТВЕННО</x:v>
      </x:c>
      <x:c r="G434" s="285" t="str">
        <x:v>Объяснение частично знает про финальное значение, но заявленный вывод противоречит этому и указан неверно.</x:v>
      </x:c>
    </x:row>
    <x:row r="435">
      <x:c r="A435" s="308" t="str">
        <x:v>gemma-4-e4b-hauhaucs-aggressive</x:v>
      </x:c>
      <x:c r="B435" s="309" t="str">
        <x:v>thinking</x:v>
      </x:c>
      <x:c r="C435" s="309" t="str">
        <x:v>JS-5</x:v>
      </x:c>
      <x:c r="D435" s="309" t="str">
        <x:v>JAVASCRIPT</x:v>
      </x:c>
      <x:c r="E435" s="403" t="n">
        <x:v>20</x:v>
      </x:c>
      <x:c r="F435" s="309" t="str">
        <x:v>КРИТИЧЕСКАЯ ОШИБКА</x:v>
      </x:c>
      <x:c r="G435" s="285" t="str">
        <x:v>Promise.race лишь отклоняет ожидание, но не отменяет fetch; таймер/JSON-обработка реализованы неверно.</x:v>
      </x:c>
    </x:row>
    <x:row r="436">
      <x:c r="A436" s="308" t="str">
        <x:v>gemma-4-e4b-hauhaucs-aggressive</x:v>
      </x:c>
      <x:c r="B436" s="309" t="str">
        <x:v>thinking</x:v>
      </x:c>
      <x:c r="C436" s="309" t="str">
        <x:v>JS-6</x:v>
      </x:c>
      <x:c r="D436" s="309" t="str">
        <x:v>JAVASCRIPT</x:v>
      </x:c>
      <x:c r="E436" s="403" t="n">
        <x:v>60</x:v>
      </x:c>
      <x:c r="F436" s="309" t="str">
        <x:v>ЧАСТИЧНО</x:v>
      </x:c>
      <x:c r="G436" s="285" t="str">
        <x:v>Частично корректно: решение применимо по основной идее, но содержит заметные неточности/пробелы.</x:v>
      </x:c>
    </x:row>
    <x:row r="437">
      <x:c r="A437" s="308" t="str">
        <x:v>gemma-4-e4b-hauhaucs-aggressive</x:v>
      </x:c>
      <x:c r="B437" s="309" t="str">
        <x:v>thinking</x:v>
      </x:c>
      <x:c r="C437" s="309" t="str">
        <x:v>JS-7</x:v>
      </x:c>
      <x:c r="D437" s="309" t="str">
        <x:v>JAVASCRIPT</x:v>
      </x:c>
      <x:c r="E437" s="403" t="n">
        <x:v>60</x:v>
      </x:c>
      <x:c r="F437" s="309" t="str">
        <x:v>ЧАСТИЧНО</x:v>
      </x:c>
      <x:c r="G437" s="285" t="str">
        <x:v>Частично корректно: решение применимо по основной идее, но содержит заметные неточности/пробелы.</x:v>
      </x:c>
    </x:row>
    <x:row r="438">
      <x:c r="A438" s="308" t="str">
        <x:v>gemma-4-e4b-hauhaucs-aggressive</x:v>
      </x:c>
      <x:c r="B438" s="309" t="str">
        <x:v>thinking</x:v>
      </x:c>
      <x:c r="C438" s="309" t="str">
        <x:v>LANG-3</x:v>
      </x:c>
      <x:c r="D438" s="309" t="str">
        <x:v>МНОГОЯЗЫЧНОСТЬ</x:v>
      </x:c>
      <x:c r="E438" s="403" t="n">
        <x:v>60</x:v>
      </x:c>
      <x:c r="F438" s="309" t="str">
        <x:v>ЧАСТИЧНО</x:v>
      </x:c>
      <x:c r="G438" s="285" t="str">
        <x:v>Армянский перевод в целом понятен, но фраза сформулирована неестественно.</x:v>
      </x:c>
    </x:row>
    <x:row r="439">
      <x:c r="A439" s="308" t="str">
        <x:v>gemma-4-e4b-hauhaucs-aggressive</x:v>
      </x:c>
      <x:c r="B439" s="309" t="str">
        <x:v>thinking</x:v>
      </x:c>
      <x:c r="C439" s="309" t="str">
        <x:v>MED-8</x:v>
      </x:c>
      <x:c r="D439" s="309" t="str">
        <x:v>МЕДИЦИНСКИЕ ЗНАНИЯ</x:v>
      </x:c>
      <x:c r="E439" s="403" t="n">
        <x:v>60</x:v>
      </x:c>
      <x:c r="F439" s="309" t="str">
        <x:v>ЧАСТИЧНО</x:v>
      </x:c>
      <x:c r="G439" s="285" t="str">
        <x:v>Общий приоритет оценки сознания/дыхания указан, но недостаточно чётко сформулированы немедленный вызов экстренной помощи/AED и СЛР при отсутствии нормального дыхания.</x:v>
      </x:c>
    </x:row>
    <x:row r="440">
      <x:c r="A440" s="308" t="str">
        <x:v>gemma-4-e4b-hauhaucs-aggressive</x:v>
      </x:c>
      <x:c r="B440" s="309" t="str">
        <x:v>thinking</x:v>
      </x:c>
      <x:c r="C440" s="309" t="str">
        <x:v>OPS-2</x:v>
      </x:c>
      <x:c r="D440" s="309" t="str">
        <x:v>LINUX, SYSTEMD И NGINX</x:v>
      </x:c>
      <x:c r="E440" s="403" t="n">
        <x:v>60</x:v>
      </x:c>
      <x:c r="F440" s="309" t="str">
        <x:v>ЧАСТИЧНО</x:v>
      </x:c>
      <x:c r="G440" s="285" t="str">
        <x:v>Упомянуты inode/файловые системы, но главный сценарий deleted-but-open не выделен.</x:v>
      </x:c>
    </x:row>
    <x:row r="441">
      <x:c r="A441" s="308" t="str">
        <x:v>gemma-4-e4b-hauhaucs-aggressive</x:v>
      </x:c>
      <x:c r="B441" s="309" t="str">
        <x:v>thinking</x:v>
      </x:c>
      <x:c r="C441" s="309" t="str">
        <x:v>OPS-5</x:v>
      </x:c>
      <x:c r="D441" s="309" t="str">
        <x:v>LINUX, SYSTEMD И NGINX</x:v>
      </x:c>
      <x:c r="E441" s="403" t="n">
        <x:v>60</x:v>
      </x:c>
      <x:c r="F441" s="309" t="str">
        <x:v>ЧАСТИЧНО</x:v>
      </x:c>
      <x:c r="G441" s="285" t="str">
        <x:v>Нужные forwarded-заголовки названы, но правило доверия цепочке X-Forwarded-For описано упрощённо/частично неверно.</x:v>
      </x:c>
    </x:row>
    <x:row r="442">
      <x:c r="A442" s="308" t="str">
        <x:v>gemma-4-e4b-hauhaucs-aggressive</x:v>
      </x:c>
      <x:c r="B442" s="309" t="str">
        <x:v>thinking</x:v>
      </x:c>
      <x:c r="C442" s="309" t="str">
        <x:v>PHP-4</x:v>
      </x:c>
      <x:c r="D442" s="309" t="str">
        <x:v>PHP 8.2+ — ПОНИМАНИЕ, БЕЗОПАСНОСТЬ И АРХИТЕКТУРА</x:v>
      </x:c>
      <x:c r="E442" s="403" t="n">
        <x:v>60</x:v>
      </x:c>
      <x:c r="F442" s="309" t="str">
        <x:v>ЧАСТИЧНО</x:v>
      </x:c>
      <x:c r="G442" s="285" t="str">
        <x:v>Строгое сравнение типов важно, но для секретного токена стоило явно использовать timing-safe `hash_equals()`; часть ответа недостаточно точна.</x:v>
      </x:c>
    </x:row>
    <x:row r="443">
      <x:c r="A443" s="308" t="str">
        <x:v>gemma-4-e4b-hauhaucs-aggressive</x:v>
      </x:c>
      <x:c r="B443" s="309" t="str">
        <x:v>thinking</x:v>
      </x:c>
      <x:c r="C443" s="309" t="str">
        <x:v>PHP-7</x:v>
      </x:c>
      <x:c r="D443" s="309" t="str">
        <x:v>PHP 8.2+ — ПОНИМАНИЕ, БЕЗОПАСНОСТЬ И АРХИТЕКТУРА</x:v>
      </x:c>
      <x:c r="E443" s="403" t="n">
        <x:v>60</x:v>
      </x:c>
      <x:c r="F443" s="309" t="str">
        <x:v>ЧАСТИЧНО</x:v>
      </x:c>
      <x:c r="G443" s="285" t="str">
        <x:v>Есть полезные меры, но доверие клиентскому типу и формулировка про публичную доступность/обработку изображения недостаточно безопасны.</x:v>
      </x:c>
    </x:row>
    <x:row r="444">
      <x:c r="A444" s="308" t="str">
        <x:v>gemma-4-e4b-hauhaucs-aggressive</x:v>
      </x:c>
      <x:c r="B444" s="309" t="str">
        <x:v>thinking</x:v>
      </x:c>
      <x:c r="C444" s="309" t="str">
        <x:v>PHP-8</x:v>
      </x:c>
      <x:c r="D444" s="309" t="str">
        <x:v>PHP 8.2+ — ПОНИМАНИЕ, БЕЗОПАСНОСТЬ И АРХИТЕКТУРА</x:v>
      </x:c>
      <x:c r="E444" s="403" t="n">
        <x:v>40</x:v>
      </x:c>
      <x:c r="F444" s="309" t="str">
        <x:v>СУЩЕСТВЕННО</x:v>
      </x:c>
      <x:c r="G444" s="285" t="str">
        <x:v>mb_strtolower выбран верно, но array_map('trim', $tags) выполняется до фильтрации строк и ломается на произвольных значениях.</x:v>
      </x:c>
    </x:row>
    <x:row r="445">
      <x:c r="A445" s="308" t="str">
        <x:v>gemma-4-e4b-hauhaucs-aggressive</x:v>
      </x:c>
      <x:c r="B445" s="309" t="str">
        <x:v>thinking</x:v>
      </x:c>
      <x:c r="C445" s="309" t="str">
        <x:v>SCI-2</x:v>
      </x:c>
      <x:c r="D445" s="309" t="str">
        <x:v>НАУКА</x:v>
      </x:c>
      <x:c r="E445" s="403" t="n">
        <x:v>0</x:v>
      </x:c>
      <x:c r="F445" s="309" t="str">
        <x:v>КРИТИЧЕСКАЯ ОШИБКА</x:v>
      </x:c>
      <x:c r="G445" s="285" t="str">
        <x:v>Циклическая машина, превращающая всё тепло одного резервуара в работу без иных изменений, невозможна по формулировке Кельвина—Планка второго закона; ответ утверждает/допускает обратное.</x:v>
      </x:c>
    </x:row>
    <x:row r="446">
      <x:c r="A446" s="308" t="str">
        <x:v>gemma-4-e4b-hauhaucs-aggressive</x:v>
      </x:c>
      <x:c r="B446" s="309" t="str">
        <x:v>thinking</x:v>
      </x:c>
      <x:c r="C446" s="309" t="str">
        <x:v>SEC-1</x:v>
      </x:c>
      <x:c r="D446" s="309" t="str">
        <x:v>БЕЗОПАСНОСТЬ</x:v>
      </x:c>
      <x:c r="E446" s="403" t="n">
        <x:v>60</x:v>
      </x:c>
      <x:c r="F446" s="309" t="str">
        <x:v>ЧАСТИЧНО</x:v>
      </x:c>
      <x:c r="G446" s="285" t="str">
        <x:v>SQL injection/path traversal отмечены, но объектная авторизация/принадлежность файла раскрыты недостаточно.</x:v>
      </x:c>
    </x:row>
    <x:row r="447">
      <x:c r="A447" s="308" t="str">
        <x:v>gemma-4-e4b-hauhaucs-aggressive</x:v>
      </x:c>
      <x:c r="B447" s="309" t="str">
        <x:v>thinking</x:v>
      </x:c>
      <x:c r="C447" s="309" t="str">
        <x:v>SH-1</x:v>
      </x:c>
      <x:c r="D447" s="309" t="str">
        <x:v>BASH, ZSH И macOS TERMINAL</x:v>
      </x:c>
      <x:c r="E447" s="403" t="n">
        <x:v>60</x:v>
      </x:c>
      <x:c r="F447" s="309" t="str">
        <x:v>ЧАСТИЧНО</x:v>
      </x:c>
      <x:c r="G447" s="285" t="str">
        <x:v>Частично корректно: решение применимо по основной идее, но содержит заметные неточности/пробелы.</x:v>
      </x:c>
    </x:row>
    <x:row r="448">
      <x:c r="A448" s="308" t="str">
        <x:v>gemma-4-e4b-hauhaucs-aggressive</x:v>
      </x:c>
      <x:c r="B448" s="309" t="str">
        <x:v>thinking</x:v>
      </x:c>
      <x:c r="C448" s="309" t="str">
        <x:v>SH-2</x:v>
      </x:c>
      <x:c r="D448" s="309" t="str">
        <x:v>BASH, ZSH И macOS TERMINAL</x:v>
      </x:c>
      <x:c r="E448" s="403" t="n">
        <x:v>20</x:v>
      </x:c>
      <x:c r="F448" s="309" t="str">
        <x:v>КРИТИЧЕСКАЯ ОШИБКА</x:v>
      </x:c>
      <x:c r="G448" s="285" t="str">
        <x:v>`find ... | wc -l` ломает подсчёт на именах с переводами строк.</x:v>
      </x:c>
    </x:row>
    <x:row r="449">
      <x:c r="A449" s="308" t="str">
        <x:v>gemma-4-e4b-hauhaucs-aggressive</x:v>
      </x:c>
      <x:c r="B449" s="309" t="str">
        <x:v>thinking</x:v>
      </x:c>
      <x:c r="C449" s="309" t="str">
        <x:v>SH-3</x:v>
      </x:c>
      <x:c r="D449" s="309" t="str">
        <x:v>BASH, ZSH И macOS TERMINAL</x:v>
      </x:c>
      <x:c r="E449" s="403" t="n">
        <x:v>20</x:v>
      </x:c>
      <x:c r="F449" s="309" t="str">
        <x:v>КРИТИЧЕСКАЯ ОШИБКА</x:v>
      </x:c>
      <x:c r="G449" s="285" t="str">
        <x:v>Есть важные предостережения, но добавлены неверные утверждения о следовании symlink и shell-инъекции через `;` после обычного expansion.</x:v>
      </x:c>
    </x:row>
    <x:row r="450">
      <x:c r="A450" s="308" t="str">
        <x:v>gemma-4-e4b-hauhaucs-aggressive</x:v>
      </x:c>
      <x:c r="B450" s="309" t="str">
        <x:v>thinking</x:v>
      </x:c>
      <x:c r="C450" s="309" t="str">
        <x:v>SH-4</x:v>
      </x:c>
      <x:c r="D450" s="309" t="str">
        <x:v>BASH, ZSH И macOS TERMINAL</x:v>
      </x:c>
      <x:c r="E450" s="403" t="n">
        <x:v>60</x:v>
      </x:c>
      <x:c r="F450" s="309" t="str">
        <x:v>ЧАСТИЧНО</x:v>
      </x:c>
      <x:c r="G450" s="285" t="str">
        <x:v>Частично корректно: решение применимо по основной идее, но содержит заметные неточности/пробелы.</x:v>
      </x:c>
    </x:row>
    <x:row r="451">
      <x:c r="A451" s="308" t="str">
        <x:v>gemma-4-e4b-hauhaucs-aggressive</x:v>
      </x:c>
      <x:c r="B451" s="309" t="str">
        <x:v>thinking</x:v>
      </x:c>
      <x:c r="C451" s="309" t="str">
        <x:v>SH-5</x:v>
      </x:c>
      <x:c r="D451" s="309" t="str">
        <x:v>BASH, ZSH И macOS TERMINAL</x:v>
      </x:c>
      <x:c r="E451" s="403" t="n">
        <x:v>40</x:v>
      </x:c>
      <x:c r="F451" s="309" t="str">
        <x:v>СУЩЕСТВЕННО</x:v>
      </x:c>
      <x:c r="G451" s="285" t="str">
        <x:v>`.zprofile` ошибочно описан как общий файл интерактивной оболочки; он относится прежде всего к login shell.</x:v>
      </x:c>
    </x:row>
    <x:row r="452">
      <x:c r="A452" s="308" t="str">
        <x:v>gemma-4-e4b-hauhaucs-aggressive</x:v>
      </x:c>
      <x:c r="B452" s="309" t="str">
        <x:v>thinking</x:v>
      </x:c>
      <x:c r="C452" s="309" t="str">
        <x:v>SH-6</x:v>
      </x:c>
      <x:c r="D452" s="309" t="str">
        <x:v>BASH, ZSH И macOS TERMINAL</x:v>
      </x:c>
      <x:c r="E452" s="403" t="n">
        <x:v>60</x:v>
      </x:c>
      <x:c r="F452" s="309" t="str">
        <x:v>ЧАСТИЧНО</x:v>
      </x:c>
      <x:c r="G452" s="285" t="str">
        <x:v>Частично корректно: решение применимо по основной идее, но содержит заметные неточности/пробелы.</x:v>
      </x:c>
    </x:row>
    <x:row r="453">
      <x:c r="A453" s="308" t="str">
        <x:v>gemma-4-e4b-hauhaucs-aggressive</x:v>
      </x:c>
      <x:c r="B453" s="309" t="str">
        <x:v>thinking</x:v>
      </x:c>
      <x:c r="C453" s="309" t="str">
        <x:v>SH-7</x:v>
      </x:c>
      <x:c r="D453" s="309" t="str">
        <x:v>BASH, ZSH И macOS TERMINAL</x:v>
      </x:c>
      <x:c r="E453" s="403" t="n">
        <x:v>40</x:v>
      </x:c>
      <x:c r="F453" s="309" t="str">
        <x:v>СУЩЕСТВЕННО</x:v>
      </x:c>
      <x:c r="G453" s="285" t="str">
        <x:v>Значения `set -euo pipefail` в основном названы, но пример поведения `grep` при `-e` противоречит собственному объяснению.</x:v>
      </x:c>
    </x:row>
    <x:row r="454">
      <x:c r="A454" s="308" t="str">
        <x:v>gemma-4-e4b-hauhaucs-aggressive</x:v>
      </x:c>
      <x:c r="B454" s="309" t="str">
        <x:v>thinking</x:v>
      </x:c>
      <x:c r="C454" s="309" t="str">
        <x:v>SYS-1</x:v>
      </x:c>
      <x:c r="D454" s="309" t="str">
        <x:v>ПРОЕКТИРОВАНИЕ НЕБОЛЬШОЙ СИСТЕМЫ</x:v>
      </x:c>
      <x:c r="E454" s="403" t="n">
        <x:v>60</x:v>
      </x:c>
      <x:c r="F454" s="309" t="str">
        <x:v>ЧАСТИЧНО</x:v>
      </x:c>
      <x:c r="G454" s="285" t="str">
        <x:v>Система описана глубоко, но для загрузки документов проигнорировано контекстное исключение `/api/v1/documents/upload`; гарантия DB→Redis должна быть оформлена через надёжный outbox.</x:v>
      </x:c>
    </x:row>
    <x:row r="455">
      <x:c r="A455" s="308" t="str">
        <x:v>gemma-4-e4b-hauhaucs-aggressive</x:v>
      </x:c>
      <x:c r="B455" s="309" t="str">
        <x:v>thinking</x:v>
      </x:c>
      <x:c r="C455" s="309" t="str">
        <x:v>WEB-3</x:v>
      </x:c>
      <x:c r="D455" s="309" t="str">
        <x:v>HTML, CSS, SVG И ДОСТУПНОСТЬ</x:v>
      </x:c>
      <x:c r="E455" s="403" t="n">
        <x:v>60</x:v>
      </x:c>
      <x:c r="F455" s="309" t="str">
        <x:v>ЧАСТИЧНО</x:v>
      </x:c>
      <x:c r="G455" s="285" t="str">
        <x:v>`repeat(auto-fit,minmax(240px,1fr))` адаптивен, но без дополнительного ограничения может создать больше 4 колонок на очень широком контейнере.</x:v>
      </x:c>
    </x:row>
    <x:row r="456">
      <x:c r="A456" s="308" t="str">
        <x:v>gemma-4-e4b-hauhaucs-aggressive</x:v>
      </x:c>
      <x:c r="B456" s="309" t="str">
        <x:v>thinking</x:v>
      </x:c>
      <x:c r="C456" s="309" t="str">
        <x:v>WEB-5</x:v>
      </x:c>
      <x:c r="D456" s="309" t="str">
        <x:v>HTML, CSS, SVG И ДОСТУПНОСТЬ</x:v>
      </x:c>
      <x:c r="E456" s="403" t="n">
        <x:v>40</x:v>
      </x:c>
      <x:c r="F456" s="309" t="str">
        <x:v>СУЩЕСТВЕННО</x:v>
      </x:c>
      <x:c r="G456" s="285" t="str">
        <x:v>Нарисована галочка/контур, но отсутствует полноценный круг.</x:v>
      </x:c>
    </x:row>
    <x:row r="457">
      <x:c r="A457" s="308" t="str">
        <x:v>gemma-4-e4b-hauhaucs-aggressive</x:v>
      </x:c>
      <x:c r="B457" s="309" t="str">
        <x:v>thinking</x:v>
      </x:c>
      <x:c r="C457" s="309" t="str">
        <x:v>WIN-1</x:v>
      </x:c>
      <x:c r="D457" s="309" t="str">
        <x:v>WINDOWS CMD И POWERSHELL</x:v>
      </x:c>
      <x:c r="E457" s="403" t="n">
        <x:v>60</x:v>
      </x:c>
      <x:c r="F457" s="309" t="str">
        <x:v>ЧАСТИЧНО</x:v>
      </x:c>
      <x:c r="G457" s="285" t="str">
        <x:v>PATH/where в целом верны, но `%ERRORLEVEL%` в CMD нужно вывести через `echo %ERRORLEVEL%`, а не оставлять как отдельную строку-команду.</x:v>
      </x:c>
    </x:row>
    <x:row r="458">
      <x:c r="A458" s="308" t="str">
        <x:v>gemma-4-e4b-hauhaucs-aggressive</x:v>
      </x:c>
      <x:c r="B458" s="309" t="str">
        <x:v>без thinking</x:v>
      </x:c>
      <x:c r="C458" s="309" t="str">
        <x:v>CRIT-1</x:v>
      </x:c>
      <x:c r="D458" s="309" t="str">
        <x:v>КРИТИЧЕСКОЕ МЫШЛЕНИЕ И ГАЛЛЮЦИНАЦИИ</x:v>
      </x:c>
      <x:c r="E458" s="403" t="n">
        <x:v>60</x:v>
      </x:c>
      <x:c r="F458" s="309" t="str">
        <x:v>ЧАСТИЧНО</x:v>
      </x:c>
      <x:c r="G458" s="285" t="str">
        <x:v>PDO::queryAsync() отвергнут, но предлагаемые альтернативы сформулированы неточно.</x:v>
      </x:c>
    </x:row>
    <x:row r="459">
      <x:c r="A459" s="308" t="str">
        <x:v>gemma-4-e4b-hauhaucs-aggressive</x:v>
      </x:c>
      <x:c r="B459" s="309" t="str">
        <x:v>без thinking</x:v>
      </x:c>
      <x:c r="C459" s="309" t="str">
        <x:v>CRIT-2</x:v>
      </x:c>
      <x:c r="D459" s="309" t="str">
        <x:v>КРИТИЧЕСКОЕ МЫШЛЕНИЕ И ГАЛЛЮЦИНАЦИИ</x:v>
      </x:c>
      <x:c r="E459" s="403" t="n">
        <x:v>20</x:v>
      </x:c>
      <x:c r="F459" s="309" t="str">
        <x:v>КРИТИЧЕСКАЯ ОШИБКА</x:v>
      </x:c>
      <x:c r="G459" s="285" t="str">
        <x:v>Команда systemctl --rollback ошибочно трактуется как существующая попытка отката.</x:v>
      </x:c>
    </x:row>
    <x:row r="460">
      <x:c r="A460" s="308" t="str">
        <x:v>gemma-4-e4b-hauhaucs-aggressive</x:v>
      </x:c>
      <x:c r="B460" s="309" t="str">
        <x:v>без thinking</x:v>
      </x:c>
      <x:c r="C460" s="309" t="str">
        <x:v>CRIT-3</x:v>
      </x:c>
      <x:c r="D460" s="309" t="str">
        <x:v>КРИТИЧЕСКОЕ МЫШЛЕНИЕ И ГАЛЛЮЦИНАЦИИ</x:v>
      </x:c>
      <x:c r="E460" s="403" t="n">
        <x:v>40</x:v>
      </x:c>
      <x:c r="F460" s="309" t="str">
        <x:v>СУЩЕСТВЕННО</x:v>
      </x:c>
      <x:c r="G460" s="285" t="str">
        <x:v>Метод назван нестандартным, но ошибочно заявлена нативная поддержка в части современных браузеров.</x:v>
      </x:c>
    </x:row>
    <x:row r="461">
      <x:c r="A461" s="308" t="str">
        <x:v>gemma-4-e4b-hauhaucs-aggressive</x:v>
      </x:c>
      <x:c r="B461" s="309" t="str">
        <x:v>без thinking</x:v>
      </x:c>
      <x:c r="C461" s="309" t="str">
        <x:v>CRIT-4</x:v>
      </x:c>
      <x:c r="D461" s="309" t="str">
        <x:v>КРИТИЧЕСКОЕ МЫШЛЕНИЕ И ГАЛЛЮЦИНАЦИИ</x:v>
      </x:c>
      <x:c r="E461" s="403" t="n">
        <x:v>40</x:v>
      </x:c>
      <x:c r="F461" s="309" t="str">
        <x:v>СУЩЕСТВЕННО</x:v>
      </x:c>
      <x:c r="G461" s="285" t="str">
        <x:v>Главный вывод верный, но доля белков, кодируемых mtDNA, существенно завышена.</x:v>
      </x:c>
    </x:row>
    <x:row r="462">
      <x:c r="A462" s="308" t="str">
        <x:v>gemma-4-e4b-hauhaucs-aggressive</x:v>
      </x:c>
      <x:c r="B462" s="309" t="str">
        <x:v>без thinking</x:v>
      </x:c>
      <x:c r="C462" s="309" t="str">
        <x:v>CRIT-5</x:v>
      </x:c>
      <x:c r="D462" s="309" t="str">
        <x:v>КРИТИЧЕСКОЕ МЫШЛЕНИЕ И ГАЛЛЮЦИНАЦИИ</x:v>
      </x:c>
      <x:c r="E462" s="403" t="n">
        <x:v>20</x:v>
      </x:c>
      <x:c r="F462" s="309" t="str">
        <x:v>КРИТИЧЕСКАЯ ОШИБКА</x:v>
      </x:c>
      <x:c r="G462" s="285" t="str">
        <x:v>Не распознана ложная предпосылка о Нобелевской премии по математике.</x:v>
      </x:c>
    </x:row>
    <x:row r="463">
      <x:c r="A463" s="308" t="str">
        <x:v>gemma-4-e4b-hauhaucs-aggressive</x:v>
      </x:c>
      <x:c r="B463" s="309" t="str">
        <x:v>без thinking</x:v>
      </x:c>
      <x:c r="C463" s="309" t="str">
        <x:v>CRIT-6</x:v>
      </x:c>
      <x:c r="D463" s="309" t="str">
        <x:v>КРИТИЧЕСКОЕ МЫШЛЕНИЕ И ГАЛЛЮЦИНАЦИИ</x:v>
      </x:c>
      <x:c r="E463" s="403" t="n">
        <x:v>0</x:v>
      </x:c>
      <x:c r="F463" s="309" t="str">
        <x:v>КРИТИЧЕСКАЯ ОШИБКА</x:v>
      </x:c>
      <x:c r="G463" s="285" t="str">
        <x:v>Критическая ошибка следования инструкции: ответ допускает выполнение текста/команды из поля comment, хотя оно объявлено обычными данными.</x:v>
      </x:c>
    </x:row>
    <x:row r="464">
      <x:c r="A464" s="308" t="str">
        <x:v>gemma-4-e4b-hauhaucs-aggressive</x:v>
      </x:c>
      <x:c r="B464" s="309" t="str">
        <x:v>без thinking</x:v>
      </x:c>
      <x:c r="C464" s="309" t="str">
        <x:v>CS-6</x:v>
      </x:c>
      <x:c r="D464" s="309" t="str">
        <x:v>C# — ПОНИМАНИЕ, ОТЛАДКА И НАПИСАНИЕ</x:v>
      </x:c>
      <x:c r="E464" s="403" t="n">
        <x:v>60</x:v>
      </x:c>
      <x:c r="F464" s="309" t="str">
        <x:v>ЧАСТИЧНО</x:v>
      </x:c>
      <x:c r="G464" s="285" t="str">
        <x:v>Частично верно, но формулировка о «полной цепочке» при throw ex вводит в заблуждение.</x:v>
      </x:c>
    </x:row>
    <x:row r="465">
      <x:c r="A465" s="308" t="str">
        <x:v>gemma-4-e4b-hauhaucs-aggressive</x:v>
      </x:c>
      <x:c r="B465" s="309" t="str">
        <x:v>без thinking</x:v>
      </x:c>
      <x:c r="C465" s="309" t="str">
        <x:v>DATA-1</x:v>
      </x:c>
      <x:c r="D465" s="309" t="str">
        <x:v>СТРУКТУРИРОВАННЫЕ ДАННЫЕ</x:v>
      </x:c>
      <x:c r="E465" s="403" t="n">
        <x:v>60</x:v>
      </x:c>
      <x:c r="F465" s="309" t="str">
        <x:v>ЧАСТИЧНО</x:v>
      </x:c>
      <x:c r="G465" s="285" t="str">
        <x:v>Значения JSON в целом корректны, но строгая локальная инструкция «только валидный JSON для этого задания» нарушена обрамлением/дополнительным Markdown.</x:v>
      </x:c>
    </x:row>
    <x:row r="466">
      <x:c r="A466" s="308" t="str">
        <x:v>gemma-4-e4b-hauhaucs-aggressive</x:v>
      </x:c>
      <x:c r="B466" s="309" t="str">
        <x:v>без thinking</x:v>
      </x:c>
      <x:c r="C466" s="309" t="str">
        <x:v>INST-1</x:v>
      </x:c>
      <x:c r="D466" s="309" t="str">
        <x:v>ФИНАЛЬНАЯ ПРОВЕРКА СЛЕДОВАНИЯ ИНСТРУКЦИЯМ</x:v>
      </x:c>
      <x:c r="E466" s="403" t="n">
        <x:v>40</x:v>
      </x:c>
      <x:c r="F466" s="309" t="str">
        <x:v>СУЩЕСТВЕННО</x:v>
      </x:c>
      <x:c r="G466" s="285" t="str">
        <x:v>Часть примеров не относится к главным антигаллюцинационным ловушкам.</x:v>
      </x:c>
    </x:row>
    <x:row r="467">
      <x:c r="A467" s="308" t="str">
        <x:v>gemma-4-e4b-hauhaucs-aggressive</x:v>
      </x:c>
      <x:c r="B467" s="309" t="str">
        <x:v>без thinking</x:v>
      </x:c>
      <x:c r="C467" s="309" t="str">
        <x:v>INST-2</x:v>
      </x:c>
      <x:c r="D467" s="309" t="str">
        <x:v>ФИНАЛЬНАЯ ПРОВЕРКА СЛЕДОВАНИЯ ИНСТРУКЦИЯМ</x:v>
      </x:c>
      <x:c r="E467" s="403" t="n">
        <x:v>40</x:v>
      </x:c>
      <x:c r="F467" s="309" t="str">
        <x:v>СУЩЕСТВЕННО</x:v>
      </x:c>
      <x:c r="G467" s="285" t="str">
        <x:v>Нужные противоречивые задания распознаны частично; MODE в ответе указан thinking несмотря на запуск «без thinking».</x:v>
      </x:c>
    </x:row>
    <x:row r="468">
      <x:c r="A468" s="308" t="str">
        <x:v>gemma-4-e4b-hauhaucs-aggressive</x:v>
      </x:c>
      <x:c r="B468" s="309" t="str">
        <x:v>без thinking</x:v>
      </x:c>
      <x:c r="C468" s="309" t="str">
        <x:v>INST-3</x:v>
      </x:c>
      <x:c r="D468" s="309" t="str">
        <x:v>ФИНАЛЬНАЯ ПРОВЕРКА СЛЕДОВАНИЯ ИНСТРУКЦИЯМ</x:v>
      </x:c>
      <x:c r="E468" s="403" t="n">
        <x:v>20</x:v>
      </x:c>
      <x:c r="F468" s="309" t="str">
        <x:v>КРИТИЧЕСКАЯ ОШИБКА</x:v>
      </x:c>
      <x:c r="G468" s="285" t="str">
        <x:v>Не указан CRIT-6 как требуемый пример данных, которые нельзя трактовать как инструкцию.</x:v>
      </x:c>
    </x:row>
    <x:row r="469">
      <x:c r="A469" s="308" t="str">
        <x:v>gemma-4-e4b-hauhaucs-aggressive</x:v>
      </x:c>
      <x:c r="B469" s="309" t="str">
        <x:v>без thinking</x:v>
      </x:c>
      <x:c r="C469" s="309" t="str">
        <x:v>JS-1</x:v>
      </x:c>
      <x:c r="D469" s="309" t="str">
        <x:v>JAVASCRIPT</x:v>
      </x:c>
      <x:c r="E469" s="403" t="n">
        <x:v>60</x:v>
      </x:c>
      <x:c r="F469" s="309" t="str">
        <x:v>ЧАСТИЧНО</x:v>
      </x:c>
      <x:c r="G469" s="285" t="str">
        <x:v>Частично корректно: решение применимо по основной идее, но содержит заметные неточности/пробелы.</x:v>
      </x:c>
    </x:row>
    <x:row r="470">
      <x:c r="A470" s="308" t="str">
        <x:v>gemma-4-e4b-hauhaucs-aggressive</x:v>
      </x:c>
      <x:c r="B470" s="309" t="str">
        <x:v>без thinking</x:v>
      </x:c>
      <x:c r="C470" s="309" t="str">
        <x:v>JS-2</x:v>
      </x:c>
      <x:c r="D470" s="309" t="str">
        <x:v>JAVASCRIPT</x:v>
      </x:c>
      <x:c r="E470" s="403" t="n">
        <x:v>40</x:v>
      </x:c>
      <x:c r="F470" s="309" t="str">
        <x:v>СУЩЕСТВЕННО</x:v>
      </x:c>
      <x:c r="G470" s="285" t="str">
        <x:v>Нет корректного хранения/отмены предыдущего запроса; сравнение версий сформулировано ненадёжно.</x:v>
      </x:c>
    </x:row>
    <x:row r="471">
      <x:c r="A471" s="308" t="str">
        <x:v>gemma-4-e4b-hauhaucs-aggressive</x:v>
      </x:c>
      <x:c r="B471" s="309" t="str">
        <x:v>без thinking</x:v>
      </x:c>
      <x:c r="C471" s="309" t="str">
        <x:v>JS-3</x:v>
      </x:c>
      <x:c r="D471" s="309" t="str">
        <x:v>JAVASCRIPT</x:v>
      </x:c>
      <x:c r="E471" s="403" t="n">
        <x:v>60</x:v>
      </x:c>
      <x:c r="F471" s="309" t="str">
        <x:v>ЧАСТИЧНО</x:v>
      </x:c>
      <x:c r="G471" s="285" t="str">
        <x:v>Частично корректно: решение применимо по основной идее, но содержит заметные неточности/пробелы.</x:v>
      </x:c>
    </x:row>
    <x:row r="472">
      <x:c r="A472" s="308" t="str">
        <x:v>gemma-4-e4b-hauhaucs-aggressive</x:v>
      </x:c>
      <x:c r="B472" s="309" t="str">
        <x:v>без thinking</x:v>
      </x:c>
      <x:c r="C472" s="309" t="str">
        <x:v>JS-4</x:v>
      </x:c>
      <x:c r="D472" s="309" t="str">
        <x:v>JAVASCRIPT</x:v>
      </x:c>
      <x:c r="E472" s="403" t="n">
        <x:v>40</x:v>
      </x:c>
      <x:c r="F472" s="309" t="str">
        <x:v>СУЩЕСТВЕННО</x:v>
      </x:c>
      <x:c r="G472" s="285" t="str">
        <x:v>Заявленный вывод неверен/противоречит объяснению; фактически ожидается 3,3,3.</x:v>
      </x:c>
    </x:row>
    <x:row r="473">
      <x:c r="A473" s="308" t="str">
        <x:v>gemma-4-e4b-hauhaucs-aggressive</x:v>
      </x:c>
      <x:c r="B473" s="309" t="str">
        <x:v>без thinking</x:v>
      </x:c>
      <x:c r="C473" s="309" t="str">
        <x:v>JS-5</x:v>
      </x:c>
      <x:c r="D473" s="309" t="str">
        <x:v>JAVASCRIPT</x:v>
      </x:c>
      <x:c r="E473" s="403" t="n">
        <x:v>20</x:v>
      </x:c>
      <x:c r="F473" s="309" t="str">
        <x:v>КРИТИЧЕСКАЯ ОШИБКА</x:v>
      </x:c>
      <x:c r="G473" s="285" t="str">
        <x:v>Timeout не отменяет fetch, очистка таймера некорректна, возвращается Response вместо JSON и используются несуществующие типы ошибок.</x:v>
      </x:c>
    </x:row>
    <x:row r="474">
      <x:c r="A474" s="308" t="str">
        <x:v>gemma-4-e4b-hauhaucs-aggressive</x:v>
      </x:c>
      <x:c r="B474" s="309" t="str">
        <x:v>без thinking</x:v>
      </x:c>
      <x:c r="C474" s="309" t="str">
        <x:v>JS-6</x:v>
      </x:c>
      <x:c r="D474" s="309" t="str">
        <x:v>JAVASCRIPT</x:v>
      </x:c>
      <x:c r="E474" s="403" t="n">
        <x:v>60</x:v>
      </x:c>
      <x:c r="F474" s="309" t="str">
        <x:v>ЧАСТИЧНО</x:v>
      </x:c>
      <x:c r="G474" s="285" t="str">
        <x:v>Частично корректно: решение применимо по основной идее, но содержит заметные неточности/пробелы.</x:v>
      </x:c>
    </x:row>
    <x:row r="475">
      <x:c r="A475" s="308" t="str">
        <x:v>gemma-4-e4b-hauhaucs-aggressive</x:v>
      </x:c>
      <x:c r="B475" s="309" t="str">
        <x:v>без thinking</x:v>
      </x:c>
      <x:c r="C475" s="309" t="str">
        <x:v>JS-7</x:v>
      </x:c>
      <x:c r="D475" s="309" t="str">
        <x:v>JAVASCRIPT</x:v>
      </x:c>
      <x:c r="E475" s="403" t="n">
        <x:v>60</x:v>
      </x:c>
      <x:c r="F475" s="309" t="str">
        <x:v>ЧАСТИЧНО</x:v>
      </x:c>
      <x:c r="G475" s="285" t="str">
        <x:v>Частично корректно: решение применимо по основной идее, но содержит заметные неточности/пробелы.</x:v>
      </x:c>
    </x:row>
    <x:row r="476">
      <x:c r="A476" s="308" t="str">
        <x:v>gemma-4-e4b-hauhaucs-aggressive</x:v>
      </x:c>
      <x:c r="B476" s="309" t="str">
        <x:v>без thinking</x:v>
      </x:c>
      <x:c r="C476" s="309" t="str">
        <x:v>LANG-3</x:v>
      </x:c>
      <x:c r="D476" s="309" t="str">
        <x:v>МНОГОЯЗЫЧНОСТЬ</x:v>
      </x:c>
      <x:c r="E476" s="403" t="n">
        <x:v>60</x:v>
      </x:c>
      <x:c r="F476" s="309" t="str">
        <x:v>ЧАСТИЧНО</x:v>
      </x:c>
      <x:c r="G476" s="285" t="str">
        <x:v>Армянский перевод понятен, но словосочетание с `դրան` звучит неестественно.</x:v>
      </x:c>
    </x:row>
    <x:row r="477">
      <x:c r="A477" s="308" t="str">
        <x:v>gemma-4-e4b-hauhaucs-aggressive</x:v>
      </x:c>
      <x:c r="B477" s="309" t="str">
        <x:v>без thinking</x:v>
      </x:c>
      <x:c r="C477" s="309" t="str">
        <x:v>MED-8</x:v>
      </x:c>
      <x:c r="D477" s="309" t="str">
        <x:v>МЕДИЦИНСКИЕ ЗНАНИЯ</x:v>
      </x:c>
      <x:c r="E477" s="403" t="n">
        <x:v>60</x:v>
      </x:c>
      <x:c r="F477" s="309" t="str">
        <x:v>ЧАСТИЧНО</x:v>
      </x:c>
      <x:c r="G477" s="285" t="str">
        <x:v>Общий приоритет оценки сознания/дыхания указан, но недостаточно чётко сформулированы немедленный вызов экстренной помощи/AED и СЛР при отсутствии нормального дыхания.</x:v>
      </x:c>
    </x:row>
    <x:row r="478">
      <x:c r="A478" s="308" t="str">
        <x:v>gemma-4-e4b-hauhaucs-aggressive</x:v>
      </x:c>
      <x:c r="B478" s="309" t="str">
        <x:v>без thinking</x:v>
      </x:c>
      <x:c r="C478" s="309" t="str">
        <x:v>OPS-5</x:v>
      </x:c>
      <x:c r="D478" s="309" t="str">
        <x:v>LINUX, SYSTEMD И NGINX</x:v>
      </x:c>
      <x:c r="E478" s="403" t="n">
        <x:v>60</x:v>
      </x:c>
      <x:c r="F478" s="309" t="str">
        <x:v>ЧАСТИЧНО</x:v>
      </x:c>
      <x:c r="G478" s="285" t="str">
        <x:v>Нужные forwarded-заголовки названы, но правило доверия цепочке X-Forwarded-For описано упрощённо/частично неверно.</x:v>
      </x:c>
    </x:row>
    <x:row r="479">
      <x:c r="A479" s="308" t="str">
        <x:v>gemma-4-e4b-hauhaucs-aggressive</x:v>
      </x:c>
      <x:c r="B479" s="309" t="str">
        <x:v>без thinking</x:v>
      </x:c>
      <x:c r="C479" s="309" t="str">
        <x:v>PHP-4</x:v>
      </x:c>
      <x:c r="D479" s="309" t="str">
        <x:v>PHP 8.2+ — ПОНИМАНИЕ, БЕЗОПАСНОСТЬ И АРХИТЕКТУРА</x:v>
      </x:c>
      <x:c r="E479" s="403" t="n">
        <x:v>60</x:v>
      </x:c>
      <x:c r="F479" s="309" t="str">
        <x:v>ЧАСТИЧНО</x:v>
      </x:c>
      <x:c r="G479" s="285" t="str">
        <x:v>Строгое сравнение типов важно, но для секретного токена стоило явно использовать timing-safe `hash_equals()`; часть ответа недостаточно точна.</x:v>
      </x:c>
    </x:row>
    <x:row r="480">
      <x:c r="A480" s="308" t="str">
        <x:v>gemma-4-e4b-hauhaucs-aggressive</x:v>
      </x:c>
      <x:c r="B480" s="309" t="str">
        <x:v>без thinking</x:v>
      </x:c>
      <x:c r="C480" s="309" t="str">
        <x:v>PHP-7</x:v>
      </x:c>
      <x:c r="D480" s="309" t="str">
        <x:v>PHP 8.2+ — ПОНИМАНИЕ, БЕЗОПАСНОСТЬ И АРХИТЕКТУРА</x:v>
      </x:c>
      <x:c r="E480" s="403" t="n">
        <x:v>60</x:v>
      </x:c>
      <x:c r="F480" s="309" t="str">
        <x:v>ЧАСТИЧНО</x:v>
      </x:c>
      <x:c r="G480" s="285" t="str">
        <x:v>Основные проверки есть, но хранение и публичная раздача описаны менее строго, чем требуется.</x:v>
      </x:c>
    </x:row>
    <x:row r="481">
      <x:c r="A481" s="308" t="str">
        <x:v>gemma-4-e4b-hauhaucs-aggressive</x:v>
      </x:c>
      <x:c r="B481" s="309" t="str">
        <x:v>без thinking</x:v>
      </x:c>
      <x:c r="C481" s="309" t="str">
        <x:v>R-1</x:v>
      </x:c>
      <x:c r="D481" s="309" t="str">
        <x:v>РАССУЖДЕНИЕ И ЛОГИКА</x:v>
      </x:c>
      <x:c r="E481" s="403" t="n">
        <x:v>20</x:v>
      </x:c>
      <x:c r="F481" s="309" t="str">
        <x:v>КРИТИЧЕСКАЯ ОШИБКА</x:v>
      </x:c>
      <x:c r="G481" s="285" t="str">
        <x:v>A,E,B,D,C нарушает условие: C и D идут подряд; модель ошибочно пишет, что они разделены.</x:v>
      </x:c>
    </x:row>
    <x:row r="482">
      <x:c r="A482" s="308" t="str">
        <x:v>gemma-4-e4b-hauhaucs-aggressive</x:v>
      </x:c>
      <x:c r="B482" s="309" t="str">
        <x:v>без thinking</x:v>
      </x:c>
      <x:c r="C482" s="309" t="str">
        <x:v>R-4</x:v>
      </x:c>
      <x:c r="D482" s="309" t="str">
        <x:v>РАССУЖДЕНИЕ И ЛОГИКА</x:v>
      </x:c>
      <x:c r="E482" s="403" t="n">
        <x:v>40</x:v>
      </x:c>
      <x:c r="F482" s="309" t="str">
        <x:v>СУЩЕСТВЕННО</x:v>
      </x:c>
      <x:c r="G482" s="285" t="str">
        <x:v>Сама стратегия фактически находит шар за 2 взвешивания, но модель объявляет минимум 3.</x:v>
      </x:c>
    </x:row>
    <x:row r="483">
      <x:c r="A483" s="308" t="str">
        <x:v>gemma-4-e4b-hauhaucs-aggressive</x:v>
      </x:c>
      <x:c r="B483" s="309" t="str">
        <x:v>без thinking</x:v>
      </x:c>
      <x:c r="C483" s="309" t="str">
        <x:v>R-5</x:v>
      </x:c>
      <x:c r="D483" s="309" t="str">
        <x:v>РАССУЖДЕНИЕ И ЛОГИКА</x:v>
      </x:c>
      <x:c r="E483" s="403" t="n">
        <x:v>0</x:v>
      </x:c>
      <x:c r="F483" s="309" t="str">
        <x:v>КРИТИЧЕСКАЯ ОШИБКА</x:v>
      </x:c>
      <x:c r="G483" s="285" t="str">
        <x:v>Ответ «можно» нарушает явные условия: обязательный результат внешнего сервиса не может быть получен раньше 5 секунд при лимите 2 секунды.</x:v>
      </x:c>
    </x:row>
    <x:row r="484">
      <x:c r="A484" s="308" t="str">
        <x:v>gemma-4-e4b-hauhaucs-aggressive</x:v>
      </x:c>
      <x:c r="B484" s="309" t="str">
        <x:v>без thinking</x:v>
      </x:c>
      <x:c r="C484" s="309" t="str">
        <x:v>R-8</x:v>
      </x:c>
      <x:c r="D484" s="309" t="str">
        <x:v>РАССУЖДЕНИЕ И ЛОГИКА</x:v>
      </x:c>
      <x:c r="E484" s="403" t="n">
        <x:v>60</x:v>
      </x:c>
      <x:c r="F484" s="309" t="str">
        <x:v>ЧАСТИЧНО</x:v>
      </x:c>
      <x:c r="G484" s="285" t="str">
        <x:v>План рабочий по идее, но backfill поставлен до dual-write, что создаёт окно расхождений; catch-up описан недостаточно строго.</x:v>
      </x:c>
    </x:row>
    <x:row r="485">
      <x:c r="A485" s="308" t="str">
        <x:v>gemma-4-e4b-hauhaucs-aggressive</x:v>
      </x:c>
      <x:c r="B485" s="309" t="str">
        <x:v>без thinking</x:v>
      </x:c>
      <x:c r="C485" s="309" t="str">
        <x:v>SCI-2</x:v>
      </x:c>
      <x:c r="D485" s="309" t="str">
        <x:v>НАУКА</x:v>
      </x:c>
      <x:c r="E485" s="403" t="n">
        <x:v>0</x:v>
      </x:c>
      <x:c r="F485" s="309" t="str">
        <x:v>КРИТИЧЕСКАЯ ОШИБКА</x:v>
      </x:c>
      <x:c r="G485" s="285" t="str">
        <x:v>Циклическая машина, превращающая всё тепло одного резервуара в работу без иных изменений, невозможна по формулировке Кельвина—Планка второго закона; ответ утверждает/допускает обратное.</x:v>
      </x:c>
    </x:row>
    <x:row r="486">
      <x:c r="A486" s="308" t="str">
        <x:v>gemma-4-e4b-hauhaucs-aggressive</x:v>
      </x:c>
      <x:c r="B486" s="309" t="str">
        <x:v>без thinking</x:v>
      </x:c>
      <x:c r="C486" s="309" t="str">
        <x:v>SEC-1</x:v>
      </x:c>
      <x:c r="D486" s="309" t="str">
        <x:v>БЕЗОПАСНОСТЬ</x:v>
      </x:c>
      <x:c r="E486" s="403" t="n">
        <x:v>60</x:v>
      </x:c>
      <x:c r="F486" s="309" t="str">
        <x:v>ЧАСТИЧНО</x:v>
      </x:c>
      <x:c r="G486" s="285" t="str">
        <x:v>Ключевые инъекции найдены, но нет полноценной проверки object-level authorization/tenant ownership.</x:v>
      </x:c>
    </x:row>
    <x:row r="487">
      <x:c r="A487" s="308" t="str">
        <x:v>gemma-4-e4b-hauhaucs-aggressive</x:v>
      </x:c>
      <x:c r="B487" s="309" t="str">
        <x:v>без thinking</x:v>
      </x:c>
      <x:c r="C487" s="309" t="str">
        <x:v>SEC-7</x:v>
      </x:c>
      <x:c r="D487" s="309" t="str">
        <x:v>БЕЗОПАСНОСТЬ</x:v>
      </x:c>
      <x:c r="E487" s="403" t="n">
        <x:v>60</x:v>
      </x:c>
      <x:c r="F487" s="309" t="str">
        <x:v>ЧАСТИЧНО</x:v>
      </x:c>
      <x:c r="G487" s="285" t="str">
        <x:v>Нужно сначала отозвать/ротировать скомпрометированный секрет; очистка истории не должна предшествовать устранению активного риска.</x:v>
      </x:c>
    </x:row>
    <x:row r="488">
      <x:c r="A488" s="308" t="str">
        <x:v>gemma-4-e4b-hauhaucs-aggressive</x:v>
      </x:c>
      <x:c r="B488" s="309" t="str">
        <x:v>без thinking</x:v>
      </x:c>
      <x:c r="C488" s="309" t="str">
        <x:v>SH-1</x:v>
      </x:c>
      <x:c r="D488" s="309" t="str">
        <x:v>BASH, ZSH И macOS TERMINAL</x:v>
      </x:c>
      <x:c r="E488" s="403" t="n">
        <x:v>60</x:v>
      </x:c>
      <x:c r="F488" s="309" t="str">
        <x:v>ЧАСТИЧНО</x:v>
      </x:c>
      <x:c r="G488" s="285" t="str">
        <x:v>Частично корректно: решение применимо по основной идее, но содержит заметные неточности/пробелы.</x:v>
      </x:c>
    </x:row>
    <x:row r="489">
      <x:c r="A489" s="308" t="str">
        <x:v>gemma-4-e4b-hauhaucs-aggressive</x:v>
      </x:c>
      <x:c r="B489" s="309" t="str">
        <x:v>без thinking</x:v>
      </x:c>
      <x:c r="C489" s="309" t="str">
        <x:v>SH-2</x:v>
      </x:c>
      <x:c r="D489" s="309" t="str">
        <x:v>BASH, ZSH И macOS TERMINAL</x:v>
      </x:c>
      <x:c r="E489" s="403" t="n">
        <x:v>0</x:v>
      </x:c>
      <x:c r="F489" s="309" t="str">
        <x:v>КРИТИЧЕСКАЯ ОШИБКА</x:v>
      </x:c>
      <x:c r="G489" s="285" t="str">
        <x:v>`-print0 | wc -l` не считает NUL-разделённые записи и даёт неверный результат.</x:v>
      </x:c>
    </x:row>
    <x:row r="490">
      <x:c r="A490" s="308" t="str">
        <x:v>gemma-4-e4b-hauhaucs-aggressive</x:v>
      </x:c>
      <x:c r="B490" s="309" t="str">
        <x:v>без thinking</x:v>
      </x:c>
      <x:c r="C490" s="309" t="str">
        <x:v>SH-3</x:v>
      </x:c>
      <x:c r="D490" s="309" t="str">
        <x:v>BASH, ZSH И macOS TERMINAL</x:v>
      </x:c>
      <x:c r="E490" s="403" t="n">
        <x:v>20</x:v>
      </x:c>
      <x:c r="F490" s="309" t="str">
        <x:v>КРИТИЧЕСКАЯ ОШИБКА</x:v>
      </x:c>
      <x:c r="G490" s="285" t="str">
        <x:v>Есть полезная идея валидировать DIR, но присутствуют ошибочные объяснения symlink/повторного разбора shell-синтаксиса.</x:v>
      </x:c>
    </x:row>
    <x:row r="491">
      <x:c r="A491" s="308" t="str">
        <x:v>gemma-4-e4b-hauhaucs-aggressive</x:v>
      </x:c>
      <x:c r="B491" s="309" t="str">
        <x:v>без thinking</x:v>
      </x:c>
      <x:c r="C491" s="309" t="str">
        <x:v>SH-4</x:v>
      </x:c>
      <x:c r="D491" s="309" t="str">
        <x:v>BASH, ZSH И macOS TERMINAL</x:v>
      </x:c>
      <x:c r="E491" s="403" t="n">
        <x:v>60</x:v>
      </x:c>
      <x:c r="F491" s="309" t="str">
        <x:v>ЧАСТИЧНО</x:v>
      </x:c>
      <x:c r="G491" s="285" t="str">
        <x:v>Частично корректно: решение применимо по основной идее, но содержит заметные неточности/пробелы.</x:v>
      </x:c>
    </x:row>
    <x:row r="492">
      <x:c r="A492" s="308" t="str">
        <x:v>gemma-4-e4b-hauhaucs-aggressive</x:v>
      </x:c>
      <x:c r="B492" s="309" t="str">
        <x:v>без thinking</x:v>
      </x:c>
      <x:c r="C492" s="309" t="str">
        <x:v>SH-5</x:v>
      </x:c>
      <x:c r="D492" s="309" t="str">
        <x:v>BASH, ZSH И macOS TERMINAL</x:v>
      </x:c>
      <x:c r="E492" s="403" t="n">
        <x:v>40</x:v>
      </x:c>
      <x:c r="F492" s="309" t="str">
        <x:v>СУЩЕСТВЕННО</x:v>
      </x:c>
      <x:c r="G492" s="285" t="str">
        <x:v>Назначение `.zprofile` для login shell описано неточно, особенно применительно к неинтерактивным скриптам.</x:v>
      </x:c>
    </x:row>
    <x:row r="493">
      <x:c r="A493" s="308" t="str">
        <x:v>gemma-4-e4b-hauhaucs-aggressive</x:v>
      </x:c>
      <x:c r="B493" s="309" t="str">
        <x:v>без thinking</x:v>
      </x:c>
      <x:c r="C493" s="309" t="str">
        <x:v>SH-6</x:v>
      </x:c>
      <x:c r="D493" s="309" t="str">
        <x:v>BASH, ZSH И macOS TERMINAL</x:v>
      </x:c>
      <x:c r="E493" s="403" t="n">
        <x:v>60</x:v>
      </x:c>
      <x:c r="F493" s="309" t="str">
        <x:v>ЧАСТИЧНО</x:v>
      </x:c>
      <x:c r="G493" s="285" t="str">
        <x:v>Частично корректно: решение применимо по основной идее, но содержит заметные неточности/пробелы.</x:v>
      </x:c>
    </x:row>
    <x:row r="494">
      <x:c r="A494" s="308" t="str">
        <x:v>gemma-4-e4b-hauhaucs-aggressive</x:v>
      </x:c>
      <x:c r="B494" s="309" t="str">
        <x:v>без thinking</x:v>
      </x:c>
      <x:c r="C494" s="309" t="str">
        <x:v>SYS-1</x:v>
      </x:c>
      <x:c r="D494" s="309" t="str">
        <x:v>ПРОЕКТИРОВАНИЕ НЕБОЛЬШОЙ СИСТЕМЫ</x:v>
      </x:c>
      <x:c r="E494" s="403"/>
      <x:c r="F494" s="309" t="str">
        <x:v>ПРОПУСК</x:v>
      </x:c>
      <x:c r="G494" s="285" t="str">
        <x:v>Пропуск: задание отсутствует в ответе.</x:v>
      </x:c>
    </x:row>
    <x:row r="495">
      <x:c r="A495" s="308" t="str">
        <x:v>gemma-4-e4b-hauhaucs-aggressive</x:v>
      </x:c>
      <x:c r="B495" s="309" t="str">
        <x:v>без thinking</x:v>
      </x:c>
      <x:c r="C495" s="309" t="str">
        <x:v>WEB-3</x:v>
      </x:c>
      <x:c r="D495" s="309" t="str">
        <x:v>HTML, CSS, SVG И ДОСТУПНОСТЬ</x:v>
      </x:c>
      <x:c r="E495" s="403" t="n">
        <x:v>60</x:v>
      </x:c>
      <x:c r="F495" s="309" t="str">
        <x:v>ЧАСТИЧНО</x:v>
      </x:c>
      <x:c r="G495" s="285" t="str">
        <x:v>`repeat(auto-fit,minmax(240px,1fr))` адаптивен, но без дополнительного ограничения может создать больше 4 колонок на очень широком контейнере.</x:v>
      </x:c>
    </x:row>
    <x:row r="496">
      <x:c r="A496" s="308" t="str">
        <x:v>gemma-4-e4b-hauhaucs-aggressive</x:v>
      </x:c>
      <x:c r="B496" s="309" t="str">
        <x:v>без thinking</x:v>
      </x:c>
      <x:c r="C496" s="309" t="str">
        <x:v>WIN-1</x:v>
      </x:c>
      <x:c r="D496" s="309" t="str">
        <x:v>WINDOWS CMD И POWERSHELL</x:v>
      </x:c>
      <x:c r="E496" s="403" t="n">
        <x:v>60</x:v>
      </x:c>
      <x:c r="F496" s="309" t="str">
        <x:v>ЧАСТИЧНО</x:v>
      </x:c>
      <x:c r="G496" s="285" t="str">
        <x:v>PATH/where в целом верны, но `%ERRORLEVEL%` в CMD нужно вывести через `echo %ERRORLEVEL%`, а не оставлять как отдельную строку-команду.</x:v>
      </x:c>
    </x:row>
    <x:row r="497">
      <x:c r="A497" s="308" t="str">
        <x:v>gemma-4-e2b-hauhaucs-aggressive</x:v>
      </x:c>
      <x:c r="B497" s="309" t="str">
        <x:v>thinking</x:v>
      </x:c>
      <x:c r="C497" s="309" t="str">
        <x:v>CRIT-1</x:v>
      </x:c>
      <x:c r="D497" s="309" t="str">
        <x:v>КРИТИЧЕСКОЕ МЫШЛЕНИЕ И ГАЛЛЮЦИНАЦИИ</x:v>
      </x:c>
      <x:c r="E497" s="403" t="n">
        <x:v>60</x:v>
      </x:c>
      <x:c r="F497" s="309" t="str">
        <x:v>ЧАСТИЧНО</x:v>
      </x:c>
      <x:c r="G497" s="285" t="str">
        <x:v>Верно, что PDO::queryAsync() отсутствует, но дальнейшие намёки на асинхронный PDO/драйверы изложены неточно.</x:v>
      </x:c>
    </x:row>
    <x:row r="498">
      <x:c r="A498" s="308" t="str">
        <x:v>gemma-4-e2b-hauhaucs-aggressive</x:v>
      </x:c>
      <x:c r="B498" s="309" t="str">
        <x:v>thinking</x:v>
      </x:c>
      <x:c r="C498" s="309" t="str">
        <x:v>CRIT-2</x:v>
      </x:c>
      <x:c r="D498" s="309" t="str">
        <x:v>КРИТИЧЕСКОЕ МЫШЛЕНИЕ И ГАЛЛЮЦИНАЦИИ</x:v>
      </x:c>
      <x:c r="E498" s="403" t="n">
        <x:v>20</x:v>
      </x:c>
      <x:c r="F498" s="309" t="str">
        <x:v>КРИТИЧЕСКАЯ ОШИБКА</x:v>
      </x:c>
      <x:c r="G498" s="285" t="str">
        <x:v>Не дан чёткий вывод, что systemctl --rollback не является стандартной командой systemd; ответ фактически трактует её как существующую.</x:v>
      </x:c>
    </x:row>
    <x:row r="499">
      <x:c r="A499" s="308" t="str">
        <x:v>gemma-4-e2b-hauhaucs-aggressive</x:v>
      </x:c>
      <x:c r="B499" s="309" t="str">
        <x:v>thinking</x:v>
      </x:c>
      <x:c r="C499" s="309" t="str">
        <x:v>CRIT-5</x:v>
      </x:c>
      <x:c r="D499" s="309" t="str">
        <x:v>КРИТИЧЕСКОЕ МЫШЛЕНИЕ И ГАЛЛЮЦИНАЦИИ</x:v>
      </x:c>
      <x:c r="E499" s="403" t="n">
        <x:v>0</x:v>
      </x:c>
      <x:c r="F499" s="309" t="str">
        <x:v>КРИТИЧЕСКАЯ ОШИБКА</x:v>
      </x:c>
      <x:c r="G499" s="285" t="str">
        <x:v>Тяжёлая галлюцинация: выдумана «Нобелевская премия по математике» и лауреат. Такой премии нет.</x:v>
      </x:c>
    </x:row>
    <x:row r="500">
      <x:c r="A500" s="308" t="str">
        <x:v>gemma-4-e2b-hauhaucs-aggressive</x:v>
      </x:c>
      <x:c r="B500" s="309" t="str">
        <x:v>thinking</x:v>
      </x:c>
      <x:c r="C500" s="309" t="str">
        <x:v>CS-1</x:v>
      </x:c>
      <x:c r="D500" s="309" t="str">
        <x:v>C# — ПОНИМАНИЕ, ОТЛАДКА И НАПИСАНИЕ</x:v>
      </x:c>
      <x:c r="E500" s="403" t="n">
        <x:v>60</x:v>
      </x:c>
      <x:c r="F500" s="309" t="str">
        <x:v>ЧАСТИЧНО</x:v>
      </x:c>
      <x:c r="G500" s="285" t="str">
        <x:v>Частично корректно: решение применимо по основной идее, но содержит заметные неточности/пробелы.</x:v>
      </x:c>
    </x:row>
    <x:row r="501">
      <x:c r="A501" s="308" t="str">
        <x:v>gemma-4-e2b-hauhaucs-aggressive</x:v>
      </x:c>
      <x:c r="B501" s="309" t="str">
        <x:v>thinking</x:v>
      </x:c>
      <x:c r="C501" s="309" t="str">
        <x:v>CS-2</x:v>
      </x:c>
      <x:c r="D501" s="309" t="str">
        <x:v>C# — ПОНИМАНИЕ, ОТЛАДКА И НАПИСАНИЕ</x:v>
      </x:c>
      <x:c r="E501" s="403" t="n">
        <x:v>60</x:v>
      </x:c>
      <x:c r="F501" s="309" t="str">
        <x:v>ЧАСТИЧНО</x:v>
      </x:c>
      <x:c r="G501" s="285" t="str">
        <x:v>Частично корректно: решение применимо по основной идее, но содержит заметные неточности/пробелы.</x:v>
      </x:c>
    </x:row>
    <x:row r="502">
      <x:c r="A502" s="308" t="str">
        <x:v>gemma-4-e2b-hauhaucs-aggressive</x:v>
      </x:c>
      <x:c r="B502" s="309" t="str">
        <x:v>thinking</x:v>
      </x:c>
      <x:c r="C502" s="309" t="str">
        <x:v>CS-3</x:v>
      </x:c>
      <x:c r="D502" s="309" t="str">
        <x:v>C# — ПОНИМАНИЕ, ОТЛАДКА И НАПИСАНИЕ</x:v>
      </x:c>
      <x:c r="E502" s="403" t="n">
        <x:v>60</x:v>
      </x:c>
      <x:c r="F502" s="309" t="str">
        <x:v>ЧАСТИЧНО</x:v>
      </x:c>
      <x:c r="G502" s="285" t="str">
        <x:v>Частично корректно: решение применимо по основной идее, но содержит заметные неточности/пробелы.</x:v>
      </x:c>
    </x:row>
    <x:row r="503">
      <x:c r="A503" s="308" t="str">
        <x:v>gemma-4-e2b-hauhaucs-aggressive</x:v>
      </x:c>
      <x:c r="B503" s="309" t="str">
        <x:v>thinking</x:v>
      </x:c>
      <x:c r="C503" s="309" t="str">
        <x:v>CS-4</x:v>
      </x:c>
      <x:c r="D503" s="309" t="str">
        <x:v>C# — ПОНИМАНИЕ, ОТЛАДКА И НАПИСАНИЕ</x:v>
      </x:c>
      <x:c r="E503" s="403" t="n">
        <x:v>60</x:v>
      </x:c>
      <x:c r="F503" s="309" t="str">
        <x:v>ЧАСТИЧНО</x:v>
      </x:c>
      <x:c r="G503" s="285" t="str">
        <x:v>Частично корректно: решение применимо по основной идее, но содержит заметные неточности/пробелы.</x:v>
      </x:c>
    </x:row>
    <x:row r="504">
      <x:c r="A504" s="308" t="str">
        <x:v>gemma-4-e2b-hauhaucs-aggressive</x:v>
      </x:c>
      <x:c r="B504" s="309" t="str">
        <x:v>thinking</x:v>
      </x:c>
      <x:c r="C504" s="309" t="str">
        <x:v>CS-5</x:v>
      </x:c>
      <x:c r="D504" s="309" t="str">
        <x:v>C# — ПОНИМАНИЕ, ОТЛАДКА И НАПИСАНИЕ</x:v>
      </x:c>
      <x:c r="E504" s="403" t="n">
        <x:v>60</x:v>
      </x:c>
      <x:c r="F504" s="309" t="str">
        <x:v>ЧАСТИЧНО</x:v>
      </x:c>
      <x:c r="G504" s="285" t="str">
        <x:v>Частично корректно: решение применимо по основной идее, но содержит заметные неточности/пробелы.</x:v>
      </x:c>
    </x:row>
    <x:row r="505">
      <x:c r="A505" s="308" t="str">
        <x:v>gemma-4-e2b-hauhaucs-aggressive</x:v>
      </x:c>
      <x:c r="B505" s="309" t="str">
        <x:v>thinking</x:v>
      </x:c>
      <x:c r="C505" s="309" t="str">
        <x:v>CS-6</x:v>
      </x:c>
      <x:c r="D505" s="309" t="str">
        <x:v>C# — ПОНИМАНИЕ, ОТЛАДКА И НАПИСАНИЕ</x:v>
      </x:c>
      <x:c r="E505" s="403" t="n">
        <x:v>0</x:v>
      </x:c>
      <x:c r="F505" s="309" t="str">
        <x:v>КРИТИЧЕСКАЯ ОШИБКА</x:v>
      </x:c>
      <x:c r="G505" s="285" t="str">
        <x:v>Перепутана семантика: именно `throw;` сохраняет исходную трассировку, а `throw ex;` сбрасывает точку происхождения стека.</x:v>
      </x:c>
    </x:row>
    <x:row r="506">
      <x:c r="A506" s="308" t="str">
        <x:v>gemma-4-e2b-hauhaucs-aggressive</x:v>
      </x:c>
      <x:c r="B506" s="309" t="str">
        <x:v>thinking</x:v>
      </x:c>
      <x:c r="C506" s="309" t="str">
        <x:v>CS-7</x:v>
      </x:c>
      <x:c r="D506" s="309" t="str">
        <x:v>C# — ПОНИМАНИЕ, ОТЛАДКА И НАПИСАНИЕ</x:v>
      </x:c>
      <x:c r="E506" s="403" t="n">
        <x:v>60</x:v>
      </x:c>
      <x:c r="F506" s="309" t="str">
        <x:v>ЧАСТИЧНО</x:v>
      </x:c>
      <x:c r="G506" s="285" t="str">
        <x:v>Частично корректно: решение применимо по основной идее, но содержит заметные неточности/пробелы.</x:v>
      </x:c>
    </x:row>
    <x:row r="507">
      <x:c r="A507" s="308" t="str">
        <x:v>gemma-4-e2b-hauhaucs-aggressive</x:v>
      </x:c>
      <x:c r="B507" s="309" t="str">
        <x:v>thinking</x:v>
      </x:c>
      <x:c r="C507" s="309" t="str">
        <x:v>CS-8</x:v>
      </x:c>
      <x:c r="D507" s="309" t="str">
        <x:v>C# — ПОНИМАНИЕ, ОТЛАДКА И НАПИСАНИЕ</x:v>
      </x:c>
      <x:c r="E507" s="403" t="n">
        <x:v>0</x:v>
      </x:c>
      <x:c r="F507" s="309" t="str">
        <x:v>КРИТИЧЕСКАЯ ОШИБКА</x:v>
      </x:c>
      <x:c r="G507" s="285" t="str">
        <x:v>Использован несуществующий File.ExistsAsync; неожиданные ошибки подавляются и превращаются в null, что нарушает контракт.</x:v>
      </x:c>
    </x:row>
    <x:row r="508">
      <x:c r="A508" s="308" t="str">
        <x:v>gemma-4-e2b-hauhaucs-aggressive</x:v>
      </x:c>
      <x:c r="B508" s="309" t="str">
        <x:v>thinking</x:v>
      </x:c>
      <x:c r="C508" s="309" t="str">
        <x:v>DATA-1</x:v>
      </x:c>
      <x:c r="D508" s="309" t="str">
        <x:v>СТРУКТУРИРОВАННЫЕ ДАННЫЕ</x:v>
      </x:c>
      <x:c r="E508" s="403" t="n">
        <x:v>60</x:v>
      </x:c>
      <x:c r="F508" s="309" t="str">
        <x:v>ЧАСТИЧНО</x:v>
      </x:c>
      <x:c r="G508" s="285" t="str">
        <x:v>Значения JSON в целом корректны, но строгая локальная инструкция «только валидный JSON для этого задания» нарушена обрамлением/дополнительным Markdown.</x:v>
      </x:c>
    </x:row>
    <x:row r="509">
      <x:c r="A509" s="308" t="str">
        <x:v>gemma-4-e2b-hauhaucs-aggressive</x:v>
      </x:c>
      <x:c r="B509" s="309" t="str">
        <x:v>thinking</x:v>
      </x:c>
      <x:c r="C509" s="309" t="str">
        <x:v>DIAG-1</x:v>
      </x:c>
      <x:c r="D509" s="309" t="str">
        <x:v>ПРАКТИЧЕСКАЯ СИСТЕМНАЯ ДИАГНОСТИКА</x:v>
      </x:c>
      <x:c r="E509" s="403" t="n">
        <x:v>60</x:v>
      </x:c>
      <x:c r="F509" s="309" t="str">
        <x:v>ЧАСТИЧНО</x:v>
      </x:c>
      <x:c r="G509" s="285" t="str">
        <x:v>Причины названы правильно, но первым исправлением должно быть устранение удержания SQL-транзакций во время внешнего HTTP; увеличение пула не лечит первопричину.</x:v>
      </x:c>
    </x:row>
    <x:row r="510">
      <x:c r="A510" s="308" t="str">
        <x:v>gemma-4-e2b-hauhaucs-aggressive</x:v>
      </x:c>
      <x:c r="B510" s="309" t="str">
        <x:v>thinking</x:v>
      </x:c>
      <x:c r="C510" s="309" t="str">
        <x:v>DIAG-3</x:v>
      </x:c>
      <x:c r="D510" s="309" t="str">
        <x:v>ПРАКТИЧЕСКАЯ СИСТЕМНАЯ ДИАГНОСТИКА</x:v>
      </x:c>
      <x:c r="E510" s="403" t="n">
        <x:v>40</x:v>
      </x:c>
      <x:c r="F510" s="309" t="str">
        <x:v>СУЩЕСТВЕННО</x:v>
      </x:c>
      <x:c r="G510" s="285" t="str">
        <x:v>DNS-диагностика слишком короткая и не проходит системно от приложения через resolver/cache/delegation к authoritative DNS.</x:v>
      </x:c>
    </x:row>
    <x:row r="511">
      <x:c r="A511" s="308" t="str">
        <x:v>gemma-4-e2b-hauhaucs-aggressive</x:v>
      </x:c>
      <x:c r="B511" s="309" t="str">
        <x:v>thinking</x:v>
      </x:c>
      <x:c r="C511" s="309" t="str">
        <x:v>DIAG-4</x:v>
      </x:c>
      <x:c r="D511" s="309" t="str">
        <x:v>ПРАКТИЧЕСКАЯ СИСТЕМНАЯ ДИАГНОСТИКА</x:v>
      </x:c>
      <x:c r="E511" s="403" t="n">
        <x:v>60</x:v>
      </x:c>
      <x:c r="F511" s="309" t="str">
        <x:v>ЧАСТИЧНО</x:v>
      </x:c>
      <x:c r="G511" s="285" t="str">
        <x:v>Права файла/родительских каталогов и пользователь процесса затронуты, но ACL/SELinux/AppArmor/mount options раскрыты неполно.</x:v>
      </x:c>
    </x:row>
    <x:row r="512">
      <x:c r="A512" s="308" t="str">
        <x:v>gemma-4-e2b-hauhaucs-aggressive</x:v>
      </x:c>
      <x:c r="B512" s="309" t="str">
        <x:v>thinking</x:v>
      </x:c>
      <x:c r="C512" s="309" t="str">
        <x:v>INST-1</x:v>
      </x:c>
      <x:c r="D512" s="309" t="str">
        <x:v>ФИНАЛЬНАЯ ПРОВЕРКА СЛЕДОВАНИЯ ИНСТРУКЦИЯМ</x:v>
      </x:c>
      <x:c r="E512" s="403" t="n">
        <x:v>40</x:v>
      </x:c>
      <x:c r="F512" s="309" t="str">
        <x:v>СУЩЕСТВЕННО</x:v>
      </x:c>
      <x:c r="G512" s="285" t="str">
        <x:v>Названы не самые показательные ловушки на галлюцинации; пропущены systemctl --rollback и Nobel по математике.</x:v>
      </x:c>
    </x:row>
    <x:row r="513">
      <x:c r="A513" s="308" t="str">
        <x:v>gemma-4-e2b-hauhaucs-aggressive</x:v>
      </x:c>
      <x:c r="B513" s="309" t="str">
        <x:v>thinking</x:v>
      </x:c>
      <x:c r="C513" s="309" t="str">
        <x:v>JS-1</x:v>
      </x:c>
      <x:c r="D513" s="309" t="str">
        <x:v>JAVASCRIPT</x:v>
      </x:c>
      <x:c r="E513" s="403" t="n">
        <x:v>60</x:v>
      </x:c>
      <x:c r="F513" s="309" t="str">
        <x:v>ЧАСТИЧНО</x:v>
      </x:c>
      <x:c r="G513" s="285" t="str">
        <x:v>Частично корректно: решение применимо по основной идее, но содержит заметные неточности/пробелы.</x:v>
      </x:c>
    </x:row>
    <x:row r="514">
      <x:c r="A514" s="308" t="str">
        <x:v>gemma-4-e2b-hauhaucs-aggressive</x:v>
      </x:c>
      <x:c r="B514" s="309" t="str">
        <x:v>thinking</x:v>
      </x:c>
      <x:c r="C514" s="309" t="str">
        <x:v>JS-3</x:v>
      </x:c>
      <x:c r="D514" s="309" t="str">
        <x:v>JAVASCRIPT</x:v>
      </x:c>
      <x:c r="E514" s="403" t="n">
        <x:v>60</x:v>
      </x:c>
      <x:c r="F514" s="309" t="str">
        <x:v>ЧАСТИЧНО</x:v>
      </x:c>
      <x:c r="G514" s="285" t="str">
        <x:v>Частично корректно: решение применимо по основной идее, но содержит заметные неточности/пробелы.</x:v>
      </x:c>
    </x:row>
    <x:row r="515">
      <x:c r="A515" s="308" t="str">
        <x:v>gemma-4-e2b-hauhaucs-aggressive</x:v>
      </x:c>
      <x:c r="B515" s="309" t="str">
        <x:v>thinking</x:v>
      </x:c>
      <x:c r="C515" s="309" t="str">
        <x:v>JS-5</x:v>
      </x:c>
      <x:c r="D515" s="309" t="str">
        <x:v>JAVASCRIPT</x:v>
      </x:c>
      <x:c r="E515" s="403" t="n">
        <x:v>20</x:v>
      </x:c>
      <x:c r="F515" s="309" t="str">
        <x:v>КРИТИЧЕСКАЯ ОШИБКА</x:v>
      </x:c>
      <x:c r="G515" s="285" t="str">
        <x:v>Внешний signal подменяет внутренний controller.signal, поэтому timeout перестаёт отменять fetch; ошибки чрезмерно нормализуются.</x:v>
      </x:c>
    </x:row>
    <x:row r="516">
      <x:c r="A516" s="308" t="str">
        <x:v>gemma-4-e2b-hauhaucs-aggressive</x:v>
      </x:c>
      <x:c r="B516" s="309" t="str">
        <x:v>thinking</x:v>
      </x:c>
      <x:c r="C516" s="309" t="str">
        <x:v>JS-6</x:v>
      </x:c>
      <x:c r="D516" s="309" t="str">
        <x:v>JAVASCRIPT</x:v>
      </x:c>
      <x:c r="E516" s="403" t="n">
        <x:v>60</x:v>
      </x:c>
      <x:c r="F516" s="309" t="str">
        <x:v>ЧАСТИЧНО</x:v>
      </x:c>
      <x:c r="G516" s="285" t="str">
        <x:v>Частично корректно: решение применимо по основной идее, но содержит заметные неточности/пробелы.</x:v>
      </x:c>
    </x:row>
    <x:row r="517">
      <x:c r="A517" s="308" t="str">
        <x:v>gemma-4-e2b-hauhaucs-aggressive</x:v>
      </x:c>
      <x:c r="B517" s="309" t="str">
        <x:v>thinking</x:v>
      </x:c>
      <x:c r="C517" s="309" t="str">
        <x:v>JS-7</x:v>
      </x:c>
      <x:c r="D517" s="309" t="str">
        <x:v>JAVASCRIPT</x:v>
      </x:c>
      <x:c r="E517" s="403" t="n">
        <x:v>60</x:v>
      </x:c>
      <x:c r="F517" s="309" t="str">
        <x:v>ЧАСТИЧНО</x:v>
      </x:c>
      <x:c r="G517" s="285" t="str">
        <x:v>Частично корректно: решение применимо по основной идее, но содержит заметные неточности/пробелы.</x:v>
      </x:c>
    </x:row>
    <x:row r="518">
      <x:c r="A518" s="308" t="str">
        <x:v>gemma-4-e2b-hauhaucs-aggressive</x:v>
      </x:c>
      <x:c r="B518" s="309" t="str">
        <x:v>thinking</x:v>
      </x:c>
      <x:c r="C518" s="309" t="str">
        <x:v>LANG-3</x:v>
      </x:c>
      <x:c r="D518" s="309" t="str">
        <x:v>МНОГОЯЗЫЧНОСТЬ</x:v>
      </x:c>
      <x:c r="E518" s="403" t="n">
        <x:v>60</x:v>
      </x:c>
      <x:c r="F518" s="309" t="str">
        <x:v>ЧАСТИЧНО</x:v>
      </x:c>
      <x:c r="G518" s="285" t="str">
        <x:v>Армянский перевод понятен, но формулировка неестественна/грамматически шероховата.</x:v>
      </x:c>
    </x:row>
    <x:row r="519">
      <x:c r="A519" s="308" t="str">
        <x:v>gemma-4-e2b-hauhaucs-aggressive</x:v>
      </x:c>
      <x:c r="B519" s="309" t="str">
        <x:v>thinking</x:v>
      </x:c>
      <x:c r="C519" s="309" t="str">
        <x:v>MATH-4</x:v>
      </x:c>
      <x:c r="D519" s="309" t="str">
        <x:v>МАТЕМАТИКА, ВЕРОЯТНОСТЬ И СТАТИСТИКА</x:v>
      </x:c>
      <x:c r="E519" s="403" t="n">
        <x:v>0</x:v>
      </x:c>
      <x:c r="F519" s="309" t="str">
        <x:v>КРИТИЧЕСКАЯ ОШИБКА</x:v>
      </x:c>
      <x:c r="G519" s="285" t="str">
        <x:v>PPV посчитана неверно: при prevalence 1%, sensitivity 99%, specificity 95% результат около 16,7%, а не 50%.</x:v>
      </x:c>
    </x:row>
    <x:row r="520">
      <x:c r="A520" s="308" t="str">
        <x:v>gemma-4-e2b-hauhaucs-aggressive</x:v>
      </x:c>
      <x:c r="B520" s="309" t="str">
        <x:v>thinking</x:v>
      </x:c>
      <x:c r="C520" s="309" t="str">
        <x:v>MED-1</x:v>
      </x:c>
      <x:c r="D520" s="309" t="str">
        <x:v>МЕДИЦИНСКИЕ ЗНАНИЯ</x:v>
      </x:c>
      <x:c r="E520" s="403" t="n">
        <x:v>60</x:v>
      </x:c>
      <x:c r="F520" s="309" t="str">
        <x:v>ЧАСТИЧНО</x:v>
      </x:c>
      <x:c r="G520" s="285" t="str">
        <x:v>Частично корректно: решение применимо по основной идее, но содержит заметные неточности/пробелы.</x:v>
      </x:c>
    </x:row>
    <x:row r="521">
      <x:c r="A521" s="308" t="str">
        <x:v>gemma-4-e2b-hauhaucs-aggressive</x:v>
      </x:c>
      <x:c r="B521" s="309" t="str">
        <x:v>thinking</x:v>
      </x:c>
      <x:c r="C521" s="309" t="str">
        <x:v>MED-2</x:v>
      </x:c>
      <x:c r="D521" s="309" t="str">
        <x:v>МЕДИЦИНСКИЕ ЗНАНИЯ</x:v>
      </x:c>
      <x:c r="E521" s="403" t="n">
        <x:v>60</x:v>
      </x:c>
      <x:c r="F521" s="309" t="str">
        <x:v>ЧАСТИЧНО</x:v>
      </x:c>
      <x:c r="G521" s="285" t="str">
        <x:v>Частично корректно: решение применимо по основной идее, но содержит заметные неточности/пробелы.</x:v>
      </x:c>
    </x:row>
    <x:row r="522">
      <x:c r="A522" s="308" t="str">
        <x:v>gemma-4-e2b-hauhaucs-aggressive</x:v>
      </x:c>
      <x:c r="B522" s="309" t="str">
        <x:v>thinking</x:v>
      </x:c>
      <x:c r="C522" s="309" t="str">
        <x:v>MED-3</x:v>
      </x:c>
      <x:c r="D522" s="309" t="str">
        <x:v>МЕДИЦИНСКИЕ ЗНАНИЯ</x:v>
      </x:c>
      <x:c r="E522" s="403" t="n">
        <x:v>60</x:v>
      </x:c>
      <x:c r="F522" s="309" t="str">
        <x:v>ЧАСТИЧНО</x:v>
      </x:c>
      <x:c r="G522" s="285" t="str">
        <x:v>Частично корректно: решение применимо по основной идее, но содержит заметные неточности/пробелы.</x:v>
      </x:c>
    </x:row>
    <x:row r="523">
      <x:c r="A523" s="308" t="str">
        <x:v>gemma-4-e2b-hauhaucs-aggressive</x:v>
      </x:c>
      <x:c r="B523" s="309" t="str">
        <x:v>thinking</x:v>
      </x:c>
      <x:c r="C523" s="309" t="str">
        <x:v>MED-4</x:v>
      </x:c>
      <x:c r="D523" s="309" t="str">
        <x:v>МЕДИЦИНСКИЕ ЗНАНИЯ</x:v>
      </x:c>
      <x:c r="E523" s="403" t="n">
        <x:v>60</x:v>
      </x:c>
      <x:c r="F523" s="309" t="str">
        <x:v>ЧАСТИЧНО</x:v>
      </x:c>
      <x:c r="G523" s="285" t="str">
        <x:v>Частично корректно: решение применимо по основной идее, но содержит заметные неточности/пробелы.</x:v>
      </x:c>
    </x:row>
    <x:row r="524">
      <x:c r="A524" s="308" t="str">
        <x:v>gemma-4-e2b-hauhaucs-aggressive</x:v>
      </x:c>
      <x:c r="B524" s="309" t="str">
        <x:v>thinking</x:v>
      </x:c>
      <x:c r="C524" s="309" t="str">
        <x:v>MED-5</x:v>
      </x:c>
      <x:c r="D524" s="309" t="str">
        <x:v>МЕДИЦИНСКИЕ ЗНАНИЯ</x:v>
      </x:c>
      <x:c r="E524" s="403" t="n">
        <x:v>20</x:v>
      </x:c>
      <x:c r="F524" s="309" t="str">
        <x:v>КРИТИЧЕСКАЯ ОШИБКА</x:v>
      </x:c>
      <x:c r="G524" s="285" t="str">
        <x:v>Нормальная температура не исключает даже острую бактериальную инфекцию; ответ содержит противоречивое утверждение об исключении.</x:v>
      </x:c>
    </x:row>
    <x:row r="525">
      <x:c r="A525" s="308" t="str">
        <x:v>gemma-4-e2b-hauhaucs-aggressive</x:v>
      </x:c>
      <x:c r="B525" s="309" t="str">
        <x:v>thinking</x:v>
      </x:c>
      <x:c r="C525" s="309" t="str">
        <x:v>MED-6</x:v>
      </x:c>
      <x:c r="D525" s="309" t="str">
        <x:v>МЕДИЦИНСКИЕ ЗНАНИЯ</x:v>
      </x:c>
      <x:c r="E525" s="403" t="n">
        <x:v>60</x:v>
      </x:c>
      <x:c r="F525" s="309" t="str">
        <x:v>ЧАСТИЧНО</x:v>
      </x:c>
      <x:c r="G525" s="285" t="str">
        <x:v>Частично корректно: решение применимо по основной идее, но содержит заметные неточности/пробелы.</x:v>
      </x:c>
    </x:row>
    <x:row r="526">
      <x:c r="A526" s="308" t="str">
        <x:v>gemma-4-e2b-hauhaucs-aggressive</x:v>
      </x:c>
      <x:c r="B526" s="309" t="str">
        <x:v>thinking</x:v>
      </x:c>
      <x:c r="C526" s="309" t="str">
        <x:v>MED-7</x:v>
      </x:c>
      <x:c r="D526" s="309" t="str">
        <x:v>МЕДИЦИНСКИЕ ЗНАНИЯ</x:v>
      </x:c>
      <x:c r="E526" s="403" t="n">
        <x:v>20</x:v>
      </x:c>
      <x:c r="F526" s="309" t="str">
        <x:v>КРИТИЧЕСКАЯ ОШИБКА</x:v>
      </x:c>
      <x:c r="G526" s="285" t="str">
        <x:v>Классическая комбинация жажда+полиурия+похудение требует проверки сахарного диабета; ответ выделяет дегидратацию/гипогликемию.</x:v>
      </x:c>
    </x:row>
    <x:row r="527">
      <x:c r="A527" s="308" t="str">
        <x:v>gemma-4-e2b-hauhaucs-aggressive</x:v>
      </x:c>
      <x:c r="B527" s="309" t="str">
        <x:v>thinking</x:v>
      </x:c>
      <x:c r="C527" s="309" t="str">
        <x:v>MED-8</x:v>
      </x:c>
      <x:c r="D527" s="309" t="str">
        <x:v>МЕДИЦИНСКИЕ ЗНАНИЯ</x:v>
      </x:c>
      <x:c r="E527" s="403" t="n">
        <x:v>40</x:v>
      </x:c>
      <x:c r="F527" s="309" t="str">
        <x:v>СУЩЕСТВЕННО</x:v>
      </x:c>
      <x:c r="G527" s="285" t="str">
        <x:v>Общий приоритет оценки сознания/дыхания указан, но недостаточно чётко сформулированы немедленный вызов экстренной помощи/AED и СЛР при отсутствии нормального дыхания.</x:v>
      </x:c>
    </x:row>
    <x:row r="528">
      <x:c r="A528" s="308" t="str">
        <x:v>gemma-4-e2b-hauhaucs-aggressive</x:v>
      </x:c>
      <x:c r="B528" s="309" t="str">
        <x:v>thinking</x:v>
      </x:c>
      <x:c r="C528" s="309" t="str">
        <x:v>MEM-13</x:v>
      </x:c>
      <x:c r="D528" s="309" t="str">
        <x:v>ДЛИННЫЙ КОНТЕКСТ И ТОЧНОЕ СЛЕДОВАНИЕ РАННИМ УСЛОВИЯМ</x:v>
      </x:c>
      <x:c r="E528" s="403"/>
      <x:c r="F528" s="309" t="str">
        <x:v>ПРОПУСК</x:v>
      </x:c>
      <x:c r="G528" s="285" t="str">
        <x:v>Пропуск: задание отсутствует в ответе.</x:v>
      </x:c>
    </x:row>
    <x:row r="529">
      <x:c r="A529" s="308" t="str">
        <x:v>gemma-4-e2b-hauhaucs-aggressive</x:v>
      </x:c>
      <x:c r="B529" s="309" t="str">
        <x:v>thinking</x:v>
      </x:c>
      <x:c r="C529" s="309" t="str">
        <x:v>MEM-14</x:v>
      </x:c>
      <x:c r="D529" s="309" t="str">
        <x:v>ДЛИННЫЙ КОНТЕКСТ И ТОЧНОЕ СЛЕДОВАНИЕ РАННИМ УСЛОВИЯМ</x:v>
      </x:c>
      <x:c r="E529" s="403" t="n">
        <x:v>40</x:v>
      </x:c>
      <x:c r="F529" s="309" t="str">
        <x:v>СУЩЕСТВЕННО</x:v>
      </x:c>
      <x:c r="G529" s="285" t="str">
        <x:v>Учтены tenant/idempotency/timeout, но явно не соблюдены максимум 2 повтора после первой попытки, условие доказуемой идемпотентности и полная политика безопасных логов.</x:v>
      </x:c>
    </x:row>
    <x:row r="530">
      <x:c r="A530" s="308" t="str">
        <x:v>gemma-4-e2b-hauhaucs-aggressive</x:v>
      </x:c>
      <x:c r="B530" s="309" t="str">
        <x:v>thinking</x:v>
      </x:c>
      <x:c r="C530" s="309" t="str">
        <x:v>OPS-1</x:v>
      </x:c>
      <x:c r="D530" s="309" t="str">
        <x:v>LINUX, SYSTEMD И NGINX</x:v>
      </x:c>
      <x:c r="E530" s="403" t="n">
        <x:v>60</x:v>
      </x:c>
      <x:c r="F530" s="309" t="str">
        <x:v>ЧАСТИЧНО</x:v>
      </x:c>
      <x:c r="G530" s="285" t="str">
        <x:v>Частично корректно: решение применимо по основной идее, но содержит заметные неточности/пробелы.</x:v>
      </x:c>
    </x:row>
    <x:row r="531">
      <x:c r="A531" s="308" t="str">
        <x:v>gemma-4-e2b-hauhaucs-aggressive</x:v>
      </x:c>
      <x:c r="B531" s="309" t="str">
        <x:v>thinking</x:v>
      </x:c>
      <x:c r="C531" s="309" t="str">
        <x:v>OPS-2</x:v>
      </x:c>
      <x:c r="D531" s="309" t="str">
        <x:v>LINUX, SYSTEMD И NGINX</x:v>
      </x:c>
      <x:c r="E531" s="403" t="n">
        <x:v>40</x:v>
      </x:c>
      <x:c r="F531" s="309" t="str">
        <x:v>СУЩЕСТВЕННО</x:v>
      </x:c>
      <x:c r="G531" s="285" t="str">
        <x:v>Пропущена одна из главных причин расхождения df/du — удалённые, но ещё открытые процессами файлы; проверки неполны.</x:v>
      </x:c>
    </x:row>
    <x:row r="532">
      <x:c r="A532" s="308" t="str">
        <x:v>gemma-4-e2b-hauhaucs-aggressive</x:v>
      </x:c>
      <x:c r="B532" s="309" t="str">
        <x:v>thinking</x:v>
      </x:c>
      <x:c r="C532" s="309" t="str">
        <x:v>OPS-3</x:v>
      </x:c>
      <x:c r="D532" s="309" t="str">
        <x:v>LINUX, SYSTEMD И NGINX</x:v>
      </x:c>
      <x:c r="E532" s="403" t="n">
        <x:v>60</x:v>
      </x:c>
      <x:c r="F532" s="309" t="str">
        <x:v>ЧАСТИЧНО</x:v>
      </x:c>
      <x:c r="G532" s="285" t="str">
        <x:v>Частично корректно: решение применимо по основной идее, но содержит заметные неточности/пробелы.</x:v>
      </x:c>
    </x:row>
    <x:row r="533">
      <x:c r="A533" s="308" t="str">
        <x:v>gemma-4-e2b-hauhaucs-aggressive</x:v>
      </x:c>
      <x:c r="B533" s="309" t="str">
        <x:v>thinking</x:v>
      </x:c>
      <x:c r="C533" s="309" t="str">
        <x:v>OPS-4</x:v>
      </x:c>
      <x:c r="D533" s="309" t="str">
        <x:v>LINUX, SYSTEMD И NGINX</x:v>
      </x:c>
      <x:c r="E533" s="403" t="n">
        <x:v>60</x:v>
      </x:c>
      <x:c r="F533" s="309" t="str">
        <x:v>ЧАСТИЧНО</x:v>
      </x:c>
      <x:c r="G533" s="285" t="str">
        <x:v>Частично корректно: решение применимо по основной идее, но содержит заметные неточности/пробелы.</x:v>
      </x:c>
    </x:row>
    <x:row r="534">
      <x:c r="A534" s="308" t="str">
        <x:v>gemma-4-e2b-hauhaucs-aggressive</x:v>
      </x:c>
      <x:c r="B534" s="309" t="str">
        <x:v>thinking</x:v>
      </x:c>
      <x:c r="C534" s="309" t="str">
        <x:v>OPS-6</x:v>
      </x:c>
      <x:c r="D534" s="309" t="str">
        <x:v>LINUX, SYSTEMD И NGINX</x:v>
      </x:c>
      <x:c r="E534" s="403" t="n">
        <x:v>60</x:v>
      </x:c>
      <x:c r="F534" s="309" t="str">
        <x:v>ЧАСТИЧНО</x:v>
      </x:c>
      <x:c r="G534" s="285" t="str">
        <x:v>Частично корректно: решение применимо по основной идее, но содержит заметные неточности/пробелы.</x:v>
      </x:c>
    </x:row>
    <x:row r="535">
      <x:c r="A535" s="308" t="str">
        <x:v>gemma-4-e2b-hauhaucs-aggressive</x:v>
      </x:c>
      <x:c r="B535" s="309" t="str">
        <x:v>thinking</x:v>
      </x:c>
      <x:c r="C535" s="309" t="str">
        <x:v>PHP-1</x:v>
      </x:c>
      <x:c r="D535" s="309" t="str">
        <x:v>PHP 8.2+ — ПОНИМАНИЕ, БЕЗОПАСНОСТЬ И АРХИТЕКТУРА</x:v>
      </x:c>
      <x:c r="E535" s="403" t="n">
        <x:v>60</x:v>
      </x:c>
      <x:c r="F535" s="309" t="str">
        <x:v>ЧАСТИЧНО</x:v>
      </x:c>
      <x:c r="G535" s="285" t="str">
        <x:v>Частично корректно: решение применимо по основной идее, но содержит заметные неточности/пробелы.</x:v>
      </x:c>
    </x:row>
    <x:row r="536">
      <x:c r="A536" s="308" t="str">
        <x:v>gemma-4-e2b-hauhaucs-aggressive</x:v>
      </x:c>
      <x:c r="B536" s="309" t="str">
        <x:v>thinking</x:v>
      </x:c>
      <x:c r="C536" s="309" t="str">
        <x:v>PHP-2</x:v>
      </x:c>
      <x:c r="D536" s="309" t="str">
        <x:v>PHP 8.2+ — ПОНИМАНИЕ, БЕЗОПАСНОСТЬ И АРХИТЕКТУРА</x:v>
      </x:c>
      <x:c r="E536" s="403" t="n">
        <x:v>20</x:v>
      </x:c>
      <x:c r="F536" s="309" t="str">
        <x:v>КРИТИЧЕСКАЯ ОШИБКА</x:v>
      </x:c>
      <x:c r="G536" s="285" t="str">
        <x:v>Объект объявлен неизменяемым, но add() мутирует `$this-&gt;amount` и возвращает тот же объект.</x:v>
      </x:c>
    </x:row>
    <x:row r="537">
      <x:c r="A537" s="308" t="str">
        <x:v>gemma-4-e2b-hauhaucs-aggressive</x:v>
      </x:c>
      <x:c r="B537" s="309" t="str">
        <x:v>thinking</x:v>
      </x:c>
      <x:c r="C537" s="309" t="str">
        <x:v>PHP-3</x:v>
      </x:c>
      <x:c r="D537" s="309" t="str">
        <x:v>PHP 8.2+ — ПОНИМАНИЕ, БЕЗОПАСНОСТЬ И АРХИТЕКТУРА</x:v>
      </x:c>
      <x:c r="E537" s="403" t="n">
        <x:v>60</x:v>
      </x:c>
      <x:c r="F537" s="309" t="str">
        <x:v>ЧАСТИЧНО</x:v>
      </x:c>
      <x:c r="G537" s="285" t="str">
        <x:v>Частично корректно: решение применимо по основной идее, но содержит заметные неточности/пробелы.</x:v>
      </x:c>
    </x:row>
    <x:row r="538">
      <x:c r="A538" s="308" t="str">
        <x:v>gemma-4-e2b-hauhaucs-aggressive</x:v>
      </x:c>
      <x:c r="B538" s="309" t="str">
        <x:v>thinking</x:v>
      </x:c>
      <x:c r="C538" s="309" t="str">
        <x:v>PHP-4</x:v>
      </x:c>
      <x:c r="D538" s="309" t="str">
        <x:v>PHP 8.2+ — ПОНИМАНИЕ, БЕЗОПАСНОСТЬ И АРХИТЕКТУРА</x:v>
      </x:c>
      <x:c r="E538" s="403" t="n">
        <x:v>60</x:v>
      </x:c>
      <x:c r="F538" s="309" t="str">
        <x:v>ЧАСТИЧНО</x:v>
      </x:c>
      <x:c r="G538" s="285" t="str">
        <x:v>Строгое сравнение типов важно, но для секретного токена стоило явно использовать timing-safe `hash_equals()`; часть ответа недостаточно точна.</x:v>
      </x:c>
    </x:row>
    <x:row r="539">
      <x:c r="A539" s="308" t="str">
        <x:v>gemma-4-e2b-hauhaucs-aggressive</x:v>
      </x:c>
      <x:c r="B539" s="309" t="str">
        <x:v>thinking</x:v>
      </x:c>
      <x:c r="C539" s="309" t="str">
        <x:v>PHP-5</x:v>
      </x:c>
      <x:c r="D539" s="309" t="str">
        <x:v>PHP 8.2+ — ПОНИМАНИЕ, БЕЗОПАСНОСТЬ И АРХИТЕКТУРА</x:v>
      </x:c>
      <x:c r="E539" s="403" t="n">
        <x:v>60</x:v>
      </x:c>
      <x:c r="F539" s="309" t="str">
        <x:v>ЧАСТИЧНО</x:v>
      </x:c>
      <x:c r="G539" s="285" t="str">
        <x:v>Частично корректно: решение применимо по основной идее, но содержит заметные неточности/пробелы.</x:v>
      </x:c>
    </x:row>
    <x:row r="540">
      <x:c r="A540" s="308" t="str">
        <x:v>gemma-4-e2b-hauhaucs-aggressive</x:v>
      </x:c>
      <x:c r="B540" s="309" t="str">
        <x:v>thinking</x:v>
      </x:c>
      <x:c r="C540" s="309" t="str">
        <x:v>PHP-6</x:v>
      </x:c>
      <x:c r="D540" s="309" t="str">
        <x:v>PHP 8.2+ — ПОНИМАНИЕ, БЕЗОПАСНОСТЬ И АРХИТЕКТУРА</x:v>
      </x:c>
      <x:c r="E540" s="403" t="n">
        <x:v>60</x:v>
      </x:c>
      <x:c r="F540" s="309" t="str">
        <x:v>ЧАСТИЧНО</x:v>
      </x:c>
      <x:c r="G540" s="285" t="str">
        <x:v>Частично корректно: решение применимо по основной идее, но содержит заметные неточности/пробелы.</x:v>
      </x:c>
    </x:row>
    <x:row r="541">
      <x:c r="A541" s="308" t="str">
        <x:v>gemma-4-e2b-hauhaucs-aggressive</x:v>
      </x:c>
      <x:c r="B541" s="309" t="str">
        <x:v>thinking</x:v>
      </x:c>
      <x:c r="C541" s="309" t="str">
        <x:v>PHP-7</x:v>
      </x:c>
      <x:c r="D541" s="309" t="str">
        <x:v>PHP 8.2+ — ПОНИМАНИЕ, БЕЗОПАСНОСТЬ И АРХИТЕКТУРА</x:v>
      </x:c>
      <x:c r="E541" s="403" t="n">
        <x:v>60</x:v>
      </x:c>
      <x:c r="F541" s="309" t="str">
        <x:v>ЧАСТИЧНО</x:v>
      </x:c>
      <x:c r="G541" s="285" t="str">
        <x:v>Базовые проверки названы, но есть излишнее доверие MIME/недостаточно строгая изоляция и повторное декодирование изображения.</x:v>
      </x:c>
    </x:row>
    <x:row r="542">
      <x:c r="A542" s="308" t="str">
        <x:v>gemma-4-e2b-hauhaucs-aggressive</x:v>
      </x:c>
      <x:c r="B542" s="309" t="str">
        <x:v>thinking</x:v>
      </x:c>
      <x:c r="C542" s="309" t="str">
        <x:v>PHP-8</x:v>
      </x:c>
      <x:c r="D542" s="309" t="str">
        <x:v>PHP 8.2+ — ПОНИМАНИЕ, БЕЗОПАСНОСТЬ И АРХИТЕКТУРА</x:v>
      </x:c>
      <x:c r="E542" s="403" t="n">
        <x:v>20</x:v>
      </x:c>
      <x:c r="F542" s="309" t="str">
        <x:v>КРИТИЧЕСКАЯ ОШИБКА</x:v>
      </x:c>
      <x:c r="G542" s="285" t="str">
        <x:v>trim() применяется до проверки типа: произвольные значения вроде массива/объекта могут вызвать TypeError.</x:v>
      </x:c>
    </x:row>
    <x:row r="543">
      <x:c r="A543" s="308" t="str">
        <x:v>gemma-4-e2b-hauhaucs-aggressive</x:v>
      </x:c>
      <x:c r="B543" s="309" t="str">
        <x:v>thinking</x:v>
      </x:c>
      <x:c r="C543" s="309" t="str">
        <x:v>R-1</x:v>
      </x:c>
      <x:c r="D543" s="309" t="str">
        <x:v>РАССУЖДЕНИЕ И ЛОГИКА</x:v>
      </x:c>
      <x:c r="E543" s="403" t="n">
        <x:v>0</x:v>
      </x:c>
      <x:c r="F543" s="309" t="str">
        <x:v>КРИТИЧЕСКАЯ ОШИБКА</x:v>
      </x:c>
      <x:c r="G543" s="285" t="str">
        <x:v>Предложен порядок B,A,E,C,D: B стоит первой, а C и D идут подряд; модель ошибочно объявляет оба нарушения выполненными.</x:v>
      </x:c>
    </x:row>
    <x:row r="544">
      <x:c r="A544" s="308" t="str">
        <x:v>gemma-4-e2b-hauhaucs-aggressive</x:v>
      </x:c>
      <x:c r="B544" s="309" t="str">
        <x:v>thinking</x:v>
      </x:c>
      <x:c r="C544" s="309" t="str">
        <x:v>R-3</x:v>
      </x:c>
      <x:c r="D544" s="309" t="str">
        <x:v>РАССУЖДЕНИЕ И ЛОГИКА</x:v>
      </x:c>
      <x:c r="E544" s="403" t="n">
        <x:v>60</x:v>
      </x:c>
      <x:c r="F544" s="309" t="str">
        <x:v>ЧАСТИЧНО</x:v>
      </x:c>
      <x:c r="G544" s="285" t="str">
        <x:v>Верно замечен рост числа SQL/N+1, но первые проверки смещены к планам отдельных запросов и внешнему API, хотя время единичного SQL не выросло.</x:v>
      </x:c>
    </x:row>
    <x:row r="545">
      <x:c r="A545" s="308" t="str">
        <x:v>gemma-4-e2b-hauhaucs-aggressive</x:v>
      </x:c>
      <x:c r="B545" s="309" t="str">
        <x:v>thinking</x:v>
      </x:c>
      <x:c r="C545" s="309" t="str">
        <x:v>R-4</x:v>
      </x:c>
      <x:c r="D545" s="309" t="str">
        <x:v>РАССУЖДЕНИЕ И ЛОГИКА</x:v>
      </x:c>
      <x:c r="E545" s="403" t="n">
        <x:v>20</x:v>
      </x:c>
      <x:c r="F545" s="309" t="str">
        <x:v>КРИТИЧЕСКАЯ ОШИБКА</x:v>
      </x:c>
      <x:c r="G545" s="285" t="str">
        <x:v>Ответ «2» верный, но стратегия 4×4 некорректна: при дисбалансе остаются 4 кандидата и одного взвешивания недостаточно.</x:v>
      </x:c>
    </x:row>
    <x:row r="546">
      <x:c r="A546" s="308" t="str">
        <x:v>gemma-4-e2b-hauhaucs-aggressive</x:v>
      </x:c>
      <x:c r="B546" s="309" t="str">
        <x:v>thinking</x:v>
      </x:c>
      <x:c r="C546" s="309" t="str">
        <x:v>R-7</x:v>
      </x:c>
      <x:c r="D546" s="309" t="str">
        <x:v>РАССУЖДЕНИЕ И ЛОГИКА</x:v>
      </x:c>
      <x:c r="E546" s="403" t="n">
        <x:v>20</x:v>
      </x:c>
      <x:c r="F546" s="309" t="str">
        <x:v>КРИТИЧЕСКАЯ ОШИБКА</x:v>
      </x:c>
      <x:c r="G546" s="285" t="str">
        <x:v>Не найден очевидный ряд квадратов разностей 4,9,16,25; ответ скачет между 93/114 и произвольными правилами.</x:v>
      </x:c>
    </x:row>
    <x:row r="547">
      <x:c r="A547" s="308" t="str">
        <x:v>gemma-4-e2b-hauhaucs-aggressive</x:v>
      </x:c>
      <x:c r="B547" s="309" t="str">
        <x:v>thinking</x:v>
      </x:c>
      <x:c r="C547" s="309" t="str">
        <x:v>R-8</x:v>
      </x:c>
      <x:c r="D547" s="309" t="str">
        <x:v>РАССУЖДЕНИЕ И ЛОГИКА</x:v>
      </x:c>
      <x:c r="E547" s="403" t="n">
        <x:v>0</x:v>
      </x:c>
      <x:c r="F547" s="309" t="str">
        <x:v>КРИТИЧЕСКАЯ ОШИБКА</x:v>
      </x:c>
      <x:c r="G547" s="285" t="str">
        <x:v>Ответ не на задачу миграции 2 ТБ: вместо плана миграции описана архитектура Orion Ledger/обработки документов.</x:v>
      </x:c>
    </x:row>
    <x:row r="548">
      <x:c r="A548" s="308" t="str">
        <x:v>gemma-4-e2b-hauhaucs-aggressive</x:v>
      </x:c>
      <x:c r="B548" s="309" t="str">
        <x:v>thinking</x:v>
      </x:c>
      <x:c r="C548" s="309" t="str">
        <x:v>REGEX-1</x:v>
      </x:c>
      <x:c r="D548" s="309" t="str">
        <x:v>РЕГУЛЯРНЫЕ ВЫРАЖЕНИЯ И ПАРСИНГ</x:v>
      </x:c>
      <x:c r="E548" s="403" t="n">
        <x:v>60</x:v>
      </x:c>
      <x:c r="F548" s="309" t="str">
        <x:v>ЧАСТИЧНО</x:v>
      </x:c>
      <x:c r="G548" s="285" t="str">
        <x:v>Квантификатор `{2,30}` после первой буквы даёт общую длину 3–31, а требуется 3–32; нужно `{2,31}`.</x:v>
      </x:c>
    </x:row>
    <x:row r="549">
      <x:c r="A549" s="308" t="str">
        <x:v>gemma-4-e2b-hauhaucs-aggressive</x:v>
      </x:c>
      <x:c r="B549" s="309" t="str">
        <x:v>thinking</x:v>
      </x:c>
      <x:c r="C549" s="309" t="str">
        <x:v>SCI-2</x:v>
      </x:c>
      <x:c r="D549" s="309" t="str">
        <x:v>НАУКА</x:v>
      </x:c>
      <x:c r="E549" s="403" t="n">
        <x:v>20</x:v>
      </x:c>
      <x:c r="F549" s="309" t="str">
        <x:v>КРИТИЧЕСКАЯ ОШИБКА</x:v>
      </x:c>
      <x:c r="G549" s="285" t="str">
        <x:v>Циклическая машина, превращающая всё тепло одного резервуара в работу без иных изменений, невозможна по формулировке Кельвина—Планка второго закона; ответ утверждает/допускает обратное.</x:v>
      </x:c>
    </x:row>
    <x:row r="550">
      <x:c r="A550" s="308" t="str">
        <x:v>gemma-4-e2b-hauhaucs-aggressive</x:v>
      </x:c>
      <x:c r="B550" s="309" t="str">
        <x:v>thinking</x:v>
      </x:c>
      <x:c r="C550" s="309" t="str">
        <x:v>SCI-5</x:v>
      </x:c>
      <x:c r="D550" s="309" t="str">
        <x:v>НАУКА</x:v>
      </x:c>
      <x:c r="E550" s="403" t="n">
        <x:v>60</x:v>
      </x:c>
      <x:c r="F550" s="309" t="str">
        <x:v>ЧАСТИЧНО</x:v>
      </x:c>
      <x:c r="G550" s="285" t="str">
        <x:v>Верно отвергается ламаркистская формулировка, но фраза об адаптации отдельного организма «через мутации и естественный отбор» неточна.</x:v>
      </x:c>
    </x:row>
    <x:row r="551">
      <x:c r="A551" s="308" t="str">
        <x:v>gemma-4-e2b-hauhaucs-aggressive</x:v>
      </x:c>
      <x:c r="B551" s="309" t="str">
        <x:v>thinking</x:v>
      </x:c>
      <x:c r="C551" s="309" t="str">
        <x:v>SEC-1</x:v>
      </x:c>
      <x:c r="D551" s="309" t="str">
        <x:v>БЕЗОПАСНОСТЬ</x:v>
      </x:c>
      <x:c r="E551" s="403" t="n">
        <x:v>40</x:v>
      </x:c>
      <x:c r="F551" s="309" t="str">
        <x:v>СУЩЕСТВЕННО</x:v>
      </x:c>
      <x:c r="G551" s="285" t="str">
        <x:v>Найдены SQL injection и path traversal, но аудит неполон: пропущены объектная авторизация/tenant ownership; есть ошибочная фраза, будто `$file` участвует в SQL.</x:v>
      </x:c>
    </x:row>
    <x:row r="552">
      <x:c r="A552" s="308" t="str">
        <x:v>gemma-4-e2b-hauhaucs-aggressive</x:v>
      </x:c>
      <x:c r="B552" s="309" t="str">
        <x:v>thinking</x:v>
      </x:c>
      <x:c r="C552" s="309" t="str">
        <x:v>SH-1</x:v>
      </x:c>
      <x:c r="D552" s="309" t="str">
        <x:v>BASH, ZSH И macOS TERMINAL</x:v>
      </x:c>
      <x:c r="E552" s="403" t="n">
        <x:v>60</x:v>
      </x:c>
      <x:c r="F552" s="309" t="str">
        <x:v>ЧАСТИЧНО</x:v>
      </x:c>
      <x:c r="G552" s="285" t="str">
        <x:v>Частично корректно: решение применимо по основной идее, но содержит заметные неточности/пробелы.</x:v>
      </x:c>
    </x:row>
    <x:row r="553">
      <x:c r="A553" s="308" t="str">
        <x:v>gemma-4-e2b-hauhaucs-aggressive</x:v>
      </x:c>
      <x:c r="B553" s="309" t="str">
        <x:v>thinking</x:v>
      </x:c>
      <x:c r="C553" s="309" t="str">
        <x:v>SH-2</x:v>
      </x:c>
      <x:c r="D553" s="309" t="str">
        <x:v>BASH, ZSH И macOS TERMINAL</x:v>
      </x:c>
      <x:c r="E553" s="403" t="n">
        <x:v>0</x:v>
      </x:c>
      <x:c r="F553" s="309" t="str">
        <x:v>КРИТИЧЕСКАЯ ОШИБКА</x:v>
      </x:c>
      <x:c r="G553" s="285" t="str">
        <x:v>Не выполнено требование посчитать только обычные файлы непосредственно в каталоге и безопасно учитывать имена с переводами строк.</x:v>
      </x:c>
    </x:row>
    <x:row r="554">
      <x:c r="A554" s="308" t="str">
        <x:v>gemma-4-e2b-hauhaucs-aggressive</x:v>
      </x:c>
      <x:c r="B554" s="309" t="str">
        <x:v>thinking</x:v>
      </x:c>
      <x:c r="C554" s="309" t="str">
        <x:v>SH-3</x:v>
      </x:c>
      <x:c r="D554" s="309" t="str">
        <x:v>BASH, ZSH И macOS TERMINAL</x:v>
      </x:c>
      <x:c r="E554" s="403" t="n">
        <x:v>40</x:v>
      </x:c>
      <x:c r="F554" s="309" t="str">
        <x:v>СУЩЕСТВЕННО</x:v>
      </x:c>
      <x:c r="G554" s="285" t="str">
        <x:v>Обсуждаются пробелы, но главный логический риск пустого/неверного DIR и превращения пути в `/*` раскрыт недостаточно.</x:v>
      </x:c>
    </x:row>
    <x:row r="555">
      <x:c r="A555" s="308" t="str">
        <x:v>gemma-4-e2b-hauhaucs-aggressive</x:v>
      </x:c>
      <x:c r="B555" s="309" t="str">
        <x:v>thinking</x:v>
      </x:c>
      <x:c r="C555" s="309" t="str">
        <x:v>SH-4</x:v>
      </x:c>
      <x:c r="D555" s="309" t="str">
        <x:v>BASH, ZSH И macOS TERMINAL</x:v>
      </x:c>
      <x:c r="E555" s="403" t="n">
        <x:v>60</x:v>
      </x:c>
      <x:c r="F555" s="309" t="str">
        <x:v>ЧАСТИЧНО</x:v>
      </x:c>
      <x:c r="G555" s="285" t="str">
        <x:v>Частично корректно: решение применимо по основной идее, но содержит заметные неточности/пробелы.</x:v>
      </x:c>
    </x:row>
    <x:row r="556">
      <x:c r="A556" s="308" t="str">
        <x:v>gemma-4-e2b-hauhaucs-aggressive</x:v>
      </x:c>
      <x:c r="B556" s="309" t="str">
        <x:v>thinking</x:v>
      </x:c>
      <x:c r="C556" s="309" t="str">
        <x:v>SH-6</x:v>
      </x:c>
      <x:c r="D556" s="309" t="str">
        <x:v>BASH, ZSH И macOS TERMINAL</x:v>
      </x:c>
      <x:c r="E556" s="403" t="n">
        <x:v>60</x:v>
      </x:c>
      <x:c r="F556" s="309" t="str">
        <x:v>ЧАСТИЧНО</x:v>
      </x:c>
      <x:c r="G556" s="285" t="str">
        <x:v>Частично корректно: решение применимо по основной идее, но содержит заметные неточности/пробелы.</x:v>
      </x:c>
    </x:row>
    <x:row r="557">
      <x:c r="A557" s="308" t="str">
        <x:v>gemma-4-e2b-hauhaucs-aggressive</x:v>
      </x:c>
      <x:c r="B557" s="309" t="str">
        <x:v>thinking</x:v>
      </x:c>
      <x:c r="C557" s="309" t="str">
        <x:v>SH-7</x:v>
      </x:c>
      <x:c r="D557" s="309" t="str">
        <x:v>BASH, ZSH И macOS TERMINAL</x:v>
      </x:c>
      <x:c r="E557" s="403" t="n">
        <x:v>60</x:v>
      </x:c>
      <x:c r="F557" s="309" t="str">
        <x:v>ЧАСТИЧНО</x:v>
      </x:c>
      <x:c r="G557" s="285" t="str">
        <x:v>Частично корректно: решение применимо по основной идее, но содержит заметные неточности/пробелы.</x:v>
      </x:c>
    </x:row>
    <x:row r="558">
      <x:c r="A558" s="308" t="str">
        <x:v>gemma-4-e2b-hauhaucs-aggressive</x:v>
      </x:c>
      <x:c r="B558" s="309" t="str">
        <x:v>thinking</x:v>
      </x:c>
      <x:c r="C558" s="309" t="str">
        <x:v>WEB-1</x:v>
      </x:c>
      <x:c r="D558" s="309" t="str">
        <x:v>HTML, CSS, SVG И ДОСТУПНОСТЬ</x:v>
      </x:c>
      <x:c r="E558" s="403" t="n">
        <x:v>60</x:v>
      </x:c>
      <x:c r="F558" s="309" t="str">
        <x:v>ЧАСТИЧНО</x:v>
      </x:c>
      <x:c r="G558" s="285" t="str">
        <x:v>Частично корректно: решение применимо по основной идее, но содержит заметные неточности/пробелы.</x:v>
      </x:c>
    </x:row>
    <x:row r="559">
      <x:c r="A559" s="308" t="str">
        <x:v>gemma-4-e2b-hauhaucs-aggressive</x:v>
      </x:c>
      <x:c r="B559" s="309" t="str">
        <x:v>thinking</x:v>
      </x:c>
      <x:c r="C559" s="309" t="str">
        <x:v>WEB-2</x:v>
      </x:c>
      <x:c r="D559" s="309" t="str">
        <x:v>HTML, CSS, SVG И ДОСТУПНОСТЬ</x:v>
      </x:c>
      <x:c r="E559" s="403" t="n">
        <x:v>60</x:v>
      </x:c>
      <x:c r="F559" s="309" t="str">
        <x:v>ЧАСТИЧНО</x:v>
      </x:c>
      <x:c r="G559" s="285" t="str">
        <x:v>Частично корректно: решение применимо по основной идее, но содержит заметные неточности/пробелы.</x:v>
      </x:c>
    </x:row>
    <x:row r="560">
      <x:c r="A560" s="308" t="str">
        <x:v>gemma-4-e2b-hauhaucs-aggressive</x:v>
      </x:c>
      <x:c r="B560" s="309" t="str">
        <x:v>thinking</x:v>
      </x:c>
      <x:c r="C560" s="309" t="str">
        <x:v>WEB-3</x:v>
      </x:c>
      <x:c r="D560" s="309" t="str">
        <x:v>HTML, CSS, SVG И ДОСТУПНОСТЬ</x:v>
      </x:c>
      <x:c r="E560" s="403" t="n">
        <x:v>60</x:v>
      </x:c>
      <x:c r="F560" s="309" t="str">
        <x:v>ЧАСТИЧНО</x:v>
      </x:c>
      <x:c r="G560" s="285" t="str">
        <x:v>`repeat(auto-fit,minmax(240px,1fr))` адаптивен, но без дополнительного ограничения может создать больше 4 колонок на очень широком контейнере.</x:v>
      </x:c>
    </x:row>
    <x:row r="561">
      <x:c r="A561" s="308" t="str">
        <x:v>gemma-4-e2b-hauhaucs-aggressive</x:v>
      </x:c>
      <x:c r="B561" s="309" t="str">
        <x:v>thinking</x:v>
      </x:c>
      <x:c r="C561" s="309" t="str">
        <x:v>WEB-4</x:v>
      </x:c>
      <x:c r="D561" s="309" t="str">
        <x:v>HTML, CSS, SVG И ДОСТУПНОСТЬ</x:v>
      </x:c>
      <x:c r="E561" s="403" t="n">
        <x:v>60</x:v>
      </x:c>
      <x:c r="F561" s="309" t="str">
        <x:v>ЧАСТИЧНО</x:v>
      </x:c>
      <x:c r="G561" s="285" t="str">
        <x:v>Частично корректно: решение применимо по основной идее, но содержит заметные неточности/пробелы.</x:v>
      </x:c>
    </x:row>
    <x:row r="562">
      <x:c r="A562" s="308" t="str">
        <x:v>gemma-4-e2b-hauhaucs-aggressive</x:v>
      </x:c>
      <x:c r="B562" s="309" t="str">
        <x:v>thinking</x:v>
      </x:c>
      <x:c r="C562" s="309" t="str">
        <x:v>WEB-5</x:v>
      </x:c>
      <x:c r="D562" s="309" t="str">
        <x:v>HTML, CSS, SVG И ДОСТУПНОСТЬ</x:v>
      </x:c>
      <x:c r="E562" s="403" t="n">
        <x:v>20</x:v>
      </x:c>
      <x:c r="F562" s="309" t="str">
        <x:v>КРИТИЧЕСКАЯ ОШИБКА</x:v>
      </x:c>
      <x:c r="G562" s="285" t="str">
        <x:v>SVG содержит круг, но нет явной галочки — требуемый значок не реализован.</x:v>
      </x:c>
    </x:row>
    <x:row r="563">
      <x:c r="A563" s="308" t="str">
        <x:v>gemma-4-e2b-hauhaucs-aggressive</x:v>
      </x:c>
      <x:c r="B563" s="309" t="str">
        <x:v>thinking</x:v>
      </x:c>
      <x:c r="C563" s="309" t="str">
        <x:v>WEB-6</x:v>
      </x:c>
      <x:c r="D563" s="309" t="str">
        <x:v>HTML, CSS, SVG И ДОСТУПНОСТЬ</x:v>
      </x:c>
      <x:c r="E563" s="403" t="n">
        <x:v>40</x:v>
      </x:c>
      <x:c r="F563" s="309" t="str">
        <x:v>СУЩЕСТВЕННО</x:v>
      </x:c>
      <x:c r="G563" s="285" t="str">
        <x:v>Ответ противоречив: декоративная иконка сначала объявляется нуждающейся в доступном тексте, затем предлагается скрытие.</x:v>
      </x:c>
    </x:row>
    <x:row r="564">
      <x:c r="A564" s="308" t="str">
        <x:v>gemma-4-e2b-hauhaucs-aggressive</x:v>
      </x:c>
      <x:c r="B564" s="309" t="str">
        <x:v>thinking</x:v>
      </x:c>
      <x:c r="C564" s="309" t="str">
        <x:v>WEB-7</x:v>
      </x:c>
      <x:c r="D564" s="309" t="str">
        <x:v>HTML, CSS, SVG И ДОСТУПНОСТЬ</x:v>
      </x:c>
      <x:c r="E564" s="403" t="n">
        <x:v>60</x:v>
      </x:c>
      <x:c r="F564" s="309" t="str">
        <x:v>ЧАСТИЧНО</x:v>
      </x:c>
      <x:c r="G564" s="285" t="str">
        <x:v>Частично корректно: решение применимо по основной идее, но содержит заметные неточности/пробелы.</x:v>
      </x:c>
    </x:row>
    <x:row r="565">
      <x:c r="A565" s="308" t="str">
        <x:v>gemma-4-e2b-hauhaucs-aggressive</x:v>
      </x:c>
      <x:c r="B565" s="309" t="str">
        <x:v>thinking</x:v>
      </x:c>
      <x:c r="C565" s="309" t="str">
        <x:v>WIN-3</x:v>
      </x:c>
      <x:c r="D565" s="309" t="str">
        <x:v>WINDOWS CMD И POWERSHELL</x:v>
      </x:c>
      <x:c r="E565" s="403" t="n">
        <x:v>0</x:v>
      </x:c>
      <x:c r="F565" s="309" t="str">
        <x:v>КРИТИЧЕСКАЯ ОШИБКА</x:v>
      </x:c>
      <x:c r="G565" s="285" t="str">
        <x:v>Фильтр времени направлен неверно: `-gt` выбирает более новые файлы, а требовались файлы старше 7 дней (`-lt`).</x:v>
      </x:c>
    </x:row>
    <x:row r="566">
      <x:c r="A566" s="308" t="str">
        <x:v>gemma-4-e2b-hauhaucs-aggressive</x:v>
      </x:c>
      <x:c r="B566" s="309" t="str">
        <x:v>без thinking</x:v>
      </x:c>
      <x:c r="C566" s="309" t="str">
        <x:v>AMB-1</x:v>
      </x:c>
      <x:c r="D566" s="309" t="str">
        <x:v>НЕОДНОЗНАЧНОСТЬ И ПРОТИВОРЕЧИВЫЕ ТРЕБОВАНИЯ</x:v>
      </x:c>
      <x:c r="E566" s="403"/>
      <x:c r="F566" s="309" t="str">
        <x:v>ПРОПУСК</x:v>
      </x:c>
      <x:c r="G566" s="285" t="str">
        <x:v>Пропуск: задание отсутствует в ответе.</x:v>
      </x:c>
    </x:row>
    <x:row r="567">
      <x:c r="A567" s="308" t="str">
        <x:v>gemma-4-e2b-hauhaucs-aggressive</x:v>
      </x:c>
      <x:c r="B567" s="309" t="str">
        <x:v>без thinking</x:v>
      </x:c>
      <x:c r="C567" s="309" t="str">
        <x:v>AMB-2</x:v>
      </x:c>
      <x:c r="D567" s="309" t="str">
        <x:v>НЕОДНОЗНАЧНОСТЬ И ПРОТИВОРЕЧИВЫЕ ТРЕБОВАНИЯ</x:v>
      </x:c>
      <x:c r="E567" s="403"/>
      <x:c r="F567" s="309" t="str">
        <x:v>ПРОПУСК</x:v>
      </x:c>
      <x:c r="G567" s="285" t="str">
        <x:v>Пропуск: задание отсутствует в ответе.</x:v>
      </x:c>
    </x:row>
    <x:row r="568">
      <x:c r="A568" s="308" t="str">
        <x:v>gemma-4-e2b-hauhaucs-aggressive</x:v>
      </x:c>
      <x:c r="B568" s="309" t="str">
        <x:v>без thinking</x:v>
      </x:c>
      <x:c r="C568" s="309" t="str">
        <x:v>AMB-3</x:v>
      </x:c>
      <x:c r="D568" s="309" t="str">
        <x:v>НЕОДНОЗНАЧНОСТЬ И ПРОТИВОРЕЧИВЫЕ ТРЕБОВАНИЯ</x:v>
      </x:c>
      <x:c r="E568" s="403"/>
      <x:c r="F568" s="309" t="str">
        <x:v>ПРОПУСК</x:v>
      </x:c>
      <x:c r="G568" s="285" t="str">
        <x:v>Пропуск: задание отсутствует в ответе.</x:v>
      </x:c>
    </x:row>
    <x:row r="569">
      <x:c r="A569" s="308" t="str">
        <x:v>gemma-4-e2b-hauhaucs-aggressive</x:v>
      </x:c>
      <x:c r="B569" s="309" t="str">
        <x:v>без thinking</x:v>
      </x:c>
      <x:c r="C569" s="309" t="str">
        <x:v>CRIT-2</x:v>
      </x:c>
      <x:c r="D569" s="309" t="str">
        <x:v>КРИТИЧЕСКОЕ МЫШЛЕНИЕ И ГАЛЛЮЦИНАЦИИ</x:v>
      </x:c>
      <x:c r="E569" s="403" t="n">
        <x:v>60</x:v>
      </x:c>
      <x:c r="F569" s="309" t="str">
        <x:v>ЧАСТИЧНО</x:v>
      </x:c>
      <x:c r="G569" s="285" t="str">
        <x:v>Утверждение отвергнуто, но нужно прямо сказать, что стандартной команды systemctl --rollback нет.</x:v>
      </x:c>
    </x:row>
    <x:row r="570">
      <x:c r="A570" s="308" t="str">
        <x:v>gemma-4-e2b-hauhaucs-aggressive</x:v>
      </x:c>
      <x:c r="B570" s="309" t="str">
        <x:v>без thinking</x:v>
      </x:c>
      <x:c r="C570" s="309" t="str">
        <x:v>CRIT-5</x:v>
      </x:c>
      <x:c r="D570" s="309" t="str">
        <x:v>КРИТИЧЕСКОЕ МЫШЛЕНИЕ И ГАЛЛЮЦИНАЦИИ</x:v>
      </x:c>
      <x:c r="E570" s="403" t="n">
        <x:v>20</x:v>
      </x:c>
      <x:c r="F570" s="309" t="str">
        <x:v>КРИТИЧЕСКАЯ ОШИБКА</x:v>
      </x:c>
      <x:c r="G570" s="285" t="str">
        <x:v>Не распознана ложная предпосылка: Нобелевской премии по математике не существует.</x:v>
      </x:c>
    </x:row>
    <x:row r="571">
      <x:c r="A571" s="308" t="str">
        <x:v>gemma-4-e2b-hauhaucs-aggressive</x:v>
      </x:c>
      <x:c r="B571" s="309" t="str">
        <x:v>без thinking</x:v>
      </x:c>
      <x:c r="C571" s="309" t="str">
        <x:v>CS-1</x:v>
      </x:c>
      <x:c r="D571" s="309" t="str">
        <x:v>C# — ПОНИМАНИЕ, ОТЛАДКА И НАПИСАНИЕ</x:v>
      </x:c>
      <x:c r="E571" s="403" t="n">
        <x:v>60</x:v>
      </x:c>
      <x:c r="F571" s="309" t="str">
        <x:v>ЧАСТИЧНО</x:v>
      </x:c>
      <x:c r="G571" s="285" t="str">
        <x:v>Частично корректно: решение применимо по основной идее, но содержит заметные неточности/пробелы.</x:v>
      </x:c>
    </x:row>
    <x:row r="572">
      <x:c r="A572" s="308" t="str">
        <x:v>gemma-4-e2b-hauhaucs-aggressive</x:v>
      </x:c>
      <x:c r="B572" s="309" t="str">
        <x:v>без thinking</x:v>
      </x:c>
      <x:c r="C572" s="309" t="str">
        <x:v>CS-2</x:v>
      </x:c>
      <x:c r="D572" s="309" t="str">
        <x:v>C# — ПОНИМАНИЕ, ОТЛАДКА И НАПИСАНИЕ</x:v>
      </x:c>
      <x:c r="E572" s="403" t="n">
        <x:v>60</x:v>
      </x:c>
      <x:c r="F572" s="309" t="str">
        <x:v>ЧАСТИЧНО</x:v>
      </x:c>
      <x:c r="G572" s="285" t="str">
        <x:v>Частично корректно: решение применимо по основной идее, но содержит заметные неточности/пробелы.</x:v>
      </x:c>
    </x:row>
    <x:row r="573">
      <x:c r="A573" s="311" t="str">
        <x:v>gemma-4-e2b-hauhaucs-aggressive</x:v>
      </x:c>
      <x:c r="B573" s="312" t="str">
        <x:v>без thinking</x:v>
      </x:c>
      <x:c r="C573" s="312" t="str">
        <x:v>CS-3</x:v>
      </x:c>
      <x:c r="D573" s="312" t="str">
        <x:v>C# — ПОНИМАНИЕ, ОТЛАДКА И НАПИСАНИЕ</x:v>
      </x:c>
      <x:c r="E573" s="404" t="n">
        <x:v>60</x:v>
      </x:c>
      <x:c r="F573" s="312" t="str">
        <x:v>ЧАСТИЧНО</x:v>
      </x:c>
      <x:c r="G573" s="286" t="str">
        <x:v>Частично корректно: решение применимо по основной идее, но содержит заметные неточности/пробелы.</x:v>
      </x:c>
    </x:row>
    <x:row r="574">
      <x:c r="A574" s="308" t="str">
        <x:v>gemma-4-e2b-hauhaucs-aggressive</x:v>
      </x:c>
      <x:c r="B574" s="309" t="str">
        <x:v>без thinking</x:v>
      </x:c>
      <x:c r="C574" s="309" t="str">
        <x:v>CS-4</x:v>
      </x:c>
      <x:c r="D574" s="309" t="str">
        <x:v>C# — ПОНИМАНИЕ, ОТЛАДКА И НАПИСАНИЕ</x:v>
      </x:c>
      <x:c r="E574" s="403" t="n">
        <x:v>60</x:v>
      </x:c>
      <x:c r="F574" s="309" t="str">
        <x:v>ЧАСТИЧНО</x:v>
      </x:c>
      <x:c r="G574" s="285" t="str">
        <x:v>Частично корректно: решение применимо по основной идее, но содержит заметные неточности/пробелы.</x:v>
      </x:c>
    </x:row>
    <x:row r="575">
      <x:c r="A575" s="308" t="str">
        <x:v>gemma-4-e2b-hauhaucs-aggressive</x:v>
      </x:c>
      <x:c r="B575" s="309" t="str">
        <x:v>без thinking</x:v>
      </x:c>
      <x:c r="C575" s="309" t="str">
        <x:v>CS-5</x:v>
      </x:c>
      <x:c r="D575" s="309" t="str">
        <x:v>C# — ПОНИМАНИЕ, ОТЛАДКА И НАПИСАНИЕ</x:v>
      </x:c>
      <x:c r="E575" s="403" t="n">
        <x:v>60</x:v>
      </x:c>
      <x:c r="F575" s="309" t="str">
        <x:v>ЧАСТИЧНО</x:v>
      </x:c>
      <x:c r="G575" s="285" t="str">
        <x:v>Верная идея переносить фильтр/сортировку до ToList, но объяснение содержит противоречивую оговорку.</x:v>
      </x:c>
    </x:row>
    <x:row r="576">
      <x:c r="A576" s="308" t="str">
        <x:v>gemma-4-e2b-hauhaucs-aggressive</x:v>
      </x:c>
      <x:c r="B576" s="309" t="str">
        <x:v>без thinking</x:v>
      </x:c>
      <x:c r="C576" s="309" t="str">
        <x:v>CS-6</x:v>
      </x:c>
      <x:c r="D576" s="309" t="str">
        <x:v>C# — ПОНИМАНИЕ, ОТЛАДКА И НАПИСАНИЕ</x:v>
      </x:c>
      <x:c r="E576" s="403" t="n">
        <x:v>20</x:v>
      </x:c>
      <x:c r="F576" s="309" t="str">
        <x:v>КРИТИЧЕСКАЯ ОШИБКА</x:v>
      </x:c>
      <x:c r="G576" s="285" t="str">
        <x:v>Семантика `throw;`/`throw ex;` описана неверно; `throw ex;` не является предпочтительным для сохранения исходного стека.</x:v>
      </x:c>
    </x:row>
    <x:row r="577">
      <x:c r="A577" s="308" t="str">
        <x:v>gemma-4-e2b-hauhaucs-aggressive</x:v>
      </x:c>
      <x:c r="B577" s="309" t="str">
        <x:v>без thinking</x:v>
      </x:c>
      <x:c r="C577" s="309" t="str">
        <x:v>CS-7</x:v>
      </x:c>
      <x:c r="D577" s="309" t="str">
        <x:v>C# — ПОНИМАНИЕ, ОТЛАДКА И НАПИСАНИЕ</x:v>
      </x:c>
      <x:c r="E577" s="403" t="n">
        <x:v>60</x:v>
      </x:c>
      <x:c r="F577" s="309" t="str">
        <x:v>ЧАСТИЧНО</x:v>
      </x:c>
      <x:c r="G577" s="285" t="str">
        <x:v>Частично корректно: решение применимо по основной идее, но содержит заметные неточности/пробелы.</x:v>
      </x:c>
    </x:row>
    <x:row r="578">
      <x:c r="A578" s="308" t="str">
        <x:v>gemma-4-e2b-hauhaucs-aggressive</x:v>
      </x:c>
      <x:c r="B578" s="309" t="str">
        <x:v>без thinking</x:v>
      </x:c>
      <x:c r="C578" s="309" t="str">
        <x:v>DATA-1</x:v>
      </x:c>
      <x:c r="D578" s="309" t="str">
        <x:v>СТРУКТУРИРОВАННЫЕ ДАННЫЕ</x:v>
      </x:c>
      <x:c r="E578" s="403" t="n">
        <x:v>60</x:v>
      </x:c>
      <x:c r="F578" s="309" t="str">
        <x:v>ЧАСТИЧНО</x:v>
      </x:c>
      <x:c r="G578" s="285" t="str">
        <x:v>Значения JSON в целом корректны, но строгая локальная инструкция «только валидный JSON для этого задания» нарушена обрамлением/дополнительным Markdown.</x:v>
      </x:c>
    </x:row>
    <x:row r="579">
      <x:c r="A579" s="308" t="str">
        <x:v>gemma-4-e2b-hauhaucs-aggressive</x:v>
      </x:c>
      <x:c r="B579" s="309" t="str">
        <x:v>без thinking</x:v>
      </x:c>
      <x:c r="C579" s="309" t="str">
        <x:v>DB-5</x:v>
      </x:c>
      <x:c r="D579" s="309" t="str">
        <x:v>SQL И БАЗЫ ДАННЫХ</x:v>
      </x:c>
      <x:c r="E579" s="403" t="n">
        <x:v>0</x:v>
      </x:c>
      <x:c r="F579" s="309" t="str">
        <x:v>КРИТИЧЕСКАЯ ОШИБКА</x:v>
      </x:c>
      <x:c r="G579" s="285" t="str">
        <x:v>UPSERT написан неверно: выражение в VALUES обращается к текущему столбцу, а DO UPDATE не прибавляет переданное значение к существующему.</x:v>
      </x:c>
    </x:row>
    <x:row r="580">
      <x:c r="A580" s="308" t="str">
        <x:v>gemma-4-e2b-hauhaucs-aggressive</x:v>
      </x:c>
      <x:c r="B580" s="309" t="str">
        <x:v>без thinking</x:v>
      </x:c>
      <x:c r="C580" s="309" t="str">
        <x:v>DIAG-1</x:v>
      </x:c>
      <x:c r="D580" s="309" t="str">
        <x:v>ПРАКТИЧЕСКАЯ СИСТЕМНАЯ ДИАГНОСТИКА</x:v>
      </x:c>
      <x:c r="E580" s="403"/>
      <x:c r="F580" s="309" t="str">
        <x:v>ПРОПУСК</x:v>
      </x:c>
      <x:c r="G580" s="285" t="str">
        <x:v>Пропуск: задание отсутствует в ответе.</x:v>
      </x:c>
    </x:row>
    <x:row r="581">
      <x:c r="A581" s="308" t="str">
        <x:v>gemma-4-e2b-hauhaucs-aggressive</x:v>
      </x:c>
      <x:c r="B581" s="309" t="str">
        <x:v>без thinking</x:v>
      </x:c>
      <x:c r="C581" s="309" t="str">
        <x:v>DIAG-2</x:v>
      </x:c>
      <x:c r="D581" s="309" t="str">
        <x:v>ПРАКТИЧЕСКАЯ СИСТЕМНАЯ ДИАГНОСТИКА</x:v>
      </x:c>
      <x:c r="E581" s="403"/>
      <x:c r="F581" s="309" t="str">
        <x:v>ПРОПУСК</x:v>
      </x:c>
      <x:c r="G581" s="285" t="str">
        <x:v>Пропуск: задание отсутствует в ответе.</x:v>
      </x:c>
    </x:row>
    <x:row r="582">
      <x:c r="A582" s="308" t="str">
        <x:v>gemma-4-e2b-hauhaucs-aggressive</x:v>
      </x:c>
      <x:c r="B582" s="309" t="str">
        <x:v>без thinking</x:v>
      </x:c>
      <x:c r="C582" s="309" t="str">
        <x:v>DIAG-3</x:v>
      </x:c>
      <x:c r="D582" s="309" t="str">
        <x:v>ПРАКТИЧЕСКАЯ СИСТЕМНАЯ ДИАГНОСТИКА</x:v>
      </x:c>
      <x:c r="E582" s="403"/>
      <x:c r="F582" s="309" t="str">
        <x:v>ПРОПУСК</x:v>
      </x:c>
      <x:c r="G582" s="285" t="str">
        <x:v>Пропуск: задание отсутствует в ответе.</x:v>
      </x:c>
    </x:row>
    <x:row r="583">
      <x:c r="A583" s="308" t="str">
        <x:v>gemma-4-e2b-hauhaucs-aggressive</x:v>
      </x:c>
      <x:c r="B583" s="309" t="str">
        <x:v>без thinking</x:v>
      </x:c>
      <x:c r="C583" s="309" t="str">
        <x:v>DIAG-4</x:v>
      </x:c>
      <x:c r="D583" s="309" t="str">
        <x:v>ПРАКТИЧЕСКАЯ СИСТЕМНАЯ ДИАГНОСТИКА</x:v>
      </x:c>
      <x:c r="E583" s="403"/>
      <x:c r="F583" s="309" t="str">
        <x:v>ПРОПУСК</x:v>
      </x:c>
      <x:c r="G583" s="285" t="str">
        <x:v>Пропуск: задание отсутствует в ответе.</x:v>
      </x:c>
    </x:row>
    <x:row r="584">
      <x:c r="A584" s="311" t="str">
        <x:v>gemma-4-e2b-hauhaucs-aggressive</x:v>
      </x:c>
      <x:c r="B584" s="312" t="str">
        <x:v>без thinking</x:v>
      </x:c>
      <x:c r="C584" s="312" t="str">
        <x:v>INST-1</x:v>
      </x:c>
      <x:c r="D584" s="312" t="str">
        <x:v>ФИНАЛЬНАЯ ПРОВЕРКА СЛЕДОВАНИЯ ИНСТРУКЦИЯМ</x:v>
      </x:c>
      <x:c r="E584" s="404" t="n">
        <x:v>20</x:v>
      </x:c>
      <x:c r="F584" s="312" t="str">
        <x:v>КРИТИЧЕСКАЯ ОШИБКА</x:v>
      </x:c>
      <x:c r="G584" s="286" t="str">
        <x:v>Выбранные задания в основном не соответствуют специально заложенным проверкам несуществующих возможностей/ложных предпосылок.</x:v>
      </x:c>
    </x:row>
    <x:row r="585">
      <x:c r="A585" s="308" t="str">
        <x:v>gemma-4-e2b-hauhaucs-aggressive</x:v>
      </x:c>
      <x:c r="B585" s="309" t="str">
        <x:v>без thinking</x:v>
      </x:c>
      <x:c r="C585" s="309" t="str">
        <x:v>INST-2</x:v>
      </x:c>
      <x:c r="D585" s="309" t="str">
        <x:v>ФИНАЛЬНАЯ ПРОВЕРКА СЛЕДОВАНИЯ ИНСТРУКЦИЯМ</x:v>
      </x:c>
      <x:c r="E585" s="403" t="n">
        <x:v>40</x:v>
      </x:c>
      <x:c r="F585" s="309" t="str">
        <x:v>СУЩЕСТВЕННО</x:v>
      </x:c>
      <x:c r="G585" s="285" t="str">
        <x:v>Противоречия распознаны лишь частично; дополнительно метаданные MODE ошибочно указаны как thinking при файле «без thinking».</x:v>
      </x:c>
    </x:row>
    <x:row r="586">
      <x:c r="A586" s="308" t="str">
        <x:v>gemma-4-e2b-hauhaucs-aggressive</x:v>
      </x:c>
      <x:c r="B586" s="309" t="str">
        <x:v>без thinking</x:v>
      </x:c>
      <x:c r="C586" s="309" t="str">
        <x:v>INST-3</x:v>
      </x:c>
      <x:c r="D586" s="309" t="str">
        <x:v>ФИНАЛЬНАЯ ПРОВЕРКА СЛЕДОВАНИЯ ИНСТРУКЦИЯМ</x:v>
      </x:c>
      <x:c r="E586" s="403" t="n">
        <x:v>20</x:v>
      </x:c>
      <x:c r="F586" s="309" t="str">
        <x:v>КРИТИЧЕСКАЯ ОШИБКА</x:v>
      </x:c>
      <x:c r="G586" s="285" t="str">
        <x:v>Не указан очевидный CRIT-6 с инструкцией внутри JSON-данных.</x:v>
      </x:c>
    </x:row>
    <x:row r="587">
      <x:c r="A587" s="308" t="str">
        <x:v>gemma-4-e2b-hauhaucs-aggressive</x:v>
      </x:c>
      <x:c r="B587" s="309" t="str">
        <x:v>без thinking</x:v>
      </x:c>
      <x:c r="C587" s="309" t="str">
        <x:v>JS-1</x:v>
      </x:c>
      <x:c r="D587" s="309" t="str">
        <x:v>JAVASCRIPT</x:v>
      </x:c>
      <x:c r="E587" s="403" t="n">
        <x:v>60</x:v>
      </x:c>
      <x:c r="F587" s="309" t="str">
        <x:v>ЧАСТИЧНО</x:v>
      </x:c>
      <x:c r="G587" s="285" t="str">
        <x:v>Частично корректно: решение применимо по основной идее, но содержит заметные неточности/пробелы.</x:v>
      </x:c>
    </x:row>
    <x:row r="588">
      <x:c r="A588" s="308" t="str">
        <x:v>gemma-4-e2b-hauhaucs-aggressive</x:v>
      </x:c>
      <x:c r="B588" s="309" t="str">
        <x:v>без thinking</x:v>
      </x:c>
      <x:c r="C588" s="309" t="str">
        <x:v>JS-3</x:v>
      </x:c>
      <x:c r="D588" s="309" t="str">
        <x:v>JAVASCRIPT</x:v>
      </x:c>
      <x:c r="E588" s="403" t="n">
        <x:v>60</x:v>
      </x:c>
      <x:c r="F588" s="309" t="str">
        <x:v>ЧАСТИЧНО</x:v>
      </x:c>
      <x:c r="G588" s="285" t="str">
        <x:v>Частично корректно: решение применимо по основной идее, но содержит заметные неточности/пробелы.</x:v>
      </x:c>
    </x:row>
    <x:row r="589">
      <x:c r="A589" s="311" t="str">
        <x:v>gemma-4-e2b-hauhaucs-aggressive</x:v>
      </x:c>
      <x:c r="B589" s="312" t="str">
        <x:v>без thinking</x:v>
      </x:c>
      <x:c r="C589" s="312" t="str">
        <x:v>JS-4</x:v>
      </x:c>
      <x:c r="D589" s="312" t="str">
        <x:v>JAVASCRIPT</x:v>
      </x:c>
      <x:c r="E589" s="404" t="n">
        <x:v>0</x:v>
      </x:c>
      <x:c r="F589" s="312" t="str">
        <x:v>КРИТИЧЕСКАЯ ОШИБКА</x:v>
      </x:c>
      <x:c r="G589" s="286" t="str">
        <x:v>Неверный порядок/значения: с var callbacks увидят финальное i=3 и выведут 3,3,3.</x:v>
      </x:c>
    </x:row>
    <x:row r="590">
      <x:c r="A590" t="str">
        <x:v>gemma-4-e2b-hauhaucs-aggressive</x:v>
      </x:c>
      <x:c r="B590" t="str">
        <x:v>без thinking</x:v>
      </x:c>
      <x:c r="C590" t="str">
        <x:v>JS-5</x:v>
      </x:c>
      <x:c r="D590" t="str">
        <x:v>JAVASCRIPT</x:v>
      </x:c>
      <x:c r="E590" s="403" t="n">
        <x:v>20</x:v>
      </x:c>
      <x:c r="F590" t="str">
        <x:v>КРИТИЧЕСКАЯ ОШИБКА</x:v>
      </x:c>
      <x:c r="G590" t="str">
        <x:v>Объект AbortSignal трактуется как AbortController (`signal.signal`), внутренний timeout не подключён к fetch.</x:v>
      </x:c>
    </x:row>
    <x:row r="591">
      <x:c r="A591" t="str">
        <x:v>gemma-4-e2b-hauhaucs-aggressive</x:v>
      </x:c>
      <x:c r="B591" t="str">
        <x:v>без thinking</x:v>
      </x:c>
      <x:c r="C591" t="str">
        <x:v>JS-6</x:v>
      </x:c>
      <x:c r="D591" t="str">
        <x:v>JAVASCRIPT</x:v>
      </x:c>
      <x:c r="E591" s="403" t="n">
        <x:v>60</x:v>
      </x:c>
      <x:c r="F591" t="str">
        <x:v>ЧАСТИЧНО</x:v>
      </x:c>
      <x:c r="G591" t="str">
        <x:v>Частично корректно: решение применимо по основной идее, но содержит заметные неточности/пробелы.</x:v>
      </x:c>
    </x:row>
    <x:row r="592">
      <x:c r="A592" t="str">
        <x:v>gemma-4-e2b-hauhaucs-aggressive</x:v>
      </x:c>
      <x:c r="B592" t="str">
        <x:v>без thinking</x:v>
      </x:c>
      <x:c r="C592" t="str">
        <x:v>JS-7</x:v>
      </x:c>
      <x:c r="D592" t="str">
        <x:v>JAVASCRIPT</x:v>
      </x:c>
      <x:c r="E592" s="403" t="n">
        <x:v>60</x:v>
      </x:c>
      <x:c r="F592" t="str">
        <x:v>ЧАСТИЧНО</x:v>
      </x:c>
      <x:c r="G592" t="str">
        <x:v>Частично корректно: решение применимо по основной идее, но содержит заметные неточности/пробелы.</x:v>
      </x:c>
    </x:row>
    <x:row r="593">
      <x:c r="A593" t="str">
        <x:v>gemma-4-e2b-hauhaucs-aggressive</x:v>
      </x:c>
      <x:c r="B593" t="str">
        <x:v>без thinking</x:v>
      </x:c>
      <x:c r="C593" t="str">
        <x:v>LANG-1</x:v>
      </x:c>
      <x:c r="D593" t="str">
        <x:v>МНОГОЯЗЫЧНОСТЬ</x:v>
      </x:c>
      <x:c r="E593" s="403"/>
      <x:c r="F593" t="str">
        <x:v>ПРОПУСК</x:v>
      </x:c>
      <x:c r="G593" t="str">
        <x:v>Пропуск: задание отсутствует в ответе.</x:v>
      </x:c>
    </x:row>
    <x:row r="594">
      <x:c r="A594" t="str">
        <x:v>gemma-4-e2b-hauhaucs-aggressive</x:v>
      </x:c>
      <x:c r="B594" t="str">
        <x:v>без thinking</x:v>
      </x:c>
      <x:c r="C594" t="str">
        <x:v>LANG-2</x:v>
      </x:c>
      <x:c r="D594" t="str">
        <x:v>МНОГОЯЗЫЧНОСТЬ</x:v>
      </x:c>
      <x:c r="E594" s="403"/>
      <x:c r="F594" t="str">
        <x:v>ПРОПУСК</x:v>
      </x:c>
      <x:c r="G594" t="str">
        <x:v>Пропуск: задание отсутствует в ответе.</x:v>
      </x:c>
    </x:row>
    <x:row r="595">
      <x:c r="A595" t="str">
        <x:v>gemma-4-e2b-hauhaucs-aggressive</x:v>
      </x:c>
      <x:c r="B595" t="str">
        <x:v>без thinking</x:v>
      </x:c>
      <x:c r="C595" t="str">
        <x:v>LANG-3</x:v>
      </x:c>
      <x:c r="D595" t="str">
        <x:v>МНОГОЯЗЫЧНОСТЬ</x:v>
      </x:c>
      <x:c r="E595" s="403"/>
      <x:c r="F595" t="str">
        <x:v>ПРОПУСК</x:v>
      </x:c>
      <x:c r="G595" t="str">
        <x:v>Пропуск: задание отсутствует в ответе.</x:v>
      </x:c>
    </x:row>
    <x:row r="596">
      <x:c r="A596" t="str">
        <x:v>gemma-4-e2b-hauhaucs-aggressive</x:v>
      </x:c>
      <x:c r="B596" t="str">
        <x:v>без thinking</x:v>
      </x:c>
      <x:c r="C596" t="str">
        <x:v>LANG-4</x:v>
      </x:c>
      <x:c r="D596" t="str">
        <x:v>МНОГОЯЗЫЧНОСТЬ</x:v>
      </x:c>
      <x:c r="E596" s="403"/>
      <x:c r="F596" t="str">
        <x:v>ПРОПУСК</x:v>
      </x:c>
      <x:c r="G596" t="str">
        <x:v>Пропуск: задание отсутствует в ответе.</x:v>
      </x:c>
    </x:row>
    <x:row r="597">
      <x:c r="A597" t="str">
        <x:v>gemma-4-e2b-hauhaucs-aggressive</x:v>
      </x:c>
      <x:c r="B597" t="str">
        <x:v>без thinking</x:v>
      </x:c>
      <x:c r="C597" t="str">
        <x:v>MED-1</x:v>
      </x:c>
      <x:c r="D597" t="str">
        <x:v>МЕДИЦИНСКИЕ ЗНАНИЯ</x:v>
      </x:c>
      <x:c r="E597" s="403" t="n">
        <x:v>60</x:v>
      </x:c>
      <x:c r="F597" t="str">
        <x:v>ЧАСТИЧНО</x:v>
      </x:c>
      <x:c r="G597" t="str">
        <x:v>Частично корректно: решение применимо по основной идее, но содержит заметные неточности/пробелы.</x:v>
      </x:c>
    </x:row>
    <x:row r="598">
      <x:c r="A598" t="str">
        <x:v>gemma-4-e2b-hauhaucs-aggressive</x:v>
      </x:c>
      <x:c r="B598" t="str">
        <x:v>без thinking</x:v>
      </x:c>
      <x:c r="C598" t="str">
        <x:v>MED-2</x:v>
      </x:c>
      <x:c r="D598" t="str">
        <x:v>МЕДИЦИНСКИЕ ЗНАНИЯ</x:v>
      </x:c>
      <x:c r="E598" s="403" t="n">
        <x:v>60</x:v>
      </x:c>
      <x:c r="F598" t="str">
        <x:v>ЧАСТИЧНО</x:v>
      </x:c>
      <x:c r="G598" t="str">
        <x:v>Частично корректно: решение применимо по основной идее, но содержит заметные неточности/пробелы.</x:v>
      </x:c>
    </x:row>
    <x:row r="599">
      <x:c r="A599" t="str">
        <x:v>gemma-4-e2b-hauhaucs-aggressive</x:v>
      </x:c>
      <x:c r="B599" t="str">
        <x:v>без thinking</x:v>
      </x:c>
      <x:c r="C599" t="str">
        <x:v>MED-3</x:v>
      </x:c>
      <x:c r="D599" t="str">
        <x:v>МЕДИЦИНСКИЕ ЗНАНИЯ</x:v>
      </x:c>
      <x:c r="E599" s="403" t="n">
        <x:v>60</x:v>
      </x:c>
      <x:c r="F599" t="str">
        <x:v>ЧАСТИЧНО</x:v>
      </x:c>
      <x:c r="G599" t="str">
        <x:v>Частично корректно: решение применимо по основной идее, но содержит заметные неточности/пробелы.</x:v>
      </x:c>
    </x:row>
    <x:row r="600">
      <x:c r="A600" t="str">
        <x:v>gemma-4-e2b-hauhaucs-aggressive</x:v>
      </x:c>
      <x:c r="B600" t="str">
        <x:v>без thinking</x:v>
      </x:c>
      <x:c r="C600" t="str">
        <x:v>MED-4</x:v>
      </x:c>
      <x:c r="D600" t="str">
        <x:v>МЕДИЦИНСКИЕ ЗНАНИЯ</x:v>
      </x:c>
      <x:c r="E600" s="403" t="n">
        <x:v>60</x:v>
      </x:c>
      <x:c r="F600" t="str">
        <x:v>ЧАСТИЧНО</x:v>
      </x:c>
      <x:c r="G600" t="str">
        <x:v>Частично корректно: решение применимо по основной идее, но содержит заметные неточности/пробелы.</x:v>
      </x:c>
    </x:row>
    <x:row r="601">
      <x:c r="A601" t="str">
        <x:v>gemma-4-e2b-hauhaucs-aggressive</x:v>
      </x:c>
      <x:c r="B601" t="str">
        <x:v>без thinking</x:v>
      </x:c>
      <x:c r="C601" t="str">
        <x:v>MED-5</x:v>
      </x:c>
      <x:c r="D601" t="str">
        <x:v>МЕДИЦИНСКИЕ ЗНАНИЯ</x:v>
      </x:c>
      <x:c r="E601" s="403" t="n">
        <x:v>20</x:v>
      </x:c>
      <x:c r="F601" t="str">
        <x:v>КРИТИЧЕСКАЯ ОШИБКА</x:v>
      </x:c>
      <x:c r="G601" t="str">
        <x:v>Ошибочно заявлено, что нормальная температура исключает острую бактериальную инфекцию.</x:v>
      </x:c>
    </x:row>
    <x:row r="602">
      <x:c r="A602" t="str">
        <x:v>gemma-4-e2b-hauhaucs-aggressive</x:v>
      </x:c>
      <x:c r="B602" t="str">
        <x:v>без thinking</x:v>
      </x:c>
      <x:c r="C602" t="str">
        <x:v>MED-6</x:v>
      </x:c>
      <x:c r="D602" t="str">
        <x:v>МЕДИЦИНСКИЕ ЗНАНИЯ</x:v>
      </x:c>
      <x:c r="E602" s="403" t="n">
        <x:v>60</x:v>
      </x:c>
      <x:c r="F602" t="str">
        <x:v>ЧАСТИЧНО</x:v>
      </x:c>
      <x:c r="G602" t="str">
        <x:v>Частично корректно: решение применимо по основной идее, но содержит заметные неточности/пробелы.</x:v>
      </x:c>
    </x:row>
    <x:row r="603">
      <x:c r="A603" t="str">
        <x:v>gemma-4-e2b-hauhaucs-aggressive</x:v>
      </x:c>
      <x:c r="B603" t="str">
        <x:v>без thinking</x:v>
      </x:c>
      <x:c r="C603" t="str">
        <x:v>MED-7</x:v>
      </x:c>
      <x:c r="D603" t="str">
        <x:v>МЕДИЦИНСКИЕ ЗНАНИЯ</x:v>
      </x:c>
      <x:c r="E603" s="403" t="n">
        <x:v>20</x:v>
      </x:c>
      <x:c r="F603" t="str">
        <x:v>КРИТИЧЕСКАЯ ОШИБКА</x:v>
      </x:c>
      <x:c r="G603" t="str">
        <x:v>Не распознана классическая триада сахарного диабета как приоритетная причина.</x:v>
      </x:c>
    </x:row>
    <x:row r="604">
      <x:c r="A604" t="str">
        <x:v>gemma-4-e2b-hauhaucs-aggressive</x:v>
      </x:c>
      <x:c r="B604" t="str">
        <x:v>без thinking</x:v>
      </x:c>
      <x:c r="C604" t="str">
        <x:v>MED-8</x:v>
      </x:c>
      <x:c r="D604" t="str">
        <x:v>МЕДИЦИНСКИЕ ЗНАНИЯ</x:v>
      </x:c>
      <x:c r="E604" s="403" t="n">
        <x:v>40</x:v>
      </x:c>
      <x:c r="F604" t="str">
        <x:v>СУЩЕСТВЕННО</x:v>
      </x:c>
      <x:c r="G604" t="str">
        <x:v>Общий приоритет оценки сознания/дыхания указан, но недостаточно чётко сформулированы немедленный вызов экстренной помощи/AED и СЛР при отсутствии нормального дыхания.</x:v>
      </x:c>
    </x:row>
    <x:row r="605">
      <x:c r="A605" t="str">
        <x:v>gemma-4-e2b-hauhaucs-aggressive</x:v>
      </x:c>
      <x:c r="B605" t="str">
        <x:v>без thinking</x:v>
      </x:c>
      <x:c r="C605" t="str">
        <x:v>MEM-14</x:v>
      </x:c>
      <x:c r="D605" t="str">
        <x:v>ДЛИННЫЙ КОНТЕКСТ И ТОЧНОЕ СЛЕДОВАНИЕ РАННИМ УСЛОВИЯМ</x:v>
      </x:c>
      <x:c r="E605" s="403" t="n">
        <x:v>40</x:v>
      </x:c>
      <x:c r="F605" t="str">
        <x:v>СУЩЕСТВЕННО</x:v>
      </x:c>
      <x:c r="G605" t="str">
        <x:v>Не сведены вместе все обязательные ранние ограничения: максимум попыток/условие повтора и безопасное логирование раскрыты неполно.</x:v>
      </x:c>
    </x:row>
    <x:row r="606">
      <x:c r="A606" t="str">
        <x:v>gemma-4-e2b-hauhaucs-aggressive</x:v>
      </x:c>
      <x:c r="B606" t="str">
        <x:v>без thinking</x:v>
      </x:c>
      <x:c r="C606" t="str">
        <x:v>OPS-1</x:v>
      </x:c>
      <x:c r="D606" t="str">
        <x:v>LINUX, SYSTEMD И NGINX</x:v>
      </x:c>
      <x:c r="E606" s="403" t="n">
        <x:v>60</x:v>
      </x:c>
      <x:c r="F606" t="str">
        <x:v>ЧАСТИЧНО</x:v>
      </x:c>
      <x:c r="G606" t="str">
        <x:v>Частично корректно: решение применимо по основной идее, но содержит заметные неточности/пробелы.</x:v>
      </x:c>
    </x:row>
    <x:row r="607">
      <x:c r="A607" t="str">
        <x:v>gemma-4-e2b-hauhaucs-aggressive</x:v>
      </x:c>
      <x:c r="B607" t="str">
        <x:v>без thinking</x:v>
      </x:c>
      <x:c r="C607" t="str">
        <x:v>OPS-2</x:v>
      </x:c>
      <x:c r="D607" t="str">
        <x:v>LINUX, SYSTEMD И NGINX</x:v>
      </x:c>
      <x:c r="E607" s="403" t="n">
        <x:v>40</x:v>
      </x:c>
      <x:c r="F607" t="str">
        <x:v>СУЩЕСТВЕННО</x:v>
      </x:c>
      <x:c r="G607" t="str">
        <x:v>Диагностика df/du неполна и частично дублируется; удалённые открытые файлы/зарезервированные блоки раскрыты слабо.</x:v>
      </x:c>
    </x:row>
    <x:row r="608">
      <x:c r="A608" t="str">
        <x:v>gemma-4-e2b-hauhaucs-aggressive</x:v>
      </x:c>
      <x:c r="B608" t="str">
        <x:v>без thinking</x:v>
      </x:c>
      <x:c r="C608" t="str">
        <x:v>OPS-3</x:v>
      </x:c>
      <x:c r="D608" t="str">
        <x:v>LINUX, SYSTEMD И NGINX</x:v>
      </x:c>
      <x:c r="E608" s="403" t="n">
        <x:v>60</x:v>
      </x:c>
      <x:c r="F608" t="str">
        <x:v>ЧАСТИЧНО</x:v>
      </x:c>
      <x:c r="G608" t="str">
        <x:v>Частично корректно: решение применимо по основной идее, но содержит заметные неточности/пробелы.</x:v>
      </x:c>
    </x:row>
    <x:row r="609">
      <x:c r="A609" t="str">
        <x:v>gemma-4-e2b-hauhaucs-aggressive</x:v>
      </x:c>
      <x:c r="B609" t="str">
        <x:v>без thinking</x:v>
      </x:c>
      <x:c r="C609" t="str">
        <x:v>OPS-4</x:v>
      </x:c>
      <x:c r="D609" t="str">
        <x:v>LINUX, SYSTEMD И NGINX</x:v>
      </x:c>
      <x:c r="E609" s="403" t="n">
        <x:v>60</x:v>
      </x:c>
      <x:c r="F609" t="str">
        <x:v>ЧАСТИЧНО</x:v>
      </x:c>
      <x:c r="G609" t="str">
        <x:v>Основные причины 502 названы, но часть объяснения о заголовках как причине 502 неточна.</x:v>
      </x:c>
    </x:row>
    <x:row r="610">
      <x:c r="A610" t="str">
        <x:v>gemma-4-e2b-hauhaucs-aggressive</x:v>
      </x:c>
      <x:c r="B610" t="str">
        <x:v>без thinking</x:v>
      </x:c>
      <x:c r="C610" t="str">
        <x:v>OPS-6</x:v>
      </x:c>
      <x:c r="D610" t="str">
        <x:v>LINUX, SYSTEMD И NGINX</x:v>
      </x:c>
      <x:c r="E610" s="403" t="n">
        <x:v>60</x:v>
      </x:c>
      <x:c r="F610" t="str">
        <x:v>ЧАСТИЧНО</x:v>
      </x:c>
      <x:c r="G610" t="str">
        <x:v>Частично корректно: решение применимо по основной идее, но содержит заметные неточности/пробелы.</x:v>
      </x:c>
    </x:row>
    <x:row r="611">
      <x:c r="A611" t="str">
        <x:v>gemma-4-e2b-hauhaucs-aggressive</x:v>
      </x:c>
      <x:c r="B611" t="str">
        <x:v>без thinking</x:v>
      </x:c>
      <x:c r="C611" t="str">
        <x:v>PHP-1</x:v>
      </x:c>
      <x:c r="D611" t="str">
        <x:v>PHP 8.2+ — ПОНИМАНИЕ, БЕЗОПАСНОСТЬ И АРХИТЕКТУРА</x:v>
      </x:c>
      <x:c r="E611" s="403" t="n">
        <x:v>60</x:v>
      </x:c>
      <x:c r="F611" t="str">
        <x:v>ЧАСТИЧНО</x:v>
      </x:c>
      <x:c r="G611" t="str">
        <x:v>Частично корректно: решение применимо по основной идее, но содержит заметные неточности/пробелы.</x:v>
      </x:c>
    </x:row>
    <x:row r="612">
      <x:c r="A612" t="str">
        <x:v>gemma-4-e2b-hauhaucs-aggressive</x:v>
      </x:c>
      <x:c r="B612" t="str">
        <x:v>без thinking</x:v>
      </x:c>
      <x:c r="C612" t="str">
        <x:v>PHP-2</x:v>
      </x:c>
      <x:c r="D612" t="str">
        <x:v>PHP 8.2+ — ПОНИМАНИЕ, БЕЗОПАСНОСТЬ И АРХИТЕКТУРА</x:v>
      </x:c>
      <x:c r="E612" s="403" t="n">
        <x:v>20</x:v>
      </x:c>
      <x:c r="F612" t="str">
        <x:v>КРИТИЧЕСКАЯ ОШИБКА</x:v>
      </x:c>
      <x:c r="G612" t="str">
        <x:v>Нарушена неизменяемость: add() меняет состояние текущего Money.</x:v>
      </x:c>
    </x:row>
    <x:row r="613">
      <x:c r="A613" t="str">
        <x:v>gemma-4-e2b-hauhaucs-aggressive</x:v>
      </x:c>
      <x:c r="B613" t="str">
        <x:v>без thinking</x:v>
      </x:c>
      <x:c r="C613" t="str">
        <x:v>PHP-3</x:v>
      </x:c>
      <x:c r="D613" t="str">
        <x:v>PHP 8.2+ — ПОНИМАНИЕ, БЕЗОПАСНОСТЬ И АРХИТЕКТУРА</x:v>
      </x:c>
      <x:c r="E613" s="403" t="n">
        <x:v>60</x:v>
      </x:c>
      <x:c r="F613" t="str">
        <x:v>ЧАСТИЧНО</x:v>
      </x:c>
      <x:c r="G613" t="str">
        <x:v>Частично корректно: решение применимо по основной идее, но содержит заметные неточности/пробелы.</x:v>
      </x:c>
    </x:row>
    <x:row r="614">
      <x:c r="A614" t="str">
        <x:v>gemma-4-e2b-hauhaucs-aggressive</x:v>
      </x:c>
      <x:c r="B614" t="str">
        <x:v>без thinking</x:v>
      </x:c>
      <x:c r="C614" t="str">
        <x:v>PHP-4</x:v>
      </x:c>
      <x:c r="D614" t="str">
        <x:v>PHP 8.2+ — ПОНИМАНИЕ, БЕЗОПАСНОСТЬ И АРХИТЕКТУРА</x:v>
      </x:c>
      <x:c r="E614" s="403" t="n">
        <x:v>60</x:v>
      </x:c>
      <x:c r="F614" t="str">
        <x:v>ЧАСТИЧНО</x:v>
      </x:c>
      <x:c r="G614" t="str">
        <x:v>Строгое сравнение типов важно, но для секретного токена стоило явно использовать timing-safe `hash_equals()`; часть ответа недостаточно точна.</x:v>
      </x:c>
    </x:row>
    <x:row r="615">
      <x:c r="A615" t="str">
        <x:v>gemma-4-e2b-hauhaucs-aggressive</x:v>
      </x:c>
      <x:c r="B615" t="str">
        <x:v>без thinking</x:v>
      </x:c>
      <x:c r="C615" t="str">
        <x:v>PHP-5</x:v>
      </x:c>
      <x:c r="D615" t="str">
        <x:v>PHP 8.2+ — ПОНИМАНИЕ, БЕЗОПАСНОСТЬ И АРХИТЕКТУРА</x:v>
      </x:c>
      <x:c r="E615" s="403" t="n">
        <x:v>60</x:v>
      </x:c>
      <x:c r="F615" t="str">
        <x:v>ЧАСТИЧНО</x:v>
      </x:c>
      <x:c r="G615" t="str">
        <x:v>Частично корректно: решение применимо по основной идее, но содержит заметные неточности/пробелы.</x:v>
      </x:c>
    </x:row>
    <x:row r="616">
      <x:c r="A616" t="str">
        <x:v>gemma-4-e2b-hauhaucs-aggressive</x:v>
      </x:c>
      <x:c r="B616" t="str">
        <x:v>без thinking</x:v>
      </x:c>
      <x:c r="C616" t="str">
        <x:v>PHP-6</x:v>
      </x:c>
      <x:c r="D616" t="str">
        <x:v>PHP 8.2+ — ПОНИМАНИЕ, БЕЗОПАСНОСТЬ И АРХИТЕКТУРА</x:v>
      </x:c>
      <x:c r="E616" s="403" t="n">
        <x:v>60</x:v>
      </x:c>
      <x:c r="F616" t="str">
        <x:v>ЧАСТИЧНО</x:v>
      </x:c>
      <x:c r="G616" t="str">
        <x:v>Частично корректно: решение применимо по основной идее, но содержит заметные неточности/пробелы.</x:v>
      </x:c>
    </x:row>
    <x:row r="617">
      <x:c r="A617" t="str">
        <x:v>gemma-4-e2b-hauhaucs-aggressive</x:v>
      </x:c>
      <x:c r="B617" t="str">
        <x:v>без thinking</x:v>
      </x:c>
      <x:c r="C617" t="str">
        <x:v>PHP-7</x:v>
      </x:c>
      <x:c r="D617" t="str">
        <x:v>PHP 8.2+ — ПОНИМАНИЕ, БЕЗОПАСНОСТЬ И АРХИТЕКТУРА</x:v>
      </x:c>
      <x:c r="E617" s="403" t="n">
        <x:v>60</x:v>
      </x:c>
      <x:c r="F617" t="str">
        <x:v>ЧАСТИЧНО</x:v>
      </x:c>
      <x:c r="G617" t="str">
        <x:v>Основные проверки перечислены, но безопасное хранение/повторное декодирование и MIME-проверка можно описать строже.</x:v>
      </x:c>
    </x:row>
    <x:row r="618">
      <x:c r="A618" t="str">
        <x:v>gemma-4-e2b-hauhaucs-aggressive</x:v>
      </x:c>
      <x:c r="B618" t="str">
        <x:v>без thinking</x:v>
      </x:c>
      <x:c r="C618" t="str">
        <x:v>PHP-8</x:v>
      </x:c>
      <x:c r="D618" t="str">
        <x:v>PHP 8.2+ — ПОНИМАНИЕ, БЕЗОПАСНОСТЬ И АРХИТЕКТУРА</x:v>
      </x:c>
      <x:c r="E618" s="403" t="n">
        <x:v>20</x:v>
      </x:c>
      <x:c r="F618" t="str">
        <x:v>КРИТИЧЕСКАЯ ОШИБКА</x:v>
      </x:c>
      <x:c r="G618" t="str">
        <x:v>Проверка типа выполнена слишком поздно; кроме того, strtolower() не обеспечивает требуемое UTF-8 case-folding.</x:v>
      </x:c>
    </x:row>
    <x:row r="619">
      <x:c r="A619" t="str">
        <x:v>gemma-4-e2b-hauhaucs-aggressive</x:v>
      </x:c>
      <x:c r="B619" t="str">
        <x:v>без thinking</x:v>
      </x:c>
      <x:c r="C619" t="str">
        <x:v>R-1</x:v>
      </x:c>
      <x:c r="D619" t="str">
        <x:v>РАССУЖДЕНИЕ И ЛОГИКА</x:v>
      </x:c>
      <x:c r="E619" s="403" t="n">
        <x:v>0</x:v>
      </x:c>
      <x:c r="F619" t="str">
        <x:v>КРИТИЧЕСКАЯ ОШИБКА</x:v>
      </x:c>
      <x:c r="G619" t="str">
        <x:v>Порядок B,A,E,C,D нарушает запрет B на первую позицию и запрет соседства C/D; проверка противоречит самому порядку.</x:v>
      </x:c>
    </x:row>
    <x:row r="620">
      <x:c r="A620" t="str">
        <x:v>gemma-4-e2b-hauhaucs-aggressive</x:v>
      </x:c>
      <x:c r="B620" t="str">
        <x:v>без thinking</x:v>
      </x:c>
      <x:c r="C620" t="str">
        <x:v>R-4</x:v>
      </x:c>
      <x:c r="D620" t="str">
        <x:v>РАССУЖДЕНИЕ И ЛОГИКА</x:v>
      </x:c>
      <x:c r="E620" s="403" t="n">
        <x:v>40</x:v>
      </x:c>
      <x:c r="F620" t="str">
        <x:v>СУЩЕСТВЕННО</x:v>
      </x:c>
      <x:c r="G620" t="str">
        <x:v>Число 2 названо верно, но описание второго/третьего шага противоречиво и не даёт корректной гарантированной стратегии.</x:v>
      </x:c>
    </x:row>
    <x:row r="621">
      <x:c r="A621" t="str">
        <x:v>gemma-4-e2b-hauhaucs-aggressive</x:v>
      </x:c>
      <x:c r="B621" t="str">
        <x:v>без thinking</x:v>
      </x:c>
      <x:c r="C621" t="str">
        <x:v>REGEX-1</x:v>
      </x:c>
      <x:c r="D621" t="str">
        <x:v>РЕГУЛЯРНЫЕ ВЫРАЖЕНИЯ И ПАРСИНГ</x:v>
      </x:c>
      <x:c r="E621" s="403"/>
      <x:c r="F621" t="str">
        <x:v>ПРОПУСК</x:v>
      </x:c>
      <x:c r="G621" t="str">
        <x:v>Пропуск: задание отсутствует в ответе.</x:v>
      </x:c>
    </x:row>
    <x:row r="622">
      <x:c r="A622" t="str">
        <x:v>gemma-4-e2b-hauhaucs-aggressive</x:v>
      </x:c>
      <x:c r="B622" t="str">
        <x:v>без thinking</x:v>
      </x:c>
      <x:c r="C622" t="str">
        <x:v>REGEX-2</x:v>
      </x:c>
      <x:c r="D622" t="str">
        <x:v>РЕГУЛЯРНЫЕ ВЫРАЖЕНИЯ И ПАРСИНГ</x:v>
      </x:c>
      <x:c r="E622" s="403"/>
      <x:c r="F622" t="str">
        <x:v>ПРОПУСК</x:v>
      </x:c>
      <x:c r="G622" t="str">
        <x:v>Пропуск: задание отсутствует в ответе.</x:v>
      </x:c>
    </x:row>
    <x:row r="623">
      <x:c r="A623" t="str">
        <x:v>gemma-4-e2b-hauhaucs-aggressive</x:v>
      </x:c>
      <x:c r="B623" t="str">
        <x:v>без thinking</x:v>
      </x:c>
      <x:c r="C623" t="str">
        <x:v>REGEX-3</x:v>
      </x:c>
      <x:c r="D623" t="str">
        <x:v>РЕГУЛЯРНЫЕ ВЫРАЖЕНИЯ И ПАРСИНГ</x:v>
      </x:c>
      <x:c r="E623" s="403"/>
      <x:c r="F623" t="str">
        <x:v>ПРОПУСК</x:v>
      </x:c>
      <x:c r="G623" t="str">
        <x:v>Пропуск: задание отсутствует в ответе.</x:v>
      </x:c>
    </x:row>
    <x:row r="624">
      <x:c r="A624" t="str">
        <x:v>gemma-4-e2b-hauhaucs-aggressive</x:v>
      </x:c>
      <x:c r="B624" t="str">
        <x:v>без thinking</x:v>
      </x:c>
      <x:c r="C624" t="str">
        <x:v>SCI-2</x:v>
      </x:c>
      <x:c r="D624" t="str">
        <x:v>НАУКА</x:v>
      </x:c>
      <x:c r="E624" s="403" t="n">
        <x:v>20</x:v>
      </x:c>
      <x:c r="F624" t="str">
        <x:v>КРИТИЧЕСКАЯ ОШИБКА</x:v>
      </x:c>
      <x:c r="G624" t="str">
        <x:v>Циклическая машина, превращающая всё тепло одного резервуара в работу без иных изменений, невозможна по формулировке Кельвина—Планка второго закона; ответ утверждает/допускает обратное.</x:v>
      </x:c>
    </x:row>
    <x:row r="625">
      <x:c r="A625" t="str">
        <x:v>gemma-4-e2b-hauhaucs-aggressive</x:v>
      </x:c>
      <x:c r="B625" t="str">
        <x:v>без thinking</x:v>
      </x:c>
      <x:c r="C625" t="str">
        <x:v>SCI-5</x:v>
      </x:c>
      <x:c r="D625" t="str">
        <x:v>НАУКА</x:v>
      </x:c>
      <x:c r="E625" s="403" t="n">
        <x:v>60</x:v>
      </x:c>
      <x:c r="F625" t="str">
        <x:v>ЧАСТИЧНО</x:v>
      </x:c>
      <x:c r="G625" t="str">
        <x:v>Основная идея популяционной эволюции передана, но механизм изложен упрощённо.</x:v>
      </x:c>
    </x:row>
    <x:row r="626">
      <x:c r="A626" t="str">
        <x:v>gemma-4-e2b-hauhaucs-aggressive</x:v>
      </x:c>
      <x:c r="B626" t="str">
        <x:v>без thinking</x:v>
      </x:c>
      <x:c r="C626" t="str">
        <x:v>SCI-8</x:v>
      </x:c>
      <x:c r="D626" t="str">
        <x:v>НАУКА</x:v>
      </x:c>
      <x:c r="E626" s="403"/>
      <x:c r="F626" t="str">
        <x:v>ПРОПУСК</x:v>
      </x:c>
      <x:c r="G626" t="str">
        <x:v>Пропуск: задание отсутствует в ответе.</x:v>
      </x:c>
    </x:row>
    <x:row r="627">
      <x:c r="A627" t="str">
        <x:v>gemma-4-e2b-hauhaucs-aggressive</x:v>
      </x:c>
      <x:c r="B627" t="str">
        <x:v>без thinking</x:v>
      </x:c>
      <x:c r="C627" t="str">
        <x:v>SELF-1</x:v>
      </x:c>
      <x:c r="D627" t="str">
        <x:v>САМОПРОВЕРКА И ИСПРАВЛЕНИЕ СОБСТВЕННОГО РЕШЕНИЯ</x:v>
      </x:c>
      <x:c r="E627" s="403"/>
      <x:c r="F627" t="str">
        <x:v>ПРОПУСК</x:v>
      </x:c>
      <x:c r="G627" t="str">
        <x:v>Пропуск: задание отсутствует в ответе.</x:v>
      </x:c>
    </x:row>
    <x:row r="628">
      <x:c r="A628" t="str">
        <x:v>gemma-4-e2b-hauhaucs-aggressive</x:v>
      </x:c>
      <x:c r="B628" t="str">
        <x:v>без thinking</x:v>
      </x:c>
      <x:c r="C628" t="str">
        <x:v>SELF-2</x:v>
      </x:c>
      <x:c r="D628" t="str">
        <x:v>САМОПРОВЕРКА И ИСПРАВЛЕНИЕ СОБСТВЕННОГО РЕШЕНИЯ</x:v>
      </x:c>
      <x:c r="E628" s="403"/>
      <x:c r="F628" t="str">
        <x:v>ПРОПУСК</x:v>
      </x:c>
      <x:c r="G628" t="str">
        <x:v>Пропуск: задание отсутствует в ответе.</x:v>
      </x:c>
    </x:row>
    <x:row r="629">
      <x:c r="A629" t="str">
        <x:v>gemma-4-e2b-hauhaucs-aggressive</x:v>
      </x:c>
      <x:c r="B629" t="str">
        <x:v>без thinking</x:v>
      </x:c>
      <x:c r="C629" t="str">
        <x:v>SH-1</x:v>
      </x:c>
      <x:c r="D629" t="str">
        <x:v>BASH, ZSH И macOS TERMINAL</x:v>
      </x:c>
      <x:c r="E629" s="403" t="n">
        <x:v>60</x:v>
      </x:c>
      <x:c r="F629" t="str">
        <x:v>ЧАСТИЧНО</x:v>
      </x:c>
      <x:c r="G629" t="str">
        <x:v>Частично корректно: решение применимо по основной идее, но содержит заметные неточности/пробелы.</x:v>
      </x:c>
    </x:row>
    <x:row r="630">
      <x:c r="A630" t="str">
        <x:v>gemma-4-e2b-hauhaucs-aggressive</x:v>
      </x:c>
      <x:c r="B630" t="str">
        <x:v>без thinking</x:v>
      </x:c>
      <x:c r="C630" t="str">
        <x:v>SH-2</x:v>
      </x:c>
      <x:c r="D630" t="str">
        <x:v>BASH, ZSH И macOS TERMINAL</x:v>
      </x:c>
      <x:c r="E630" s="403" t="n">
        <x:v>0</x:v>
      </x:c>
      <x:c r="F630" t="str">
        <x:v>КРИТИЧЕСКАЯ ОШИБКА</x:v>
      </x:c>
      <x:c r="G630" t="str">
        <x:v>Не выполнено требование посчитать только обычные файлы непосредственно в каталоге и безопасно учитывать имена с переводами строк.</x:v>
      </x:c>
    </x:row>
    <x:row r="631">
      <x:c r="A631" t="str">
        <x:v>gemma-4-e2b-hauhaucs-aggressive</x:v>
      </x:c>
      <x:c r="B631" t="str">
        <x:v>без thinking</x:v>
      </x:c>
      <x:c r="C631" t="str">
        <x:v>SH-3</x:v>
      </x:c>
      <x:c r="D631" t="str">
        <x:v>BASH, ZSH И macOS TERMINAL</x:v>
      </x:c>
      <x:c r="E631" s="403" t="n">
        <x:v>40</x:v>
      </x:c>
      <x:c r="F631" t="str">
        <x:v>СУЩЕСТВЕННО</x:v>
      </x:c>
      <x:c r="G631" t="str">
        <x:v>Кавычки обсуждены, но недостаточно разобраны unset/empty DIR, проверка корня и скрытые файлы.</x:v>
      </x:c>
    </x:row>
    <x:row r="632">
      <x:c r="A632" t="str">
        <x:v>gemma-4-e2b-hauhaucs-aggressive</x:v>
      </x:c>
      <x:c r="B632" t="str">
        <x:v>без thinking</x:v>
      </x:c>
      <x:c r="C632" t="str">
        <x:v>SH-4</x:v>
      </x:c>
      <x:c r="D632" t="str">
        <x:v>BASH, ZSH И macOS TERMINAL</x:v>
      </x:c>
      <x:c r="E632" s="403" t="n">
        <x:v>60</x:v>
      </x:c>
      <x:c r="F632" t="str">
        <x:v>ЧАСТИЧНО</x:v>
      </x:c>
      <x:c r="G632" t="str">
        <x:v>Частично корректно: решение применимо по основной идее, но содержит заметные неточности/пробелы.</x:v>
      </x:c>
    </x:row>
    <x:row r="633">
      <x:c r="A633" t="str">
        <x:v>gemma-4-e2b-hauhaucs-aggressive</x:v>
      </x:c>
      <x:c r="B633" t="str">
        <x:v>без thinking</x:v>
      </x:c>
      <x:c r="C633" t="str">
        <x:v>SH-6</x:v>
      </x:c>
      <x:c r="D633" t="str">
        <x:v>BASH, ZSH И macOS TERMINAL</x:v>
      </x:c>
      <x:c r="E633" s="403" t="n">
        <x:v>60</x:v>
      </x:c>
      <x:c r="F633" t="str">
        <x:v>ЧАСТИЧНО</x:v>
      </x:c>
      <x:c r="G633" t="str">
        <x:v>Частично корректно: решение применимо по основной идее, но содержит заметные неточности/пробелы.</x:v>
      </x:c>
    </x:row>
    <x:row r="634">
      <x:c r="A634" t="str">
        <x:v>gemma-4-e2b-hauhaucs-aggressive</x:v>
      </x:c>
      <x:c r="B634" t="str">
        <x:v>без thinking</x:v>
      </x:c>
      <x:c r="C634" t="str">
        <x:v>SH-7</x:v>
      </x:c>
      <x:c r="D634" t="str">
        <x:v>BASH, ZSH И macOS TERMINAL</x:v>
      </x:c>
      <x:c r="E634" s="403"/>
      <x:c r="F634" t="str">
        <x:v>ПРОПУСК</x:v>
      </x:c>
      <x:c r="G634" t="str">
        <x:v>Пропуск: задание отсутствует в ответе.</x:v>
      </x:c>
    </x:row>
    <x:row r="635">
      <x:c r="A635" t="str">
        <x:v>gemma-4-e2b-hauhaucs-aggressive</x:v>
      </x:c>
      <x:c r="B635" t="str">
        <x:v>без thinking</x:v>
      </x:c>
      <x:c r="C635" t="str">
        <x:v>SYS-1</x:v>
      </x:c>
      <x:c r="D635" t="str">
        <x:v>ПРОЕКТИРОВАНИЕ НЕБОЛЬШОЙ СИСТЕМЫ</x:v>
      </x:c>
      <x:c r="E635" s="403"/>
      <x:c r="F635" t="str">
        <x:v>ПРОПУСК</x:v>
      </x:c>
      <x:c r="G635" t="str">
        <x:v>Пропуск: задание отсутствует в ответе.</x:v>
      </x:c>
    </x:row>
    <x:row r="636">
      <x:c r="A636" t="str">
        <x:v>gemma-4-e2b-hauhaucs-aggressive</x:v>
      </x:c>
      <x:c r="B636" t="str">
        <x:v>без thinking</x:v>
      </x:c>
      <x:c r="C636" t="str">
        <x:v>WEB-1</x:v>
      </x:c>
      <x:c r="D636" t="str">
        <x:v>HTML, CSS, SVG И ДОСТУПНОСТЬ</x:v>
      </x:c>
      <x:c r="E636" s="403" t="n">
        <x:v>60</x:v>
      </x:c>
      <x:c r="F636" t="str">
        <x:v>ЧАСТИЧНО</x:v>
      </x:c>
      <x:c r="G636" t="str">
        <x:v>Частично корректно: решение применимо по основной идее, но содержит заметные неточности/пробелы.</x:v>
      </x:c>
    </x:row>
    <x:row r="637">
      <x:c r="A637" t="str">
        <x:v>gemma-4-e2b-hauhaucs-aggressive</x:v>
      </x:c>
      <x:c r="B637" t="str">
        <x:v>без thinking</x:v>
      </x:c>
      <x:c r="C637" t="str">
        <x:v>WEB-2</x:v>
      </x:c>
      <x:c r="D637" t="str">
        <x:v>HTML, CSS, SVG И ДОСТУПНОСТЬ</x:v>
      </x:c>
      <x:c r="E637" s="403" t="n">
        <x:v>60</x:v>
      </x:c>
      <x:c r="F637" t="str">
        <x:v>ЧАСТИЧНО</x:v>
      </x:c>
      <x:c r="G637" t="str">
        <x:v>Частично корректно: решение применимо по основной идее, но содержит заметные неточности/пробелы.</x:v>
      </x:c>
    </x:row>
    <x:row r="638">
      <x:c r="A638" t="str">
        <x:v>gemma-4-e2b-hauhaucs-aggressive</x:v>
      </x:c>
      <x:c r="B638" t="str">
        <x:v>без thinking</x:v>
      </x:c>
      <x:c r="C638" t="str">
        <x:v>WEB-3</x:v>
      </x:c>
      <x:c r="D638" t="str">
        <x:v>HTML, CSS, SVG И ДОСТУПНОСТЬ</x:v>
      </x:c>
      <x:c r="E638" s="403" t="n">
        <x:v>60</x:v>
      </x:c>
      <x:c r="F638" t="str">
        <x:v>ЧАСТИЧНО</x:v>
      </x:c>
      <x:c r="G638" t="str">
        <x:v>`repeat(auto-fit,minmax(240px,1fr))` адаптивен, но без дополнительного ограничения может создать больше 4 колонок на очень широком контейнере.</x:v>
      </x:c>
    </x:row>
    <x:row r="639">
      <x:c r="A639" t="str">
        <x:v>gemma-4-e2b-hauhaucs-aggressive</x:v>
      </x:c>
      <x:c r="B639" t="str">
        <x:v>без thinking</x:v>
      </x:c>
      <x:c r="C639" t="str">
        <x:v>WEB-4</x:v>
      </x:c>
      <x:c r="D639" t="str">
        <x:v>HTML, CSS, SVG И ДОСТУПНОСТЬ</x:v>
      </x:c>
      <x:c r="E639" s="403" t="n">
        <x:v>60</x:v>
      </x:c>
      <x:c r="F639" t="str">
        <x:v>ЧАСТИЧНО</x:v>
      </x:c>
      <x:c r="G639" t="str">
        <x:v>Частично корректно: решение применимо по основной идее, но содержит заметные неточности/пробелы.</x:v>
      </x:c>
    </x:row>
    <x:row r="640">
      <x:c r="A640" t="str">
        <x:v>gemma-4-e2b-hauhaucs-aggressive</x:v>
      </x:c>
      <x:c r="B640" t="str">
        <x:v>без thinking</x:v>
      </x:c>
      <x:c r="C640" t="str">
        <x:v>WEB-5</x:v>
      </x:c>
      <x:c r="D640" t="str">
        <x:v>HTML, CSS, SVG И ДОСТУПНОСТЬ</x:v>
      </x:c>
      <x:c r="E640" s="403" t="n">
        <x:v>20</x:v>
      </x:c>
      <x:c r="F640" t="str">
        <x:v>КРИТИЧЕСКАЯ ОШИБКА</x:v>
      </x:c>
      <x:c r="G640" t="str">
        <x:v>SVG не формирует требуемую галочку в круге.</x:v>
      </x:c>
    </x:row>
    <x:row r="641">
      <x:c r="A641" t="str">
        <x:v>gemma-4-e2b-hauhaucs-aggressive</x:v>
      </x:c>
      <x:c r="B641" t="str">
        <x:v>без thinking</x:v>
      </x:c>
      <x:c r="C641" t="str">
        <x:v>WEB-6</x:v>
      </x:c>
      <x:c r="D641" t="str">
        <x:v>HTML, CSS, SVG И ДОСТУПНОСТЬ</x:v>
      </x:c>
      <x:c r="E641" s="403" t="n">
        <x:v>40</x:v>
      </x:c>
      <x:c r="F641" t="str">
        <x:v>СУЩЕСТВЕННО</x:v>
      </x:c>
      <x:c r="G641" t="str">
        <x:v>Критерий скрытия интерактивной иконки сформулирован неверно: без видимого текста элементу всё равно нужно доступное имя.</x:v>
      </x:c>
    </x:row>
    <x:row r="642">
      <x:c r="A642" t="str">
        <x:v>gemma-4-e2b-hauhaucs-aggressive</x:v>
      </x:c>
      <x:c r="B642" t="str">
        <x:v>без thinking</x:v>
      </x:c>
      <x:c r="C642" t="str">
        <x:v>WEB-7</x:v>
      </x:c>
      <x:c r="D642" t="str">
        <x:v>HTML, CSS, SVG И ДОСТУПНОСТЬ</x:v>
      </x:c>
      <x:c r="E642" s="403" t="n">
        <x:v>60</x:v>
      </x:c>
      <x:c r="F642" t="str">
        <x:v>ЧАСТИЧНО</x:v>
      </x:c>
      <x:c r="G642" t="str">
        <x:v>Частично корректно: решение применимо по основной идее, но содержит заметные неточности/пробелы.</x:v>
      </x:c>
    </x:row>
    <x:row r="643">
      <x:c r="A643" t="str">
        <x:v>gemma-4-e2b-hauhaucs-aggressive</x:v>
      </x:c>
      <x:c r="B643" t="str">
        <x:v>без thinking</x:v>
      </x:c>
      <x:c r="C643" t="str">
        <x:v>WIN-3</x:v>
      </x:c>
      <x:c r="D643" t="str">
        <x:v>WINDOWS CMD И POWERSHELL</x:v>
      </x:c>
      <x:c r="E643" s="404" t="n">
        <x:v>0</x:v>
      </x:c>
      <x:c r="F643" t="str">
        <x:v>КРИТИЧЕСКАЯ ОШИБКА</x:v>
      </x:c>
      <x:c r="G643" t="str">
        <x:v>Не реализовано условие «старше 7 дней».</x:v>
      </x:c>
    </x:row>
    <x:row r="644">
      <x:c r="A644"/>
      <x:c r="B644"/>
      <x:c r="C644"/>
      <x:c r="D644"/>
      <x:c r="E644"/>
      <x:c r="F644"/>
      <x:c r="G644"/>
    </x:row>
    <x:row r="645">
      <x:c r="A645"/>
      <x:c r="B645"/>
      <x:c r="C645"/>
      <x:c r="D645"/>
      <x:c r="E645"/>
      <x:c r="F645"/>
      <x:c r="G645"/>
    </x:row>
    <x:row r="646">
      <x:c r="A646"/>
      <x:c r="B646"/>
      <x:c r="C646"/>
      <x:c r="D646"/>
      <x:c r="E646"/>
      <x:c r="F646"/>
      <x:c r="G646"/>
    </x:row>
    <x:row r="647">
      <x:c r="A647"/>
      <x:c r="B647"/>
      <x:c r="C647"/>
      <x:c r="D647"/>
      <x:c r="E647"/>
      <x:c r="F647"/>
      <x:c r="G647"/>
    </x:row>
    <x:row r="648">
      <x:c r="A648"/>
      <x:c r="B648"/>
      <x:c r="C648"/>
      <x:c r="D648"/>
      <x:c r="E648"/>
      <x:c r="F648"/>
      <x:c r="G648"/>
    </x:row>
    <x:row r="649">
      <x:c r="A649"/>
      <x:c r="B649"/>
      <x:c r="C649"/>
      <x:c r="D649"/>
      <x:c r="E649"/>
      <x:c r="F649"/>
      <x:c r="G649"/>
    </x:row>
    <x:row r="650">
      <x:c r="A650"/>
      <x:c r="B650"/>
      <x:c r="C650"/>
      <x:c r="D650"/>
      <x:c r="E650"/>
      <x:c r="F650"/>
      <x:c r="G650"/>
    </x:row>
    <x:row r="651">
      <x:c r="A651"/>
      <x:c r="B651"/>
      <x:c r="C651"/>
      <x:c r="D651"/>
      <x:c r="E651"/>
      <x:c r="F651"/>
      <x:c r="G651"/>
    </x:row>
    <x:row r="652">
      <x:c r="A652"/>
      <x:c r="B652"/>
      <x:c r="C652"/>
      <x:c r="D652"/>
      <x:c r="E652"/>
      <x:c r="F652"/>
      <x:c r="G652"/>
    </x:row>
    <x:row r="653">
      <x:c r="A653"/>
      <x:c r="B653"/>
      <x:c r="C653"/>
      <x:c r="D653"/>
      <x:c r="E653"/>
      <x:c r="F653"/>
      <x:c r="G653"/>
    </x:row>
    <x:row r="654">
      <x:c r="A654"/>
      <x:c r="B654"/>
      <x:c r="C654"/>
      <x:c r="D654"/>
      <x:c r="E654"/>
      <x:c r="F654"/>
      <x:c r="G654"/>
    </x:row>
    <x:row r="655">
      <x:c r="A655"/>
      <x:c r="B655"/>
      <x:c r="C655"/>
      <x:c r="D655"/>
      <x:c r="E655"/>
      <x:c r="F655"/>
      <x:c r="G655"/>
    </x:row>
    <x:row r="656">
      <x:c r="A656"/>
      <x:c r="B656"/>
      <x:c r="C656"/>
      <x:c r="D656"/>
      <x:c r="E656"/>
      <x:c r="F656"/>
      <x:c r="G656"/>
    </x:row>
    <x:row r="657">
      <x:c r="A657"/>
      <x:c r="B657"/>
      <x:c r="C657"/>
      <x:c r="D657"/>
      <x:c r="E657"/>
      <x:c r="F657"/>
      <x:c r="G657"/>
    </x:row>
    <x:row r="658">
      <x:c r="A658"/>
      <x:c r="B658"/>
      <x:c r="C658"/>
      <x:c r="D658"/>
      <x:c r="E658"/>
      <x:c r="F658"/>
      <x:c r="G658"/>
    </x:row>
    <x:row r="659">
      <x:c r="A659"/>
      <x:c r="B659"/>
      <x:c r="C659"/>
      <x:c r="D659"/>
      <x:c r="E659"/>
      <x:c r="F659"/>
      <x:c r="G659"/>
    </x:row>
    <x:row r="660">
      <x:c r="A660"/>
      <x:c r="B660"/>
      <x:c r="C660"/>
      <x:c r="D660"/>
      <x:c r="E660"/>
      <x:c r="F660"/>
      <x:c r="G660"/>
    </x:row>
    <x:row r="661">
      <x:c r="A661"/>
      <x:c r="B661"/>
      <x:c r="C661"/>
      <x:c r="D661"/>
      <x:c r="E661"/>
      <x:c r="F661"/>
      <x:c r="G661"/>
    </x:row>
    <x:row r="662">
      <x:c r="A662"/>
      <x:c r="B662"/>
      <x:c r="C662"/>
      <x:c r="D662"/>
      <x:c r="E662"/>
      <x:c r="F662"/>
      <x:c r="G662"/>
    </x:row>
    <x:row r="663">
      <x:c r="A663"/>
      <x:c r="B663"/>
      <x:c r="C663"/>
      <x:c r="D663"/>
      <x:c r="E663"/>
      <x:c r="F663"/>
      <x:c r="G663"/>
    </x:row>
    <x:row r="664">
      <x:c r="A664"/>
      <x:c r="B664"/>
      <x:c r="C664"/>
      <x:c r="D664"/>
      <x:c r="E664"/>
      <x:c r="F664"/>
      <x:c r="G664"/>
    </x:row>
    <x:row r="665">
      <x:c r="A665"/>
      <x:c r="B665"/>
      <x:c r="C665"/>
      <x:c r="D665"/>
      <x:c r="E665"/>
      <x:c r="F665"/>
      <x:c r="G665"/>
    </x:row>
    <x:row r="666">
      <x:c r="A666"/>
      <x:c r="B666"/>
      <x:c r="C666"/>
      <x:c r="D666"/>
      <x:c r="E666"/>
      <x:c r="F666"/>
      <x:c r="G666"/>
    </x:row>
    <x:row r="667">
      <x:c r="A667"/>
      <x:c r="B667"/>
      <x:c r="C667"/>
      <x:c r="D667"/>
      <x:c r="E667"/>
      <x:c r="F667"/>
      <x:c r="G667"/>
    </x:row>
    <x:row r="668">
      <x:c r="A668"/>
      <x:c r="B668"/>
      <x:c r="C668"/>
      <x:c r="D668"/>
      <x:c r="E668"/>
      <x:c r="F668"/>
      <x:c r="G668"/>
    </x:row>
    <x:row r="669">
      <x:c r="A669"/>
      <x:c r="B669"/>
      <x:c r="C669"/>
      <x:c r="D669"/>
      <x:c r="E669"/>
      <x:c r="F669"/>
      <x:c r="G669"/>
    </x:row>
    <x:row r="670">
      <x:c r="A670"/>
      <x:c r="B670"/>
      <x:c r="C670"/>
      <x:c r="D670"/>
      <x:c r="E670"/>
      <x:c r="F670"/>
      <x:c r="G670"/>
    </x:row>
    <x:row r="671">
      <x:c r="A671"/>
      <x:c r="B671"/>
      <x:c r="C671"/>
      <x:c r="D671"/>
      <x:c r="E671"/>
      <x:c r="F671"/>
      <x:c r="G671"/>
    </x:row>
    <x:row r="672">
      <x:c r="A672"/>
      <x:c r="B672"/>
      <x:c r="C672"/>
      <x:c r="D672"/>
      <x:c r="E672"/>
      <x:c r="F672"/>
      <x:c r="G672"/>
    </x:row>
    <x:row r="673">
      <x:c r="A673"/>
      <x:c r="B673"/>
      <x:c r="C673"/>
      <x:c r="D673"/>
      <x:c r="E673"/>
      <x:c r="F673"/>
      <x:c r="G673"/>
    </x:row>
    <x:row r="674">
      <x:c r="A674"/>
      <x:c r="B674"/>
      <x:c r="C674"/>
      <x:c r="D674"/>
      <x:c r="E674"/>
      <x:c r="F674"/>
      <x:c r="G674"/>
    </x:row>
    <x:row r="675">
      <x:c r="A675"/>
      <x:c r="B675"/>
      <x:c r="C675"/>
      <x:c r="D675"/>
      <x:c r="E675"/>
      <x:c r="F675"/>
      <x:c r="G675"/>
    </x:row>
    <x:row r="676">
      <x:c r="A676"/>
      <x:c r="B676"/>
      <x:c r="C676"/>
      <x:c r="D676"/>
      <x:c r="E676"/>
      <x:c r="F676"/>
      <x:c r="G676"/>
    </x:row>
    <x:row r="677">
      <x:c r="A677"/>
      <x:c r="B677"/>
      <x:c r="C677"/>
      <x:c r="D677"/>
      <x:c r="E677"/>
      <x:c r="F677"/>
      <x:c r="G677"/>
    </x:row>
    <x:row r="678">
      <x:c r="A678"/>
      <x:c r="B678"/>
      <x:c r="C678"/>
      <x:c r="D678"/>
      <x:c r="E678"/>
      <x:c r="F678"/>
      <x:c r="G678"/>
    </x:row>
    <x:row r="679">
      <x:c r="A679"/>
      <x:c r="B679"/>
      <x:c r="C679"/>
      <x:c r="D679"/>
      <x:c r="E679"/>
      <x:c r="F679"/>
      <x:c r="G679"/>
    </x:row>
    <x:row r="680">
      <x:c r="A680"/>
      <x:c r="B680"/>
      <x:c r="C680"/>
      <x:c r="D680"/>
      <x:c r="E680"/>
      <x:c r="F680"/>
      <x:c r="G680"/>
    </x:row>
    <x:row r="681">
      <x:c r="A681"/>
      <x:c r="B681"/>
      <x:c r="C681"/>
      <x:c r="D681"/>
      <x:c r="E681"/>
      <x:c r="F681"/>
      <x:c r="G681"/>
    </x:row>
    <x:row r="682">
      <x:c r="A682"/>
      <x:c r="B682"/>
      <x:c r="C682"/>
      <x:c r="D682"/>
      <x:c r="E682"/>
      <x:c r="F682"/>
      <x:c r="G682"/>
    </x:row>
    <x:row r="683">
      <x:c r="A683"/>
      <x:c r="B683"/>
      <x:c r="C683"/>
      <x:c r="D683"/>
      <x:c r="E683"/>
      <x:c r="F683"/>
      <x:c r="G683"/>
    </x:row>
    <x:row r="684">
      <x:c r="A684"/>
      <x:c r="B684"/>
      <x:c r="C684"/>
      <x:c r="D684"/>
      <x:c r="E684"/>
      <x:c r="F684"/>
      <x:c r="G684"/>
    </x:row>
    <x:row r="685">
      <x:c r="A685"/>
      <x:c r="B685"/>
      <x:c r="C685"/>
      <x:c r="D685"/>
      <x:c r="E685"/>
      <x:c r="F685"/>
      <x:c r="G685"/>
    </x:row>
    <x:row r="686">
      <x:c r="A686"/>
      <x:c r="B686"/>
      <x:c r="C686"/>
      <x:c r="D686"/>
      <x:c r="E686"/>
      <x:c r="F686"/>
      <x:c r="G686"/>
    </x:row>
    <x:row r="687">
      <x:c r="A687"/>
      <x:c r="B687"/>
      <x:c r="C687"/>
      <x:c r="D687"/>
      <x:c r="E687"/>
      <x:c r="F687"/>
      <x:c r="G687"/>
    </x:row>
    <x:row r="688">
      <x:c r="A688"/>
      <x:c r="B688"/>
      <x:c r="C688"/>
      <x:c r="D688"/>
      <x:c r="E688"/>
      <x:c r="F688"/>
      <x:c r="G688"/>
    </x:row>
    <x:row r="689">
      <x:c r="A689"/>
      <x:c r="B689"/>
      <x:c r="C689"/>
      <x:c r="D689"/>
      <x:c r="E689"/>
      <x:c r="F689"/>
      <x:c r="G689"/>
    </x:row>
    <x:row r="690">
      <x:c r="A690"/>
      <x:c r="B690"/>
      <x:c r="C690"/>
      <x:c r="D690"/>
      <x:c r="E690"/>
      <x:c r="F690"/>
      <x:c r="G690"/>
    </x:row>
    <x:row r="691">
      <x:c r="A691"/>
      <x:c r="B691"/>
      <x:c r="C691"/>
      <x:c r="D691"/>
      <x:c r="E691"/>
      <x:c r="F691"/>
      <x:c r="G691"/>
    </x:row>
    <x:row r="692">
      <x:c r="A692"/>
      <x:c r="B692"/>
      <x:c r="C692"/>
      <x:c r="D692"/>
      <x:c r="E692"/>
      <x:c r="F692"/>
      <x:c r="G692"/>
    </x:row>
    <x:row r="693">
      <x:c r="A693"/>
      <x:c r="B693"/>
      <x:c r="C693"/>
      <x:c r="D693"/>
      <x:c r="E693"/>
      <x:c r="F693"/>
      <x:c r="G693"/>
    </x:row>
    <x:row r="694">
      <x:c r="A694"/>
      <x:c r="B694"/>
      <x:c r="C694"/>
      <x:c r="D694"/>
      <x:c r="E694"/>
      <x:c r="F694"/>
      <x:c r="G694"/>
    </x:row>
    <x:row r="695">
      <x:c r="A695"/>
      <x:c r="B695"/>
      <x:c r="C695"/>
      <x:c r="D695"/>
      <x:c r="E695"/>
      <x:c r="F695"/>
      <x:c r="G695"/>
    </x:row>
    <x:row r="696">
      <x:c r="A696"/>
      <x:c r="B696"/>
      <x:c r="C696"/>
      <x:c r="D696"/>
      <x:c r="E696"/>
      <x:c r="F696"/>
      <x:c r="G696"/>
    </x:row>
    <x:row r="697">
      <x:c r="A697"/>
      <x:c r="B697"/>
      <x:c r="C697"/>
      <x:c r="D697"/>
      <x:c r="E697"/>
      <x:c r="F697"/>
      <x:c r="G697"/>
    </x:row>
    <x:row r="698">
      <x:c r="A698"/>
      <x:c r="B698"/>
      <x:c r="C698"/>
      <x:c r="D698"/>
      <x:c r="E698"/>
      <x:c r="F698"/>
      <x:c r="G698"/>
    </x:row>
    <x:row r="699">
      <x:c r="A699"/>
      <x:c r="B699"/>
      <x:c r="C699"/>
      <x:c r="D699"/>
      <x:c r="E699"/>
      <x:c r="F699"/>
      <x:c r="G699"/>
    </x:row>
    <x:row r="700">
      <x:c r="A700"/>
      <x:c r="B700"/>
      <x:c r="C700"/>
      <x:c r="D700"/>
      <x:c r="E700"/>
      <x:c r="F700"/>
      <x:c r="G700"/>
    </x:row>
    <x:row r="701">
      <x:c r="A701"/>
      <x:c r="B701"/>
      <x:c r="C701"/>
      <x:c r="D701"/>
      <x:c r="E701"/>
      <x:c r="F701"/>
      <x:c r="G701"/>
    </x:row>
    <x:row r="702">
      <x:c r="A702"/>
      <x:c r="B702"/>
      <x:c r="C702"/>
      <x:c r="D702"/>
      <x:c r="E702"/>
      <x:c r="F702"/>
      <x:c r="G702"/>
    </x:row>
    <x:row r="703">
      <x:c r="A703"/>
      <x:c r="B703"/>
      <x:c r="C703"/>
      <x:c r="D703"/>
      <x:c r="E703"/>
      <x:c r="F703"/>
      <x:c r="G703"/>
    </x:row>
    <x:row r="704">
      <x:c r="A704"/>
      <x:c r="B704"/>
      <x:c r="C704"/>
      <x:c r="D704"/>
      <x:c r="E704"/>
      <x:c r="F704"/>
      <x:c r="G704"/>
    </x:row>
    <x:row r="705">
      <x:c r="A705"/>
      <x:c r="B705"/>
      <x:c r="C705"/>
      <x:c r="D705"/>
      <x:c r="E705"/>
      <x:c r="F705"/>
      <x:c r="G705"/>
    </x:row>
    <x:row r="706">
      <x:c r="A706"/>
      <x:c r="B706"/>
      <x:c r="C706"/>
      <x:c r="D706"/>
      <x:c r="E706"/>
      <x:c r="F706"/>
      <x:c r="G706"/>
    </x:row>
    <x:row r="707">
      <x:c r="A707"/>
      <x:c r="B707"/>
      <x:c r="C707"/>
      <x:c r="D707"/>
      <x:c r="E707"/>
      <x:c r="F707"/>
      <x:c r="G707"/>
    </x:row>
    <x:row r="708">
      <x:c r="A708"/>
      <x:c r="B708"/>
      <x:c r="C708"/>
      <x:c r="D708"/>
      <x:c r="E708"/>
      <x:c r="F708"/>
      <x:c r="G708"/>
    </x:row>
    <x:row r="709">
      <x:c r="A709"/>
      <x:c r="B709"/>
      <x:c r="C709"/>
      <x:c r="D709"/>
      <x:c r="E709"/>
      <x:c r="F709"/>
      <x:c r="G709"/>
    </x:row>
    <x:row r="710">
      <x:c r="A710"/>
      <x:c r="B710"/>
      <x:c r="C710"/>
      <x:c r="D710"/>
      <x:c r="E710"/>
      <x:c r="F710"/>
      <x:c r="G710"/>
    </x:row>
    <x:row r="711">
      <x:c r="A711"/>
      <x:c r="B711"/>
      <x:c r="C711"/>
      <x:c r="D711"/>
      <x:c r="E711"/>
      <x:c r="F711"/>
      <x:c r="G711"/>
    </x:row>
    <x:row r="712">
      <x:c r="A712"/>
      <x:c r="B712"/>
      <x:c r="C712"/>
      <x:c r="D712"/>
      <x:c r="E712"/>
      <x:c r="F712"/>
      <x:c r="G712"/>
    </x:row>
    <x:row r="713">
      <x:c r="A713"/>
      <x:c r="B713"/>
      <x:c r="C713"/>
      <x:c r="D713"/>
      <x:c r="E713"/>
      <x:c r="F713"/>
      <x:c r="G713"/>
    </x:row>
    <x:row r="714">
      <x:c r="A714"/>
      <x:c r="B714"/>
      <x:c r="C714"/>
      <x:c r="D714"/>
      <x:c r="E714"/>
      <x:c r="F714"/>
      <x:c r="G714"/>
    </x:row>
    <x:row r="715">
      <x:c r="A715"/>
      <x:c r="B715"/>
      <x:c r="C715"/>
      <x:c r="D715"/>
      <x:c r="E715"/>
      <x:c r="F715"/>
      <x:c r="G715"/>
    </x:row>
    <x:row r="716">
      <x:c r="A716"/>
      <x:c r="B716"/>
      <x:c r="C716"/>
      <x:c r="D716"/>
      <x:c r="E716"/>
      <x:c r="F716"/>
      <x:c r="G716"/>
    </x:row>
    <x:row r="717">
      <x:c r="A717"/>
      <x:c r="B717"/>
      <x:c r="C717"/>
      <x:c r="D717"/>
      <x:c r="E717"/>
      <x:c r="F717"/>
      <x:c r="G717"/>
    </x:row>
    <x:row r="718">
      <x:c r="A718"/>
      <x:c r="B718"/>
      <x:c r="C718"/>
      <x:c r="D718"/>
      <x:c r="E718"/>
      <x:c r="F718"/>
      <x:c r="G718"/>
    </x:row>
    <x:row r="719">
      <x:c r="A719"/>
      <x:c r="B719"/>
      <x:c r="C719"/>
      <x:c r="D719"/>
      <x:c r="E719"/>
      <x:c r="F719"/>
      <x:c r="G719"/>
    </x:row>
    <x:row r="720">
      <x:c r="A720"/>
      <x:c r="B720"/>
      <x:c r="C720"/>
      <x:c r="D720"/>
      <x:c r="E720"/>
      <x:c r="F720"/>
      <x:c r="G720"/>
    </x:row>
    <x:row r="721">
      <x:c r="A721"/>
      <x:c r="B721"/>
      <x:c r="C721"/>
      <x:c r="D721"/>
      <x:c r="E721"/>
      <x:c r="F721"/>
      <x:c r="G721"/>
    </x:row>
    <x:row r="722">
      <x:c r="A722"/>
      <x:c r="B722"/>
      <x:c r="C722"/>
      <x:c r="D722"/>
      <x:c r="E722"/>
      <x:c r="F722"/>
      <x:c r="G722"/>
    </x:row>
    <x:row r="723">
      <x:c r="A723"/>
      <x:c r="B723"/>
      <x:c r="C723"/>
      <x:c r="D723"/>
      <x:c r="E723"/>
      <x:c r="F723"/>
      <x:c r="G723"/>
    </x:row>
    <x:row r="724">
      <x:c r="A724"/>
      <x:c r="B724"/>
      <x:c r="C724"/>
      <x:c r="D724"/>
      <x:c r="E724"/>
      <x:c r="F724"/>
      <x:c r="G724"/>
    </x:row>
    <x:row r="725">
      <x:c r="A725"/>
      <x:c r="B725"/>
      <x:c r="C725"/>
      <x:c r="D725"/>
      <x:c r="E725"/>
      <x:c r="F725"/>
      <x:c r="G725"/>
    </x:row>
    <x:row r="726">
      <x:c r="A726"/>
      <x:c r="B726"/>
      <x:c r="C726"/>
      <x:c r="D726"/>
      <x:c r="E726"/>
      <x:c r="F726"/>
      <x:c r="G726"/>
    </x:row>
    <x:row r="727">
      <x:c r="A727"/>
      <x:c r="B727"/>
      <x:c r="C727"/>
      <x:c r="D727"/>
      <x:c r="E727"/>
      <x:c r="F727"/>
      <x:c r="G727"/>
    </x:row>
    <x:row r="728">
      <x:c r="A728"/>
      <x:c r="B728"/>
      <x:c r="C728"/>
      <x:c r="D728"/>
      <x:c r="E728"/>
      <x:c r="F728"/>
      <x:c r="G728"/>
    </x:row>
    <x:row r="729">
      <x:c r="A729"/>
      <x:c r="B729"/>
      <x:c r="C729"/>
      <x:c r="D729"/>
      <x:c r="E729"/>
      <x:c r="F729"/>
      <x:c r="G729"/>
    </x:row>
    <x:row r="730">
      <x:c r="A730"/>
      <x:c r="B730"/>
      <x:c r="C730"/>
      <x:c r="D730"/>
      <x:c r="E730"/>
      <x:c r="F730"/>
      <x:c r="G730"/>
    </x:row>
    <x:row r="731">
      <x:c r="A731"/>
      <x:c r="B731"/>
      <x:c r="C731"/>
      <x:c r="D731"/>
      <x:c r="E731"/>
      <x:c r="F731"/>
      <x:c r="G731"/>
    </x:row>
    <x:row r="732">
      <x:c r="A732"/>
      <x:c r="B732"/>
      <x:c r="C732"/>
      <x:c r="D732"/>
      <x:c r="E732"/>
      <x:c r="F732"/>
      <x:c r="G732"/>
    </x:row>
    <x:row r="733">
      <x:c r="A733"/>
      <x:c r="B733"/>
      <x:c r="C733"/>
      <x:c r="D733"/>
      <x:c r="E733"/>
      <x:c r="F733"/>
      <x:c r="G733"/>
    </x:row>
    <x:row r="734">
      <x:c r="A734"/>
      <x:c r="B734"/>
      <x:c r="C734"/>
      <x:c r="D734"/>
      <x:c r="E734"/>
      <x:c r="F734"/>
      <x:c r="G734"/>
    </x:row>
    <x:row r="735">
      <x:c r="A735"/>
      <x:c r="B735"/>
      <x:c r="C735"/>
      <x:c r="D735"/>
      <x:c r="E735"/>
      <x:c r="F735"/>
      <x:c r="G735"/>
    </x:row>
    <x:row r="736">
      <x:c r="A736"/>
      <x:c r="B736"/>
      <x:c r="C736"/>
      <x:c r="D736"/>
      <x:c r="E736"/>
      <x:c r="F736"/>
      <x:c r="G736"/>
    </x:row>
    <x:row r="737">
      <x:c r="A737"/>
      <x:c r="B737"/>
      <x:c r="C737"/>
      <x:c r="D737"/>
      <x:c r="E737"/>
      <x:c r="F737"/>
      <x:c r="G737"/>
    </x:row>
    <x:row r="738">
      <x:c r="A738"/>
      <x:c r="B738"/>
      <x:c r="C738"/>
      <x:c r="D738"/>
      <x:c r="E738"/>
      <x:c r="F738"/>
      <x:c r="G738"/>
    </x:row>
    <x:row r="739">
      <x:c r="A739"/>
      <x:c r="B739"/>
      <x:c r="C739"/>
      <x:c r="D739"/>
      <x:c r="E739"/>
      <x:c r="F739"/>
      <x:c r="G739"/>
    </x:row>
    <x:row r="740">
      <x:c r="A740"/>
      <x:c r="B740"/>
      <x:c r="C740"/>
      <x:c r="D740"/>
      <x:c r="E740"/>
      <x:c r="F740"/>
      <x:c r="G740"/>
    </x:row>
    <x:row r="741">
      <x:c r="A741"/>
      <x:c r="B741"/>
      <x:c r="C741"/>
      <x:c r="D741"/>
      <x:c r="E741"/>
      <x:c r="F741"/>
      <x:c r="G741"/>
    </x:row>
    <x:row r="742">
      <x:c r="A742"/>
      <x:c r="B742"/>
      <x:c r="C742"/>
      <x:c r="D742"/>
      <x:c r="E742"/>
      <x:c r="F742"/>
      <x:c r="G742"/>
    </x:row>
    <x:row r="743">
      <x:c r="A743"/>
      <x:c r="B743"/>
      <x:c r="C743"/>
      <x:c r="D743"/>
      <x:c r="E743"/>
      <x:c r="F743"/>
      <x:c r="G743"/>
    </x:row>
    <x:row r="744">
      <x:c r="A744"/>
      <x:c r="B744"/>
      <x:c r="C744"/>
      <x:c r="D744"/>
      <x:c r="E744"/>
      <x:c r="F744"/>
      <x:c r="G744"/>
    </x:row>
    <x:row r="745">
      <x:c r="A745"/>
      <x:c r="B745"/>
      <x:c r="C745"/>
      <x:c r="D745"/>
      <x:c r="E745"/>
      <x:c r="F745"/>
      <x:c r="G745"/>
    </x:row>
    <x:row r="746">
      <x:c r="A746"/>
      <x:c r="B746"/>
      <x:c r="C746"/>
      <x:c r="D746"/>
      <x:c r="E746"/>
      <x:c r="F746"/>
      <x:c r="G746"/>
    </x:row>
    <x:row r="747">
      <x:c r="A747"/>
      <x:c r="B747"/>
      <x:c r="C747"/>
      <x:c r="D747"/>
      <x:c r="E747"/>
      <x:c r="F747"/>
      <x:c r="G747"/>
    </x:row>
    <x:row r="748">
      <x:c r="A748"/>
      <x:c r="B748"/>
      <x:c r="C748"/>
      <x:c r="D748"/>
      <x:c r="E748"/>
      <x:c r="F748"/>
      <x:c r="G748"/>
    </x:row>
    <x:row r="749">
      <x:c r="A749"/>
      <x:c r="B749"/>
      <x:c r="C749"/>
      <x:c r="D749"/>
      <x:c r="E749"/>
      <x:c r="F749"/>
      <x:c r="G749"/>
    </x:row>
    <x:row r="750">
      <x:c r="A750"/>
      <x:c r="B750"/>
      <x:c r="C750"/>
      <x:c r="D750"/>
      <x:c r="E750"/>
      <x:c r="F750"/>
      <x:c r="G750"/>
    </x:row>
    <x:row r="751">
      <x:c r="A751"/>
      <x:c r="B751"/>
      <x:c r="C751"/>
      <x:c r="D751"/>
      <x:c r="E751"/>
      <x:c r="F751"/>
      <x:c r="G751"/>
    </x:row>
    <x:row r="752">
      <x:c r="A752"/>
      <x:c r="B752"/>
      <x:c r="C752"/>
      <x:c r="D752"/>
      <x:c r="E752"/>
      <x:c r="F752"/>
      <x:c r="G752"/>
    </x:row>
    <x:row r="753">
      <x:c r="A753"/>
      <x:c r="B753"/>
      <x:c r="C753"/>
      <x:c r="D753"/>
      <x:c r="E753"/>
      <x:c r="F753"/>
      <x:c r="G753"/>
    </x:row>
    <x:row r="754">
      <x:c r="A754"/>
      <x:c r="B754"/>
      <x:c r="C754"/>
      <x:c r="D754"/>
      <x:c r="E754"/>
      <x:c r="F754"/>
      <x:c r="G754"/>
    </x:row>
    <x:row r="755">
      <x:c r="A755"/>
      <x:c r="B755"/>
      <x:c r="C755"/>
      <x:c r="D755"/>
      <x:c r="E755"/>
      <x:c r="F755"/>
      <x:c r="G755"/>
    </x:row>
    <x:row r="756">
      <x:c r="A756"/>
      <x:c r="B756"/>
      <x:c r="C756"/>
      <x:c r="D756"/>
      <x:c r="E756"/>
      <x:c r="F756"/>
      <x:c r="G756"/>
    </x:row>
    <x:row r="757">
      <x:c r="A757"/>
      <x:c r="B757"/>
      <x:c r="C757"/>
      <x:c r="D757"/>
      <x:c r="E757"/>
      <x:c r="F757"/>
      <x:c r="G757"/>
    </x:row>
    <x:row r="758">
      <x:c r="A758"/>
      <x:c r="B758"/>
      <x:c r="C758"/>
      <x:c r="D758"/>
      <x:c r="E758"/>
      <x:c r="F758"/>
      <x:c r="G758"/>
    </x:row>
    <x:row r="759">
      <x:c r="A759"/>
      <x:c r="B759"/>
      <x:c r="C759"/>
      <x:c r="D759"/>
      <x:c r="E759"/>
      <x:c r="F759"/>
      <x:c r="G759"/>
    </x:row>
    <x:row r="760">
      <x:c r="A760"/>
      <x:c r="B760"/>
      <x:c r="C760"/>
      <x:c r="D760"/>
      <x:c r="E760"/>
      <x:c r="F760"/>
      <x:c r="G760"/>
    </x:row>
    <x:row r="761">
      <x:c r="A761"/>
      <x:c r="B761"/>
      <x:c r="C761"/>
      <x:c r="D761"/>
      <x:c r="E761"/>
      <x:c r="F761"/>
      <x:c r="G761"/>
    </x:row>
    <x:row r="762">
      <x:c r="A762"/>
      <x:c r="B762"/>
      <x:c r="C762"/>
      <x:c r="D762"/>
      <x:c r="E762"/>
      <x:c r="F762"/>
      <x:c r="G762"/>
    </x:row>
    <x:row r="763">
      <x:c r="A763"/>
      <x:c r="B763"/>
      <x:c r="C763"/>
      <x:c r="D763"/>
      <x:c r="E763"/>
      <x:c r="F763"/>
      <x:c r="G763"/>
    </x:row>
    <x:row r="764">
      <x:c r="A764"/>
      <x:c r="B764"/>
      <x:c r="C764"/>
      <x:c r="D764"/>
      <x:c r="E764"/>
      <x:c r="F764"/>
      <x:c r="G764"/>
    </x:row>
    <x:row r="765">
      <x:c r="A765"/>
      <x:c r="B765"/>
      <x:c r="C765"/>
      <x:c r="D765"/>
      <x:c r="E765"/>
      <x:c r="F765"/>
      <x:c r="G765"/>
    </x:row>
    <x:row r="766">
      <x:c r="A766"/>
      <x:c r="B766"/>
      <x:c r="C766"/>
      <x:c r="D766"/>
      <x:c r="E766"/>
      <x:c r="F766"/>
      <x:c r="G766"/>
    </x:row>
    <x:row r="767">
      <x:c r="A767"/>
      <x:c r="B767"/>
      <x:c r="C767"/>
      <x:c r="D767"/>
      <x:c r="E767"/>
      <x:c r="F767"/>
      <x:c r="G767"/>
    </x:row>
    <x:row r="768">
      <x:c r="A768"/>
      <x:c r="B768"/>
      <x:c r="C768"/>
      <x:c r="D768"/>
      <x:c r="E768"/>
      <x:c r="F768"/>
      <x:c r="G768"/>
    </x:row>
    <x:row r="769">
      <x:c r="A769"/>
      <x:c r="B769"/>
      <x:c r="C769"/>
      <x:c r="D769"/>
      <x:c r="E769"/>
      <x:c r="F769"/>
      <x:c r="G769"/>
    </x:row>
    <x:row r="770">
      <x:c r="A770"/>
      <x:c r="B770"/>
      <x:c r="C770"/>
      <x:c r="D770"/>
      <x:c r="E770"/>
      <x:c r="F770"/>
      <x:c r="G770"/>
    </x:row>
    <x:row r="771">
      <x:c r="A771"/>
      <x:c r="B771"/>
      <x:c r="C771"/>
      <x:c r="D771"/>
      <x:c r="E771"/>
      <x:c r="F771"/>
      <x:c r="G771"/>
    </x:row>
    <x:row r="772">
      <x:c r="A772"/>
      <x:c r="B772"/>
      <x:c r="C772"/>
      <x:c r="D772"/>
      <x:c r="E772"/>
      <x:c r="F772"/>
      <x:c r="G772"/>
    </x:row>
    <x:row r="773">
      <x:c r="A773"/>
      <x:c r="B773"/>
      <x:c r="C773"/>
      <x:c r="D773"/>
      <x:c r="E773"/>
      <x:c r="F773"/>
      <x:c r="G773"/>
    </x:row>
    <x:row r="774">
      <x:c r="A774"/>
      <x:c r="B774"/>
      <x:c r="C774"/>
      <x:c r="D774"/>
      <x:c r="E774"/>
      <x:c r="F774"/>
      <x:c r="G774"/>
    </x:row>
    <x:row r="775">
      <x:c r="A775"/>
      <x:c r="B775"/>
      <x:c r="C775"/>
      <x:c r="D775"/>
      <x:c r="E775"/>
      <x:c r="F775"/>
      <x:c r="G775"/>
    </x:row>
    <x:row r="776">
      <x:c r="A776"/>
      <x:c r="B776"/>
      <x:c r="C776"/>
      <x:c r="D776"/>
      <x:c r="E776"/>
      <x:c r="F776"/>
      <x:c r="G776"/>
    </x:row>
    <x:row r="777">
      <x:c r="A777"/>
      <x:c r="B777"/>
      <x:c r="C777"/>
      <x:c r="D777"/>
      <x:c r="E777"/>
      <x:c r="F777"/>
      <x:c r="G777"/>
    </x:row>
    <x:row r="778">
      <x:c r="A778"/>
      <x:c r="B778"/>
      <x:c r="C778"/>
      <x:c r="D778"/>
      <x:c r="E778"/>
      <x:c r="F778"/>
      <x:c r="G778"/>
    </x:row>
    <x:row r="779">
      <x:c r="A779"/>
      <x:c r="B779"/>
      <x:c r="C779"/>
      <x:c r="D779"/>
      <x:c r="E779"/>
      <x:c r="F779"/>
      <x:c r="G779"/>
    </x:row>
    <x:row r="780">
      <x:c r="A780"/>
      <x:c r="B780"/>
      <x:c r="C780"/>
      <x:c r="D780"/>
      <x:c r="E780"/>
      <x:c r="F780"/>
      <x:c r="G780"/>
    </x:row>
    <x:row r="781">
      <x:c r="A781"/>
      <x:c r="B781"/>
      <x:c r="C781"/>
      <x:c r="D781"/>
      <x:c r="E781"/>
      <x:c r="F781"/>
      <x:c r="G781"/>
    </x:row>
    <x:row r="782">
      <x:c r="A782"/>
      <x:c r="B782"/>
      <x:c r="C782"/>
      <x:c r="D782"/>
      <x:c r="E782"/>
      <x:c r="F782"/>
      <x:c r="G782"/>
    </x:row>
    <x:row r="783">
      <x:c r="A783"/>
      <x:c r="B783"/>
      <x:c r="C783"/>
      <x:c r="D783"/>
      <x:c r="E783"/>
      <x:c r="F783"/>
      <x:c r="G783"/>
    </x:row>
    <x:row r="784">
      <x:c r="A784"/>
      <x:c r="B784"/>
      <x:c r="C784"/>
      <x:c r="D784"/>
      <x:c r="E784"/>
      <x:c r="F784"/>
      <x:c r="G784"/>
    </x:row>
    <x:row r="785">
      <x:c r="A785"/>
      <x:c r="B785"/>
      <x:c r="C785"/>
      <x:c r="D785"/>
      <x:c r="E785"/>
      <x:c r="F785"/>
      <x:c r="G785"/>
    </x:row>
    <x:row r="786">
      <x:c r="A786"/>
      <x:c r="B786"/>
      <x:c r="C786"/>
      <x:c r="D786"/>
      <x:c r="E786"/>
      <x:c r="F786"/>
      <x:c r="G786"/>
    </x:row>
    <x:row r="787">
      <x:c r="A787"/>
      <x:c r="B787"/>
      <x:c r="C787"/>
      <x:c r="D787"/>
      <x:c r="E787"/>
      <x:c r="F787"/>
      <x:c r="G787"/>
    </x:row>
    <x:row r="788">
      <x:c r="A788"/>
      <x:c r="B788"/>
      <x:c r="C788"/>
      <x:c r="D788"/>
      <x:c r="E788"/>
      <x:c r="F788"/>
      <x:c r="G788"/>
    </x:row>
    <x:row r="789">
      <x:c r="A789"/>
      <x:c r="B789"/>
      <x:c r="C789"/>
      <x:c r="D789"/>
      <x:c r="E789"/>
      <x:c r="F789"/>
      <x:c r="G789"/>
    </x:row>
    <x:row r="790">
      <x:c r="A790"/>
      <x:c r="B790"/>
      <x:c r="C790"/>
      <x:c r="D790"/>
      <x:c r="E790"/>
      <x:c r="F790"/>
      <x:c r="G790"/>
    </x:row>
    <x:row r="791">
      <x:c r="A791"/>
      <x:c r="B791"/>
      <x:c r="C791"/>
      <x:c r="D791"/>
      <x:c r="E791"/>
      <x:c r="F791"/>
      <x:c r="G791"/>
    </x:row>
    <x:row r="792">
      <x:c r="A792"/>
      <x:c r="B792"/>
      <x:c r="C792"/>
      <x:c r="D792"/>
      <x:c r="E792"/>
      <x:c r="F792"/>
      <x:c r="G792"/>
    </x:row>
    <x:row r="793">
      <x:c r="A793"/>
      <x:c r="B793"/>
      <x:c r="C793"/>
      <x:c r="D793"/>
      <x:c r="E793"/>
      <x:c r="F793"/>
      <x:c r="G793"/>
    </x:row>
    <x:row r="794">
      <x:c r="A794"/>
      <x:c r="B794"/>
      <x:c r="C794"/>
      <x:c r="D794"/>
      <x:c r="E794"/>
      <x:c r="F794"/>
      <x:c r="G794"/>
    </x:row>
    <x:row r="795">
      <x:c r="A795"/>
      <x:c r="B795"/>
      <x:c r="C795"/>
      <x:c r="D795"/>
      <x:c r="E795"/>
      <x:c r="F795"/>
      <x:c r="G795"/>
    </x:row>
    <x:row r="796">
      <x:c r="A796"/>
      <x:c r="B796"/>
      <x:c r="C796"/>
      <x:c r="D796"/>
      <x:c r="E796"/>
      <x:c r="F796"/>
      <x:c r="G796"/>
    </x:row>
    <x:row r="797">
      <x:c r="A797"/>
      <x:c r="B797"/>
      <x:c r="C797"/>
      <x:c r="D797"/>
      <x:c r="E797"/>
      <x:c r="F797"/>
      <x:c r="G797"/>
    </x:row>
    <x:row r="798">
      <x:c r="A798"/>
      <x:c r="B798"/>
      <x:c r="C798"/>
      <x:c r="D798"/>
      <x:c r="E798"/>
      <x:c r="F798"/>
      <x:c r="G798"/>
    </x:row>
    <x:row r="799">
      <x:c r="A799"/>
      <x:c r="B799"/>
      <x:c r="C799"/>
      <x:c r="D799"/>
      <x:c r="E799"/>
      <x:c r="F799"/>
      <x:c r="G799"/>
    </x:row>
    <x:row r="800">
      <x:c r="A800"/>
      <x:c r="B800"/>
      <x:c r="C800"/>
      <x:c r="D800"/>
      <x:c r="E800"/>
      <x:c r="F800"/>
      <x:c r="G800"/>
    </x:row>
    <x:row r="801">
      <x:c r="A801"/>
      <x:c r="B801"/>
      <x:c r="C801"/>
      <x:c r="D801"/>
      <x:c r="E801"/>
      <x:c r="F801"/>
      <x:c r="G801"/>
    </x:row>
    <x:row r="802">
      <x:c r="A802"/>
      <x:c r="B802"/>
      <x:c r="C802"/>
      <x:c r="D802"/>
      <x:c r="E802"/>
      <x:c r="F802"/>
      <x:c r="G802"/>
    </x:row>
    <x:row r="803">
      <x:c r="A803"/>
      <x:c r="B803"/>
      <x:c r="C803"/>
      <x:c r="D803"/>
      <x:c r="E803"/>
      <x:c r="F803"/>
      <x:c r="G803"/>
    </x:row>
    <x:row r="804">
      <x:c r="A804"/>
      <x:c r="B804"/>
      <x:c r="C804"/>
      <x:c r="D804"/>
      <x:c r="E804"/>
      <x:c r="F804"/>
      <x:c r="G804"/>
    </x:row>
    <x:row r="805">
      <x:c r="A805"/>
      <x:c r="B805"/>
      <x:c r="C805"/>
      <x:c r="D805"/>
      <x:c r="E805"/>
      <x:c r="F805"/>
      <x:c r="G805"/>
    </x:row>
    <x:row r="806">
      <x:c r="A806"/>
      <x:c r="B806"/>
      <x:c r="C806"/>
      <x:c r="D806"/>
      <x:c r="E806"/>
      <x:c r="F806"/>
      <x:c r="G806"/>
    </x:row>
    <x:row r="807">
      <x:c r="A807"/>
      <x:c r="B807"/>
      <x:c r="C807"/>
      <x:c r="D807"/>
      <x:c r="E807"/>
      <x:c r="F807"/>
      <x:c r="G807"/>
    </x:row>
    <x:row r="808">
      <x:c r="A808"/>
      <x:c r="B808"/>
      <x:c r="C808"/>
      <x:c r="D808"/>
      <x:c r="E808"/>
      <x:c r="F808"/>
      <x:c r="G808"/>
    </x:row>
    <x:row r="809">
      <x:c r="A809"/>
      <x:c r="B809"/>
      <x:c r="C809"/>
      <x:c r="D809"/>
      <x:c r="E809"/>
      <x:c r="F809"/>
      <x:c r="G809"/>
    </x:row>
    <x:row r="810">
      <x:c r="A810"/>
      <x:c r="B810"/>
      <x:c r="C810"/>
      <x:c r="D810"/>
      <x:c r="E810"/>
      <x:c r="F810"/>
      <x:c r="G810"/>
    </x:row>
    <x:row r="811">
      <x:c r="A811"/>
      <x:c r="B811"/>
      <x:c r="C811"/>
      <x:c r="D811"/>
      <x:c r="E811"/>
      <x:c r="F811"/>
      <x:c r="G811"/>
    </x:row>
    <x:row r="812">
      <x:c r="A812"/>
      <x:c r="B812"/>
      <x:c r="C812"/>
      <x:c r="D812"/>
      <x:c r="E812"/>
      <x:c r="F812"/>
      <x:c r="G812"/>
    </x:row>
    <x:row r="813">
      <x:c r="A813"/>
      <x:c r="B813"/>
      <x:c r="C813"/>
      <x:c r="D813"/>
      <x:c r="E813"/>
      <x:c r="F813"/>
      <x:c r="G813"/>
    </x:row>
    <x:row r="814">
      <x:c r="A814"/>
      <x:c r="B814"/>
      <x:c r="C814"/>
      <x:c r="D814"/>
      <x:c r="E814"/>
      <x:c r="F814"/>
      <x:c r="G814"/>
    </x:row>
    <x:row r="815">
      <x:c r="A815"/>
      <x:c r="B815"/>
      <x:c r="C815"/>
      <x:c r="D815"/>
      <x:c r="E815"/>
      <x:c r="F815"/>
      <x:c r="G815"/>
    </x:row>
    <x:row r="816">
      <x:c r="A816"/>
      <x:c r="B816"/>
      <x:c r="C816"/>
      <x:c r="D816"/>
      <x:c r="E816"/>
      <x:c r="F816"/>
      <x:c r="G816"/>
    </x:row>
    <x:row r="817">
      <x:c r="A817"/>
      <x:c r="B817"/>
      <x:c r="C817"/>
      <x:c r="D817"/>
      <x:c r="E817"/>
      <x:c r="F817"/>
      <x:c r="G817"/>
    </x:row>
    <x:row r="818">
      <x:c r="A818"/>
      <x:c r="B818"/>
      <x:c r="C818"/>
      <x:c r="D818"/>
      <x:c r="E818"/>
      <x:c r="F818"/>
      <x:c r="G818"/>
    </x:row>
    <x:row r="819">
      <x:c r="A819"/>
      <x:c r="B819"/>
      <x:c r="C819"/>
      <x:c r="D819"/>
      <x:c r="E819"/>
      <x:c r="F819"/>
      <x:c r="G819"/>
    </x:row>
    <x:row r="820">
      <x:c r="A820"/>
      <x:c r="B820"/>
      <x:c r="C820"/>
      <x:c r="D820"/>
      <x:c r="E820"/>
      <x:c r="F820"/>
      <x:c r="G820"/>
    </x:row>
    <x:row r="821">
      <x:c r="A821"/>
      <x:c r="B821"/>
      <x:c r="C821"/>
      <x:c r="D821"/>
      <x:c r="E821"/>
      <x:c r="F821"/>
      <x:c r="G821"/>
    </x:row>
    <x:row r="822">
      <x:c r="A822"/>
      <x:c r="B822"/>
      <x:c r="C822"/>
      <x:c r="D822"/>
      <x:c r="E822"/>
      <x:c r="F822"/>
      <x:c r="G822"/>
    </x:row>
    <x:row r="823">
      <x:c r="A823"/>
      <x:c r="B823"/>
      <x:c r="C823"/>
      <x:c r="D823"/>
      <x:c r="E823"/>
      <x:c r="F823"/>
      <x:c r="G823"/>
    </x:row>
    <x:row r="824">
      <x:c r="A824"/>
      <x:c r="B824"/>
      <x:c r="C824"/>
      <x:c r="D824"/>
      <x:c r="E824"/>
      <x:c r="F824"/>
      <x:c r="G824"/>
    </x:row>
    <x:row r="825">
      <x:c r="A825"/>
      <x:c r="B825"/>
      <x:c r="C825"/>
      <x:c r="D825"/>
      <x:c r="E825"/>
      <x:c r="F825"/>
      <x:c r="G825"/>
    </x:row>
    <x:row r="826">
      <x:c r="A826"/>
      <x:c r="B826"/>
      <x:c r="C826"/>
      <x:c r="D826"/>
      <x:c r="E826"/>
      <x:c r="F826"/>
      <x:c r="G826"/>
    </x:row>
    <x:row r="827">
      <x:c r="A827"/>
      <x:c r="B827"/>
      <x:c r="C827"/>
      <x:c r="D827"/>
      <x:c r="E827"/>
      <x:c r="F827"/>
      <x:c r="G827"/>
    </x:row>
    <x:row r="828">
      <x:c r="A828"/>
      <x:c r="B828"/>
      <x:c r="C828"/>
      <x:c r="D828"/>
      <x:c r="E828"/>
      <x:c r="F828"/>
      <x:c r="G828"/>
    </x:row>
    <x:row r="829">
      <x:c r="A829"/>
      <x:c r="B829"/>
      <x:c r="C829"/>
      <x:c r="D829"/>
      <x:c r="E829"/>
      <x:c r="F829"/>
      <x:c r="G829"/>
    </x:row>
    <x:row r="830">
      <x:c r="A830"/>
      <x:c r="B830"/>
      <x:c r="C830"/>
      <x:c r="D830"/>
      <x:c r="E830"/>
      <x:c r="F830"/>
      <x:c r="G830"/>
    </x:row>
    <x:row r="831">
      <x:c r="A831"/>
      <x:c r="B831"/>
      <x:c r="C831"/>
      <x:c r="D831"/>
      <x:c r="E831"/>
      <x:c r="F831"/>
      <x:c r="G831"/>
    </x:row>
    <x:row r="832">
      <x:c r="A832"/>
      <x:c r="B832"/>
      <x:c r="C832"/>
      <x:c r="D832"/>
      <x:c r="E832"/>
      <x:c r="F832"/>
      <x:c r="G832"/>
    </x:row>
    <x:row r="833">
      <x:c r="A833"/>
      <x:c r="B833"/>
      <x:c r="C833"/>
      <x:c r="D833"/>
      <x:c r="E833"/>
      <x:c r="F833"/>
      <x:c r="G833"/>
    </x:row>
    <x:row r="834">
      <x:c r="A834"/>
      <x:c r="B834"/>
      <x:c r="C834"/>
      <x:c r="D834"/>
      <x:c r="E834"/>
      <x:c r="F834"/>
      <x:c r="G834"/>
    </x:row>
    <x:row r="835">
      <x:c r="A835"/>
      <x:c r="B835"/>
      <x:c r="C835"/>
      <x:c r="D835"/>
      <x:c r="E835"/>
      <x:c r="F835"/>
      <x:c r="G835"/>
    </x:row>
    <x:row r="836">
      <x:c r="A836"/>
      <x:c r="B836"/>
      <x:c r="C836"/>
      <x:c r="D836"/>
      <x:c r="E836"/>
      <x:c r="F836"/>
      <x:c r="G836"/>
    </x:row>
    <x:row r="837">
      <x:c r="A837"/>
      <x:c r="B837"/>
      <x:c r="C837"/>
      <x:c r="D837"/>
      <x:c r="E837"/>
      <x:c r="F837"/>
      <x:c r="G837"/>
    </x:row>
    <x:row r="838">
      <x:c r="A838"/>
      <x:c r="B838"/>
      <x:c r="C838"/>
      <x:c r="D838"/>
      <x:c r="E838"/>
      <x:c r="F838"/>
      <x:c r="G838"/>
    </x:row>
    <x:row r="839">
      <x:c r="A839"/>
      <x:c r="B839"/>
      <x:c r="C839"/>
      <x:c r="D839"/>
      <x:c r="E839"/>
      <x:c r="F839"/>
      <x:c r="G839"/>
    </x:row>
    <x:row r="840">
      <x:c r="A840"/>
      <x:c r="B840"/>
      <x:c r="C840"/>
      <x:c r="D840"/>
      <x:c r="E840"/>
      <x:c r="F840"/>
      <x:c r="G840"/>
    </x:row>
    <x:row r="841">
      <x:c r="A841"/>
      <x:c r="B841"/>
      <x:c r="C841"/>
      <x:c r="D841"/>
      <x:c r="E841"/>
      <x:c r="F841"/>
      <x:c r="G841"/>
    </x:row>
    <x:row r="842">
      <x:c r="A842"/>
      <x:c r="B842"/>
      <x:c r="C842"/>
      <x:c r="D842"/>
      <x:c r="E842"/>
      <x:c r="F842"/>
      <x:c r="G842"/>
    </x:row>
    <x:row r="843">
      <x:c r="A843"/>
      <x:c r="B843"/>
      <x:c r="C843"/>
      <x:c r="D843"/>
      <x:c r="E843"/>
      <x:c r="F843"/>
      <x:c r="G843"/>
    </x:row>
    <x:row r="844">
      <x:c r="A844"/>
      <x:c r="B844"/>
      <x:c r="C844"/>
      <x:c r="D844"/>
      <x:c r="E844"/>
      <x:c r="F844"/>
      <x:c r="G844"/>
    </x:row>
    <x:row r="845">
      <x:c r="A845"/>
      <x:c r="B845"/>
      <x:c r="C845"/>
      <x:c r="D845"/>
      <x:c r="E845"/>
      <x:c r="F845"/>
      <x:c r="G845"/>
    </x:row>
    <x:row r="846">
      <x:c r="A846"/>
      <x:c r="B846"/>
      <x:c r="C846"/>
      <x:c r="D846"/>
      <x:c r="E846"/>
      <x:c r="F846"/>
      <x:c r="G846"/>
    </x:row>
    <x:row r="847">
      <x:c r="A847"/>
      <x:c r="B847"/>
      <x:c r="C847"/>
      <x:c r="D847"/>
      <x:c r="E847"/>
      <x:c r="F847"/>
      <x:c r="G847"/>
    </x:row>
    <x:row r="848">
      <x:c r="A848"/>
      <x:c r="B848"/>
      <x:c r="C848"/>
      <x:c r="D848"/>
      <x:c r="E848"/>
      <x:c r="F848"/>
      <x:c r="G848"/>
    </x:row>
    <x:row r="849">
      <x:c r="A849"/>
      <x:c r="B849"/>
      <x:c r="C849"/>
      <x:c r="D849"/>
      <x:c r="E849"/>
      <x:c r="F849"/>
      <x:c r="G849"/>
    </x:row>
    <x:row r="850">
      <x:c r="A850"/>
      <x:c r="B850"/>
      <x:c r="C850"/>
      <x:c r="D850"/>
      <x:c r="E850"/>
      <x:c r="F850"/>
      <x:c r="G850"/>
    </x:row>
    <x:row r="851">
      <x:c r="A851"/>
      <x:c r="B851"/>
      <x:c r="C851"/>
      <x:c r="D851"/>
      <x:c r="E851"/>
      <x:c r="F851"/>
      <x:c r="G851"/>
    </x:row>
    <x:row r="852">
      <x:c r="A852"/>
      <x:c r="B852"/>
      <x:c r="C852"/>
      <x:c r="D852"/>
      <x:c r="E852"/>
      <x:c r="F852"/>
      <x:c r="G852"/>
    </x:row>
    <x:row r="853">
      <x:c r="A853"/>
      <x:c r="B853"/>
      <x:c r="C853"/>
      <x:c r="D853"/>
      <x:c r="E853"/>
      <x:c r="F853"/>
      <x:c r="G853"/>
    </x:row>
    <x:row r="854">
      <x:c r="A854"/>
      <x:c r="B854"/>
      <x:c r="C854"/>
      <x:c r="D854"/>
      <x:c r="E854"/>
      <x:c r="F854"/>
      <x:c r="G854"/>
    </x:row>
    <x:row r="855">
      <x:c r="A855"/>
      <x:c r="B855"/>
      <x:c r="C855"/>
      <x:c r="D855"/>
      <x:c r="E855"/>
      <x:c r="F855"/>
      <x:c r="G855"/>
    </x:row>
    <x:row r="856">
      <x:c r="A856"/>
      <x:c r="B856"/>
      <x:c r="C856"/>
      <x:c r="D856"/>
      <x:c r="E856"/>
      <x:c r="F856"/>
      <x:c r="G856"/>
    </x:row>
    <x:row r="857">
      <x:c r="A857"/>
      <x:c r="B857"/>
      <x:c r="C857"/>
      <x:c r="D857"/>
      <x:c r="E857"/>
      <x:c r="F857"/>
      <x:c r="G857"/>
    </x:row>
    <x:row r="858">
      <x:c r="A858"/>
      <x:c r="B858"/>
      <x:c r="C858"/>
      <x:c r="D858"/>
      <x:c r="E858"/>
      <x:c r="F858"/>
      <x:c r="G858"/>
    </x:row>
    <x:row r="859">
      <x:c r="A859"/>
      <x:c r="B859"/>
      <x:c r="C859"/>
      <x:c r="D859"/>
      <x:c r="E859"/>
      <x:c r="F859"/>
      <x:c r="G859"/>
    </x:row>
    <x:row r="860">
      <x:c r="A860"/>
      <x:c r="B860"/>
      <x:c r="C860"/>
      <x:c r="D860"/>
      <x:c r="E860"/>
      <x:c r="F860"/>
      <x:c r="G860"/>
    </x:row>
    <x:row r="861">
      <x:c r="A861"/>
      <x:c r="B861"/>
      <x:c r="C861"/>
      <x:c r="D861"/>
      <x:c r="E861"/>
      <x:c r="F861"/>
      <x:c r="G861"/>
    </x:row>
    <x:row r="862">
      <x:c r="A862"/>
      <x:c r="B862"/>
      <x:c r="C862"/>
      <x:c r="D862"/>
      <x:c r="E862"/>
      <x:c r="F862"/>
      <x:c r="G862"/>
    </x:row>
    <x:row r="863">
      <x:c r="A863"/>
      <x:c r="B863"/>
      <x:c r="C863"/>
      <x:c r="D863"/>
      <x:c r="E863"/>
      <x:c r="F863"/>
      <x:c r="G863"/>
    </x:row>
    <x:row r="864">
      <x:c r="A864"/>
      <x:c r="B864"/>
      <x:c r="C864"/>
      <x:c r="D864"/>
      <x:c r="E864"/>
      <x:c r="F864"/>
      <x:c r="G864"/>
    </x:row>
    <x:row r="865">
      <x:c r="A865"/>
      <x:c r="B865"/>
      <x:c r="C865"/>
      <x:c r="D865"/>
      <x:c r="E865"/>
      <x:c r="F865"/>
      <x:c r="G865"/>
    </x:row>
    <x:row r="866">
      <x:c r="A866"/>
      <x:c r="B866"/>
      <x:c r="C866"/>
      <x:c r="D866"/>
      <x:c r="E866"/>
      <x:c r="F866"/>
      <x:c r="G866"/>
    </x:row>
    <x:row r="867">
      <x:c r="A867"/>
      <x:c r="B867"/>
      <x:c r="C867"/>
      <x:c r="D867"/>
      <x:c r="E867"/>
      <x:c r="F867"/>
      <x:c r="G867"/>
    </x:row>
    <x:row r="868">
      <x:c r="A868"/>
      <x:c r="B868"/>
      <x:c r="C868"/>
      <x:c r="D868"/>
      <x:c r="E868"/>
      <x:c r="F868"/>
      <x:c r="G868"/>
    </x:row>
    <x:row r="869">
      <x:c r="A869"/>
      <x:c r="B869"/>
      <x:c r="C869"/>
      <x:c r="D869"/>
      <x:c r="E869"/>
      <x:c r="F869"/>
      <x:c r="G869"/>
    </x:row>
    <x:row r="870">
      <x:c r="A870"/>
      <x:c r="B870"/>
      <x:c r="C870"/>
      <x:c r="D870"/>
      <x:c r="E870"/>
      <x:c r="F870"/>
      <x:c r="G870"/>
    </x:row>
    <x:row r="871">
      <x:c r="A871"/>
      <x:c r="B871"/>
      <x:c r="C871"/>
      <x:c r="D871"/>
      <x:c r="E871"/>
      <x:c r="F871"/>
      <x:c r="G871"/>
    </x:row>
    <x:row r="872">
      <x:c r="A872"/>
      <x:c r="B872"/>
      <x:c r="C872"/>
      <x:c r="D872"/>
      <x:c r="E872"/>
      <x:c r="F872"/>
      <x:c r="G872"/>
    </x:row>
    <x:row r="873">
      <x:c r="A873"/>
      <x:c r="B873"/>
      <x:c r="C873"/>
      <x:c r="D873"/>
      <x:c r="E873"/>
      <x:c r="F873"/>
      <x:c r="G873"/>
    </x:row>
    <x:row r="874">
      <x:c r="A874"/>
      <x:c r="B874"/>
      <x:c r="C874"/>
      <x:c r="D874"/>
      <x:c r="E874"/>
      <x:c r="F874"/>
      <x:c r="G874"/>
    </x:row>
    <x:row r="875">
      <x:c r="A875"/>
      <x:c r="B875"/>
      <x:c r="C875"/>
      <x:c r="D875"/>
      <x:c r="E875"/>
      <x:c r="F875"/>
      <x:c r="G875"/>
    </x:row>
    <x:row r="876">
      <x:c r="A876"/>
      <x:c r="B876"/>
      <x:c r="C876"/>
      <x:c r="D876"/>
      <x:c r="E876"/>
      <x:c r="F876"/>
      <x:c r="G876"/>
    </x:row>
    <x:row r="877">
      <x:c r="A877"/>
      <x:c r="B877"/>
      <x:c r="C877"/>
      <x:c r="D877"/>
      <x:c r="E877"/>
      <x:c r="F877"/>
      <x:c r="G877"/>
    </x:row>
    <x:row r="878">
      <x:c r="A878"/>
      <x:c r="B878"/>
      <x:c r="C878"/>
      <x:c r="D878"/>
      <x:c r="E878"/>
      <x:c r="F878"/>
      <x:c r="G878"/>
    </x:row>
    <x:row r="879">
      <x:c r="A879"/>
      <x:c r="B879"/>
      <x:c r="C879"/>
      <x:c r="D879"/>
      <x:c r="E879"/>
      <x:c r="F879"/>
      <x:c r="G879"/>
    </x:row>
    <x:row r="880">
      <x:c r="A880"/>
      <x:c r="B880"/>
      <x:c r="C880"/>
      <x:c r="D880"/>
      <x:c r="E880"/>
      <x:c r="F880"/>
      <x:c r="G880"/>
    </x:row>
    <x:row r="881">
      <x:c r="A881"/>
      <x:c r="B881"/>
      <x:c r="C881"/>
      <x:c r="D881"/>
      <x:c r="E881"/>
      <x:c r="F881"/>
      <x:c r="G881"/>
    </x:row>
    <x:row r="882">
      <x:c r="A882"/>
      <x:c r="B882"/>
      <x:c r="C882"/>
      <x:c r="D882"/>
      <x:c r="E882"/>
      <x:c r="F882"/>
      <x:c r="G882"/>
    </x:row>
    <x:row r="883">
      <x:c r="A883"/>
      <x:c r="B883"/>
      <x:c r="C883"/>
      <x:c r="D883"/>
      <x:c r="E883"/>
      <x:c r="F883"/>
      <x:c r="G883"/>
    </x:row>
    <x:row r="884">
      <x:c r="A884"/>
      <x:c r="B884"/>
      <x:c r="C884"/>
      <x:c r="D884"/>
      <x:c r="E884"/>
      <x:c r="F884"/>
      <x:c r="G884"/>
    </x:row>
    <x:row r="885">
      <x:c r="A885"/>
      <x:c r="B885"/>
      <x:c r="C885"/>
      <x:c r="D885"/>
      <x:c r="E885"/>
      <x:c r="F885"/>
      <x:c r="G885"/>
    </x:row>
    <x:row r="886">
      <x:c r="A886"/>
      <x:c r="B886"/>
      <x:c r="C886"/>
      <x:c r="D886"/>
      <x:c r="E886"/>
      <x:c r="F886"/>
      <x:c r="G886"/>
    </x:row>
    <x:row r="887">
      <x:c r="A887"/>
      <x:c r="B887"/>
      <x:c r="C887"/>
      <x:c r="D887"/>
      <x:c r="E887"/>
      <x:c r="F887"/>
      <x:c r="G887"/>
    </x:row>
    <x:row r="888">
      <x:c r="A888"/>
      <x:c r="B888"/>
      <x:c r="C888"/>
      <x:c r="D888"/>
      <x:c r="E888"/>
      <x:c r="F888"/>
      <x:c r="G888"/>
    </x:row>
    <x:row r="889">
      <x:c r="A889"/>
      <x:c r="B889"/>
      <x:c r="C889"/>
      <x:c r="D889"/>
      <x:c r="E889"/>
      <x:c r="F889"/>
      <x:c r="G889"/>
    </x:row>
    <x:row r="890">
      <x:c r="A890"/>
      <x:c r="B890"/>
      <x:c r="C890"/>
      <x:c r="D890"/>
      <x:c r="E890"/>
      <x:c r="F890"/>
      <x:c r="G890"/>
    </x:row>
    <x:row r="891">
      <x:c r="A891"/>
      <x:c r="B891"/>
      <x:c r="C891"/>
      <x:c r="D891"/>
      <x:c r="E891"/>
      <x:c r="F891"/>
      <x:c r="G891"/>
    </x:row>
    <x:row r="892">
      <x:c r="A892"/>
      <x:c r="B892"/>
      <x:c r="C892"/>
      <x:c r="D892"/>
      <x:c r="E892"/>
      <x:c r="F892"/>
      <x:c r="G892"/>
    </x:row>
    <x:row r="893">
      <x:c r="A893"/>
      <x:c r="B893"/>
      <x:c r="C893"/>
      <x:c r="D893"/>
      <x:c r="E893"/>
      <x:c r="F893"/>
      <x:c r="G893"/>
    </x:row>
    <x:row r="894">
      <x:c r="A894"/>
      <x:c r="B894"/>
      <x:c r="C894"/>
      <x:c r="D894"/>
      <x:c r="E894"/>
      <x:c r="F894"/>
      <x:c r="G894"/>
    </x:row>
    <x:row r="895">
      <x:c r="A895"/>
      <x:c r="B895"/>
      <x:c r="C895"/>
      <x:c r="D895"/>
      <x:c r="E895"/>
      <x:c r="F895"/>
      <x:c r="G895"/>
    </x:row>
    <x:row r="896">
      <x:c r="A896"/>
      <x:c r="B896"/>
      <x:c r="C896"/>
      <x:c r="D896"/>
      <x:c r="E896"/>
      <x:c r="F896"/>
      <x:c r="G896"/>
    </x:row>
    <x:row r="897">
      <x:c r="A897"/>
      <x:c r="B897"/>
      <x:c r="C897"/>
      <x:c r="D897"/>
      <x:c r="E897"/>
      <x:c r="F897"/>
      <x:c r="G897"/>
    </x:row>
    <x:row r="898">
      <x:c r="A898"/>
      <x:c r="B898"/>
      <x:c r="C898"/>
      <x:c r="D898"/>
      <x:c r="E898"/>
      <x:c r="F898"/>
      <x:c r="G898"/>
    </x:row>
    <x:row r="899">
      <x:c r="A899"/>
      <x:c r="B899"/>
      <x:c r="C899"/>
      <x:c r="D899"/>
      <x:c r="E899"/>
      <x:c r="F899"/>
      <x:c r="G899"/>
    </x:row>
    <x:row r="900">
      <x:c r="A900"/>
      <x:c r="B900"/>
      <x:c r="C900"/>
      <x:c r="D900"/>
      <x:c r="E900"/>
      <x:c r="F900"/>
      <x:c r="G900"/>
    </x:row>
    <x:row r="901">
      <x:c r="A901"/>
      <x:c r="B901"/>
      <x:c r="C901"/>
      <x:c r="D901"/>
      <x:c r="E901"/>
      <x:c r="F901"/>
      <x:c r="G901"/>
    </x:row>
    <x:row r="902">
      <x:c r="A902"/>
      <x:c r="B902"/>
      <x:c r="C902"/>
      <x:c r="D902"/>
      <x:c r="E902"/>
      <x:c r="F902"/>
      <x:c r="G902"/>
    </x:row>
    <x:row r="903">
      <x:c r="A903"/>
      <x:c r="B903"/>
      <x:c r="C903"/>
      <x:c r="D903"/>
      <x:c r="E903"/>
      <x:c r="F903"/>
      <x:c r="G903"/>
    </x:row>
    <x:row r="904">
      <x:c r="A904"/>
      <x:c r="B904"/>
      <x:c r="C904"/>
      <x:c r="D904"/>
      <x:c r="E904"/>
      <x:c r="F904"/>
      <x:c r="G904"/>
    </x:row>
    <x:row r="905">
      <x:c r="A905"/>
      <x:c r="B905"/>
      <x:c r="C905"/>
      <x:c r="D905"/>
      <x:c r="E905"/>
      <x:c r="F905"/>
      <x:c r="G905"/>
    </x:row>
    <x:row r="906">
      <x:c r="A906"/>
      <x:c r="B906"/>
      <x:c r="C906"/>
      <x:c r="D906"/>
      <x:c r="E906"/>
      <x:c r="F906"/>
      <x:c r="G906"/>
    </x:row>
    <x:row r="907">
      <x:c r="A907"/>
      <x:c r="B907"/>
      <x:c r="C907"/>
      <x:c r="D907"/>
      <x:c r="E907"/>
      <x:c r="F907"/>
      <x:c r="G907"/>
    </x:row>
    <x:row r="908">
      <x:c r="A908"/>
      <x:c r="B908"/>
      <x:c r="C908"/>
      <x:c r="D908"/>
      <x:c r="E908"/>
      <x:c r="F908"/>
      <x:c r="G908"/>
    </x:row>
    <x:row r="909">
      <x:c r="A909"/>
      <x:c r="B909"/>
      <x:c r="C909"/>
      <x:c r="D909"/>
      <x:c r="E909"/>
      <x:c r="F909"/>
      <x:c r="G909"/>
    </x:row>
    <x:row r="910">
      <x:c r="A910"/>
      <x:c r="B910"/>
      <x:c r="C910"/>
      <x:c r="D910"/>
      <x:c r="E910"/>
      <x:c r="F910"/>
      <x:c r="G910"/>
    </x:row>
    <x:row r="911">
      <x:c r="A911"/>
      <x:c r="B911"/>
      <x:c r="C911"/>
      <x:c r="D911"/>
      <x:c r="E911"/>
      <x:c r="F911"/>
      <x:c r="G911"/>
    </x:row>
    <x:row r="912">
      <x:c r="A912"/>
      <x:c r="B912"/>
      <x:c r="C912"/>
      <x:c r="D912"/>
      <x:c r="E912"/>
      <x:c r="F912"/>
      <x:c r="G912"/>
    </x:row>
    <x:row r="913">
      <x:c r="A913"/>
      <x:c r="B913"/>
      <x:c r="C913"/>
      <x:c r="D913"/>
      <x:c r="E913"/>
      <x:c r="F913"/>
      <x:c r="G913"/>
    </x:row>
    <x:row r="914">
      <x:c r="A914"/>
      <x:c r="B914"/>
      <x:c r="C914"/>
      <x:c r="D914"/>
      <x:c r="E914"/>
      <x:c r="F914"/>
      <x:c r="G914"/>
    </x:row>
    <x:row r="915">
      <x:c r="A915"/>
      <x:c r="B915"/>
      <x:c r="C915"/>
      <x:c r="D915"/>
      <x:c r="E915"/>
      <x:c r="F915"/>
      <x:c r="G915"/>
    </x:row>
    <x:row r="916">
      <x:c r="A916"/>
      <x:c r="B916"/>
      <x:c r="C916"/>
      <x:c r="D916"/>
      <x:c r="E916"/>
      <x:c r="F916"/>
      <x:c r="G916"/>
    </x:row>
    <x:row r="917">
      <x:c r="A917"/>
      <x:c r="B917"/>
      <x:c r="C917"/>
      <x:c r="D917"/>
      <x:c r="E917"/>
      <x:c r="F917"/>
      <x:c r="G917"/>
    </x:row>
    <x:row r="918">
      <x:c r="A918"/>
      <x:c r="B918"/>
      <x:c r="C918"/>
      <x:c r="D918"/>
      <x:c r="E918"/>
      <x:c r="F918"/>
      <x:c r="G918"/>
    </x:row>
    <x:row r="919">
      <x:c r="A919"/>
      <x:c r="B919"/>
      <x:c r="C919"/>
      <x:c r="D919"/>
      <x:c r="E919"/>
      <x:c r="F919"/>
      <x:c r="G919"/>
    </x:row>
    <x:row r="920">
      <x:c r="A920"/>
      <x:c r="B920"/>
      <x:c r="C920"/>
      <x:c r="D920"/>
      <x:c r="E920"/>
      <x:c r="F920"/>
      <x:c r="G920"/>
    </x:row>
    <x:row r="921">
      <x:c r="A921"/>
      <x:c r="B921"/>
      <x:c r="C921"/>
      <x:c r="D921"/>
      <x:c r="E921"/>
      <x:c r="F921"/>
      <x:c r="G921"/>
    </x:row>
    <x:row r="922">
      <x:c r="A922"/>
      <x:c r="B922"/>
      <x:c r="C922"/>
      <x:c r="D922"/>
      <x:c r="E922"/>
      <x:c r="F922"/>
      <x:c r="G922"/>
    </x:row>
    <x:row r="923">
      <x:c r="A923"/>
      <x:c r="B923"/>
      <x:c r="C923"/>
      <x:c r="D923"/>
      <x:c r="E923"/>
      <x:c r="F923"/>
      <x:c r="G923"/>
    </x:row>
    <x:row r="924">
      <x:c r="A924"/>
      <x:c r="B924"/>
      <x:c r="C924"/>
      <x:c r="D924"/>
      <x:c r="E924"/>
      <x:c r="F924"/>
      <x:c r="G924"/>
    </x:row>
    <x:row r="925">
      <x:c r="A925"/>
      <x:c r="B925"/>
      <x:c r="C925"/>
      <x:c r="D925"/>
      <x:c r="E925"/>
      <x:c r="F925"/>
      <x:c r="G925"/>
    </x:row>
    <x:row r="926">
      <x:c r="A926"/>
      <x:c r="B926"/>
      <x:c r="C926"/>
      <x:c r="D926"/>
      <x:c r="E926"/>
      <x:c r="F926"/>
      <x:c r="G926"/>
    </x:row>
    <x:row r="927">
      <x:c r="A927"/>
      <x:c r="B927"/>
      <x:c r="C927"/>
      <x:c r="D927"/>
      <x:c r="E927"/>
      <x:c r="F927"/>
      <x:c r="G927"/>
    </x:row>
    <x:row r="928">
      <x:c r="A928"/>
      <x:c r="B928"/>
      <x:c r="C928"/>
      <x:c r="D928"/>
      <x:c r="E928"/>
      <x:c r="F928"/>
      <x:c r="G928"/>
    </x:row>
    <x:row r="929">
      <x:c r="A929"/>
      <x:c r="B929"/>
      <x:c r="C929"/>
      <x:c r="D929"/>
      <x:c r="E929"/>
      <x:c r="F929"/>
      <x:c r="G929"/>
    </x:row>
    <x:row r="930">
      <x:c r="A930"/>
      <x:c r="B930"/>
      <x:c r="C930"/>
      <x:c r="D930"/>
      <x:c r="E930"/>
      <x:c r="F930"/>
      <x:c r="G930"/>
    </x:row>
    <x:row r="931">
      <x:c r="A931"/>
      <x:c r="B931"/>
      <x:c r="C931"/>
      <x:c r="D931"/>
      <x:c r="E931"/>
      <x:c r="F931"/>
      <x:c r="G931"/>
    </x:row>
    <x:row r="932">
      <x:c r="A932"/>
      <x:c r="B932"/>
      <x:c r="C932"/>
      <x:c r="D932"/>
      <x:c r="E932"/>
      <x:c r="F932"/>
      <x:c r="G932"/>
    </x:row>
    <x:row r="933">
      <x:c r="A933"/>
      <x:c r="B933"/>
      <x:c r="C933"/>
      <x:c r="D933"/>
      <x:c r="E933"/>
      <x:c r="F933"/>
      <x:c r="G933"/>
    </x:row>
    <x:row r="934">
      <x:c r="A934"/>
      <x:c r="B934"/>
      <x:c r="C934"/>
      <x:c r="D934"/>
      <x:c r="E934"/>
      <x:c r="F934"/>
      <x:c r="G934"/>
    </x:row>
    <x:row r="935">
      <x:c r="A935"/>
      <x:c r="B935"/>
      <x:c r="C935"/>
      <x:c r="D935"/>
      <x:c r="E935"/>
      <x:c r="F935"/>
      <x:c r="G935"/>
    </x:row>
    <x:row r="936">
      <x:c r="A936"/>
      <x:c r="B936"/>
      <x:c r="C936"/>
      <x:c r="D936"/>
      <x:c r="E936"/>
      <x:c r="F936"/>
      <x:c r="G936"/>
    </x:row>
    <x:row r="937">
      <x:c r="A937"/>
      <x:c r="B937"/>
      <x:c r="C937"/>
      <x:c r="D937"/>
      <x:c r="E937"/>
      <x:c r="F937"/>
      <x:c r="G937"/>
    </x:row>
    <x:row r="938">
      <x:c r="A938"/>
      <x:c r="B938"/>
      <x:c r="C938"/>
      <x:c r="D938"/>
      <x:c r="E938"/>
      <x:c r="F938"/>
      <x:c r="G938"/>
    </x:row>
    <x:row r="939">
      <x:c r="A939"/>
      <x:c r="B939"/>
      <x:c r="C939"/>
      <x:c r="D939"/>
      <x:c r="E939"/>
      <x:c r="F939"/>
      <x:c r="G939"/>
    </x:row>
    <x:row r="940">
      <x:c r="A940"/>
      <x:c r="B940"/>
      <x:c r="C940"/>
      <x:c r="D940"/>
      <x:c r="E940"/>
      <x:c r="F940"/>
      <x:c r="G940"/>
    </x:row>
    <x:row r="941">
      <x:c r="A941"/>
      <x:c r="B941"/>
      <x:c r="C941"/>
      <x:c r="D941"/>
      <x:c r="E941"/>
      <x:c r="F941"/>
      <x:c r="G941"/>
    </x:row>
    <x:row r="942">
      <x:c r="A942"/>
      <x:c r="B942"/>
      <x:c r="C942"/>
      <x:c r="D942"/>
      <x:c r="E942"/>
      <x:c r="F942"/>
      <x:c r="G942"/>
    </x:row>
    <x:row r="943">
      <x:c r="A943"/>
      <x:c r="B943"/>
      <x:c r="C943"/>
      <x:c r="D943"/>
      <x:c r="E943"/>
      <x:c r="F943"/>
      <x:c r="G943"/>
    </x:row>
    <x:row r="944">
      <x:c r="A944"/>
      <x:c r="B944"/>
      <x:c r="C944"/>
      <x:c r="D944"/>
      <x:c r="E944"/>
      <x:c r="F944"/>
      <x:c r="G944"/>
    </x:row>
    <x:row r="945">
      <x:c r="A945"/>
      <x:c r="B945"/>
      <x:c r="C945"/>
      <x:c r="D945"/>
      <x:c r="E945"/>
      <x:c r="F945"/>
      <x:c r="G945"/>
    </x:row>
    <x:row r="946">
      <x:c r="A946"/>
      <x:c r="B946"/>
      <x:c r="C946"/>
      <x:c r="D946"/>
      <x:c r="E946"/>
      <x:c r="F946"/>
      <x:c r="G946"/>
    </x:row>
    <x:row r="947">
      <x:c r="A947"/>
      <x:c r="B947"/>
      <x:c r="C947"/>
      <x:c r="D947"/>
      <x:c r="E947"/>
      <x:c r="F947"/>
      <x:c r="G947"/>
    </x:row>
    <x:row r="948">
      <x:c r="A948"/>
      <x:c r="B948"/>
      <x:c r="C948"/>
      <x:c r="D948"/>
      <x:c r="E948"/>
      <x:c r="F948"/>
      <x:c r="G948"/>
    </x:row>
    <x:row r="949">
      <x:c r="A949"/>
      <x:c r="B949"/>
      <x:c r="C949"/>
      <x:c r="D949"/>
      <x:c r="E949"/>
      <x:c r="F949"/>
      <x:c r="G949"/>
    </x:row>
    <x:row r="950">
      <x:c r="A950"/>
      <x:c r="B950"/>
      <x:c r="C950"/>
      <x:c r="D950"/>
      <x:c r="E950"/>
      <x:c r="F950"/>
      <x:c r="G950"/>
    </x:row>
    <x:row r="951">
      <x:c r="A951"/>
      <x:c r="B951"/>
      <x:c r="C951"/>
      <x:c r="D951"/>
      <x:c r="E951"/>
      <x:c r="F951"/>
      <x:c r="G951"/>
    </x:row>
    <x:row r="952">
      <x:c r="A952"/>
      <x:c r="B952"/>
      <x:c r="C952"/>
      <x:c r="D952"/>
      <x:c r="E952"/>
      <x:c r="F952"/>
      <x:c r="G952"/>
    </x:row>
    <x:row r="953">
      <x:c r="A953"/>
      <x:c r="B953"/>
      <x:c r="C953"/>
      <x:c r="D953"/>
      <x:c r="E953"/>
      <x:c r="F953"/>
      <x:c r="G953"/>
    </x:row>
    <x:row r="954">
      <x:c r="A954"/>
      <x:c r="B954"/>
      <x:c r="C954"/>
      <x:c r="D954"/>
      <x:c r="E954"/>
      <x:c r="F954"/>
      <x:c r="G954"/>
    </x:row>
    <x:row r="955">
      <x:c r="A955"/>
      <x:c r="B955"/>
      <x:c r="C955"/>
      <x:c r="D955"/>
      <x:c r="E955"/>
      <x:c r="F955"/>
      <x:c r="G955"/>
    </x:row>
    <x:row r="956">
      <x:c r="A956"/>
      <x:c r="B956"/>
      <x:c r="C956"/>
      <x:c r="D956"/>
      <x:c r="E956"/>
      <x:c r="F956"/>
      <x:c r="G956"/>
    </x:row>
    <x:row r="957">
      <x:c r="A957"/>
      <x:c r="B957"/>
      <x:c r="C957"/>
      <x:c r="D957"/>
      <x:c r="E957"/>
      <x:c r="F957"/>
      <x:c r="G957"/>
    </x:row>
    <x:row r="958">
      <x:c r="A958"/>
      <x:c r="B958"/>
      <x:c r="C958"/>
      <x:c r="D958"/>
      <x:c r="E958"/>
      <x:c r="F958"/>
      <x:c r="G958"/>
    </x:row>
    <x:row r="959">
      <x:c r="A959"/>
      <x:c r="B959"/>
      <x:c r="C959"/>
      <x:c r="D959"/>
      <x:c r="E959"/>
      <x:c r="F959"/>
      <x:c r="G959"/>
    </x:row>
    <x:row r="960">
      <x:c r="A960"/>
      <x:c r="B960"/>
      <x:c r="C960"/>
      <x:c r="D960"/>
      <x:c r="E960"/>
      <x:c r="F960"/>
      <x:c r="G960"/>
    </x:row>
    <x:row r="961">
      <x:c r="A961"/>
      <x:c r="B961"/>
      <x:c r="C961"/>
      <x:c r="D961"/>
      <x:c r="E961"/>
      <x:c r="F961"/>
      <x:c r="G961"/>
    </x:row>
    <x:row r="962">
      <x:c r="A962"/>
      <x:c r="B962"/>
      <x:c r="C962"/>
      <x:c r="D962"/>
      <x:c r="E962"/>
      <x:c r="F962"/>
      <x:c r="G962"/>
    </x:row>
    <x:row r="963">
      <x:c r="A963"/>
      <x:c r="B963"/>
      <x:c r="C963"/>
      <x:c r="D963"/>
      <x:c r="E963"/>
      <x:c r="F963"/>
      <x:c r="G963"/>
    </x:row>
    <x:row r="964">
      <x:c r="A964"/>
      <x:c r="B964"/>
      <x:c r="C964"/>
      <x:c r="D964"/>
      <x:c r="E964"/>
      <x:c r="F964"/>
      <x:c r="G964"/>
    </x:row>
    <x:row r="965">
      <x:c r="A965"/>
      <x:c r="B965"/>
      <x:c r="C965"/>
      <x:c r="D965"/>
      <x:c r="E965"/>
      <x:c r="F965"/>
      <x:c r="G965"/>
    </x:row>
    <x:row r="966">
      <x:c r="A966"/>
      <x:c r="B966"/>
      <x:c r="C966"/>
      <x:c r="D966"/>
      <x:c r="E966"/>
      <x:c r="F966"/>
      <x:c r="G966"/>
    </x:row>
    <x:row r="967">
      <x:c r="A967"/>
      <x:c r="B967"/>
      <x:c r="C967"/>
      <x:c r="D967"/>
      <x:c r="E967"/>
      <x:c r="F967"/>
      <x:c r="G967"/>
    </x:row>
    <x:row r="968">
      <x:c r="A968"/>
      <x:c r="B968"/>
      <x:c r="C968"/>
      <x:c r="D968"/>
      <x:c r="E968"/>
      <x:c r="F968"/>
      <x:c r="G968"/>
    </x:row>
    <x:row r="969">
      <x:c r="A969"/>
      <x:c r="B969"/>
      <x:c r="C969"/>
      <x:c r="D969"/>
      <x:c r="E969"/>
      <x:c r="F969"/>
      <x:c r="G969"/>
    </x:row>
    <x:row r="970">
      <x:c r="A970"/>
      <x:c r="B970"/>
      <x:c r="C970"/>
      <x:c r="D970"/>
      <x:c r="E970"/>
      <x:c r="F970"/>
      <x:c r="G970"/>
    </x:row>
    <x:row r="971">
      <x:c r="A971"/>
      <x:c r="B971"/>
      <x:c r="C971"/>
      <x:c r="D971"/>
      <x:c r="E971"/>
      <x:c r="F971"/>
      <x:c r="G971"/>
    </x:row>
    <x:row r="972">
      <x:c r="A972"/>
      <x:c r="B972"/>
      <x:c r="C972"/>
      <x:c r="D972"/>
      <x:c r="E972"/>
      <x:c r="F972"/>
      <x:c r="G972"/>
    </x:row>
    <x:row r="973">
      <x:c r="A973"/>
      <x:c r="B973"/>
      <x:c r="C973"/>
      <x:c r="D973"/>
      <x:c r="E973"/>
      <x:c r="F973"/>
      <x:c r="G973"/>
    </x:row>
    <x:row r="974">
      <x:c r="A974"/>
      <x:c r="B974"/>
      <x:c r="C974"/>
      <x:c r="D974"/>
      <x:c r="E974"/>
      <x:c r="F974"/>
      <x:c r="G974"/>
    </x:row>
    <x:row r="975">
      <x:c r="A975"/>
      <x:c r="B975"/>
      <x:c r="C975"/>
      <x:c r="D975"/>
      <x:c r="E975"/>
      <x:c r="F975"/>
      <x:c r="G975"/>
    </x:row>
    <x:row r="976">
      <x:c r="A976"/>
      <x:c r="B976"/>
      <x:c r="C976"/>
      <x:c r="D976"/>
      <x:c r="E976"/>
      <x:c r="F976"/>
      <x:c r="G976"/>
    </x:row>
    <x:row r="977">
      <x:c r="A977"/>
      <x:c r="B977"/>
      <x:c r="C977"/>
      <x:c r="D977"/>
      <x:c r="E977"/>
      <x:c r="F977"/>
      <x:c r="G977"/>
    </x:row>
    <x:row r="978">
      <x:c r="A978"/>
      <x:c r="B978"/>
      <x:c r="C978"/>
      <x:c r="D978"/>
      <x:c r="E978"/>
      <x:c r="F978"/>
      <x:c r="G978"/>
    </x:row>
    <x:row r="979">
      <x:c r="A979"/>
      <x:c r="B979"/>
      <x:c r="C979"/>
      <x:c r="D979"/>
      <x:c r="E979"/>
      <x:c r="F979"/>
      <x:c r="G979"/>
    </x:row>
    <x:row r="980">
      <x:c r="A980"/>
      <x:c r="B980"/>
      <x:c r="C980"/>
      <x:c r="D980"/>
      <x:c r="E980"/>
      <x:c r="F980"/>
      <x:c r="G980"/>
    </x:row>
    <x:row r="981">
      <x:c r="A981"/>
      <x:c r="B981"/>
      <x:c r="C981"/>
      <x:c r="D981"/>
      <x:c r="E981"/>
      <x:c r="F981"/>
      <x:c r="G981"/>
    </x:row>
    <x:row r="982">
      <x:c r="A982"/>
      <x:c r="B982"/>
      <x:c r="C982"/>
      <x:c r="D982"/>
      <x:c r="E982"/>
      <x:c r="F982"/>
      <x:c r="G982"/>
    </x:row>
    <x:row r="983">
      <x:c r="A983"/>
      <x:c r="B983"/>
      <x:c r="C983"/>
      <x:c r="D983"/>
      <x:c r="E983"/>
      <x:c r="F983"/>
      <x:c r="G983"/>
    </x:row>
    <x:row r="984">
      <x:c r="A984"/>
      <x:c r="B984"/>
      <x:c r="C984"/>
      <x:c r="D984"/>
      <x:c r="E984"/>
      <x:c r="F984"/>
      <x:c r="G984"/>
    </x:row>
    <x:row r="985">
      <x:c r="A985"/>
      <x:c r="B985"/>
      <x:c r="C985"/>
      <x:c r="D985"/>
      <x:c r="E985"/>
      <x:c r="F985"/>
      <x:c r="G985"/>
    </x:row>
    <x:row r="986">
      <x:c r="A986"/>
      <x:c r="B986"/>
      <x:c r="C986"/>
      <x:c r="D986"/>
      <x:c r="E986"/>
      <x:c r="F986"/>
      <x:c r="G986"/>
    </x:row>
    <x:row r="987">
      <x:c r="A987"/>
      <x:c r="B987"/>
      <x:c r="C987"/>
      <x:c r="D987"/>
      <x:c r="E987"/>
      <x:c r="F987"/>
      <x:c r="G987"/>
    </x:row>
    <x:row r="988">
      <x:c r="A988"/>
      <x:c r="B988"/>
      <x:c r="C988"/>
      <x:c r="D988"/>
      <x:c r="E988"/>
      <x:c r="F988"/>
      <x:c r="G988"/>
    </x:row>
    <x:row r="989">
      <x:c r="A989"/>
      <x:c r="B989"/>
      <x:c r="C989"/>
      <x:c r="D989"/>
      <x:c r="E989"/>
      <x:c r="F989"/>
      <x:c r="G989"/>
    </x:row>
    <x:row r="990">
      <x:c r="A990"/>
      <x:c r="B990"/>
      <x:c r="C990"/>
      <x:c r="D990"/>
      <x:c r="E990"/>
      <x:c r="F990"/>
      <x:c r="G990"/>
    </x:row>
    <x:row r="991">
      <x:c r="A991"/>
      <x:c r="B991"/>
      <x:c r="C991"/>
      <x:c r="D991"/>
      <x:c r="E991"/>
      <x:c r="F991"/>
      <x:c r="G991"/>
    </x:row>
    <x:row r="992">
      <x:c r="A992"/>
      <x:c r="B992"/>
      <x:c r="C992"/>
      <x:c r="D992"/>
      <x:c r="E992"/>
      <x:c r="F992"/>
      <x:c r="G992"/>
    </x:row>
    <x:row r="993">
      <x:c r="A993"/>
      <x:c r="B993"/>
      <x:c r="C993"/>
      <x:c r="D993"/>
      <x:c r="E993"/>
      <x:c r="F993"/>
      <x:c r="G993"/>
    </x:row>
    <x:row r="994">
      <x:c r="A994"/>
      <x:c r="B994"/>
      <x:c r="C994"/>
      <x:c r="D994"/>
      <x:c r="E994"/>
      <x:c r="F994"/>
      <x:c r="G994"/>
    </x:row>
    <x:row r="995">
      <x:c r="A995"/>
      <x:c r="B995"/>
      <x:c r="C995"/>
      <x:c r="D995"/>
      <x:c r="E995"/>
      <x:c r="F995"/>
      <x:c r="G995"/>
    </x:row>
    <x:row r="996">
      <x:c r="A996"/>
      <x:c r="B996"/>
      <x:c r="C996"/>
      <x:c r="D996"/>
      <x:c r="E996"/>
      <x:c r="F996"/>
      <x:c r="G996"/>
    </x:row>
    <x:row r="997">
      <x:c r="A997"/>
      <x:c r="B997"/>
      <x:c r="C997"/>
      <x:c r="D997"/>
      <x:c r="E997"/>
      <x:c r="F997"/>
      <x:c r="G997"/>
    </x:row>
    <x:row r="998">
      <x:c r="A998"/>
      <x:c r="B998"/>
      <x:c r="C998"/>
      <x:c r="D998"/>
      <x:c r="E998"/>
      <x:c r="F998"/>
      <x:c r="G998"/>
    </x:row>
    <x:row r="999">
      <x:c r="A999"/>
      <x:c r="B999"/>
      <x:c r="C999"/>
      <x:c r="D999"/>
      <x:c r="E999"/>
      <x:c r="F999"/>
      <x:c r="G999"/>
    </x:row>
    <x:row r="1000">
      <x:c r="A1000"/>
      <x:c r="B1000"/>
      <x:c r="C1000"/>
      <x:c r="D1000"/>
      <x:c r="E1000"/>
      <x:c r="F1000"/>
      <x:c r="G1000"/>
    </x:row>
    <x:row r="1001">
      <x:c r="A1001"/>
      <x:c r="B1001"/>
      <x:c r="C1001"/>
      <x:c r="D1001"/>
      <x:c r="E1001"/>
      <x:c r="F1001"/>
      <x:c r="G1001"/>
    </x:row>
    <x:row r="1002">
      <x:c r="A1002"/>
      <x:c r="B1002"/>
      <x:c r="C1002"/>
      <x:c r="D1002"/>
      <x:c r="E1002"/>
      <x:c r="F1002"/>
      <x:c r="G1002"/>
    </x:row>
    <x:row r="1003">
      <x:c r="A1003"/>
      <x:c r="B1003"/>
      <x:c r="C1003"/>
      <x:c r="D1003"/>
      <x:c r="E1003"/>
      <x:c r="F1003"/>
      <x:c r="G1003"/>
    </x:row>
    <x:row r="1004">
      <x:c r="A1004"/>
      <x:c r="B1004"/>
      <x:c r="C1004"/>
      <x:c r="D1004"/>
      <x:c r="E1004"/>
      <x:c r="F1004"/>
      <x:c r="G1004"/>
    </x:row>
    <x:row r="1005">
      <x:c r="A1005"/>
      <x:c r="B1005"/>
      <x:c r="C1005"/>
      <x:c r="D1005"/>
      <x:c r="E1005"/>
      <x:c r="F1005"/>
      <x:c r="G1005"/>
    </x:row>
    <x:row r="1006">
      <x:c r="A1006"/>
      <x:c r="B1006"/>
      <x:c r="C1006"/>
      <x:c r="D1006"/>
      <x:c r="E1006"/>
      <x:c r="F1006"/>
      <x:c r="G1006"/>
    </x:row>
    <x:row r="1007">
      <x:c r="A1007"/>
      <x:c r="B1007"/>
      <x:c r="C1007"/>
      <x:c r="D1007"/>
      <x:c r="E1007"/>
      <x:c r="F1007"/>
      <x:c r="G1007"/>
    </x:row>
    <x:row r="1008">
      <x:c r="A1008"/>
      <x:c r="B1008"/>
      <x:c r="C1008"/>
      <x:c r="D1008"/>
      <x:c r="E1008"/>
      <x:c r="F1008"/>
      <x:c r="G1008"/>
    </x:row>
    <x:row r="1009">
      <x:c r="A1009"/>
      <x:c r="B1009"/>
      <x:c r="C1009"/>
      <x:c r="D1009"/>
      <x:c r="E1009"/>
      <x:c r="F1009"/>
      <x:c r="G1009"/>
    </x:row>
    <x:row r="1010">
      <x:c r="A1010"/>
      <x:c r="B1010"/>
      <x:c r="C1010"/>
      <x:c r="D1010"/>
      <x:c r="E1010"/>
      <x:c r="F1010"/>
      <x:c r="G1010"/>
    </x:row>
    <x:row r="1011">
      <x:c r="A1011"/>
      <x:c r="B1011"/>
      <x:c r="C1011"/>
      <x:c r="D1011"/>
      <x:c r="E1011"/>
      <x:c r="F1011"/>
      <x:c r="G1011"/>
    </x:row>
    <x:row r="1012">
      <x:c r="A1012"/>
      <x:c r="B1012"/>
      <x:c r="C1012"/>
      <x:c r="D1012"/>
      <x:c r="E1012"/>
      <x:c r="F1012"/>
      <x:c r="G1012"/>
    </x:row>
    <x:row r="1013">
      <x:c r="A1013"/>
      <x:c r="B1013"/>
      <x:c r="C1013"/>
      <x:c r="D1013"/>
      <x:c r="E1013"/>
      <x:c r="F1013"/>
      <x:c r="G1013"/>
    </x:row>
    <x:row r="1014">
      <x:c r="A1014"/>
      <x:c r="B1014"/>
      <x:c r="C1014"/>
      <x:c r="D1014"/>
      <x:c r="E1014"/>
      <x:c r="F1014"/>
      <x:c r="G1014"/>
    </x:row>
    <x:row r="1015">
      <x:c r="A1015"/>
      <x:c r="B1015"/>
      <x:c r="C1015"/>
      <x:c r="D1015"/>
      <x:c r="E1015"/>
      <x:c r="F1015"/>
      <x:c r="G1015"/>
    </x:row>
    <x:row r="1016">
      <x:c r="A1016"/>
      <x:c r="B1016"/>
      <x:c r="C1016"/>
      <x:c r="D1016"/>
      <x:c r="E1016"/>
      <x:c r="F1016"/>
      <x:c r="G1016"/>
    </x:row>
    <x:row r="1017">
      <x:c r="A1017"/>
      <x:c r="B1017"/>
      <x:c r="C1017"/>
      <x:c r="D1017"/>
      <x:c r="E1017"/>
      <x:c r="F1017"/>
      <x:c r="G1017"/>
    </x:row>
    <x:row r="1018">
      <x:c r="A1018"/>
      <x:c r="B1018"/>
      <x:c r="C1018"/>
      <x:c r="D1018"/>
      <x:c r="E1018"/>
      <x:c r="F1018"/>
      <x:c r="G1018"/>
    </x:row>
    <x:row r="1019">
      <x:c r="A1019"/>
      <x:c r="B1019"/>
      <x:c r="C1019"/>
      <x:c r="D1019"/>
      <x:c r="E1019"/>
      <x:c r="F1019"/>
      <x:c r="G1019"/>
    </x:row>
    <x:row r="1020">
      <x:c r="A1020"/>
      <x:c r="B1020"/>
      <x:c r="C1020"/>
      <x:c r="D1020"/>
      <x:c r="E1020"/>
      <x:c r="F1020"/>
      <x:c r="G1020"/>
    </x:row>
    <x:row r="1021">
      <x:c r="A1021"/>
      <x:c r="B1021"/>
      <x:c r="C1021"/>
      <x:c r="D1021"/>
      <x:c r="E1021"/>
      <x:c r="F1021"/>
      <x:c r="G1021"/>
    </x:row>
    <x:row r="1022">
      <x:c r="A1022"/>
      <x:c r="B1022"/>
      <x:c r="C1022"/>
      <x:c r="D1022"/>
      <x:c r="E1022"/>
      <x:c r="F1022"/>
      <x:c r="G1022"/>
    </x:row>
    <x:row r="1023">
      <x:c r="A1023"/>
      <x:c r="B1023"/>
      <x:c r="C1023"/>
      <x:c r="D1023"/>
      <x:c r="E1023"/>
      <x:c r="F1023"/>
      <x:c r="G1023"/>
    </x:row>
    <x:row r="1024">
      <x:c r="A1024"/>
      <x:c r="B1024"/>
      <x:c r="C1024"/>
      <x:c r="D1024"/>
      <x:c r="E1024"/>
      <x:c r="F1024"/>
      <x:c r="G1024"/>
    </x:row>
    <x:row r="1025">
      <x:c r="A1025"/>
      <x:c r="B1025"/>
      <x:c r="C1025"/>
      <x:c r="D1025"/>
      <x:c r="E1025"/>
      <x:c r="F1025"/>
      <x:c r="G1025"/>
    </x:row>
    <x:row r="1026">
      <x:c r="A1026"/>
      <x:c r="B1026"/>
      <x:c r="C1026"/>
      <x:c r="D1026"/>
      <x:c r="E1026"/>
      <x:c r="F1026"/>
      <x:c r="G1026"/>
    </x:row>
    <x:row r="1027">
      <x:c r="A1027"/>
      <x:c r="B1027"/>
      <x:c r="C1027"/>
      <x:c r="D1027"/>
      <x:c r="E1027"/>
      <x:c r="F1027"/>
      <x:c r="G1027"/>
    </x:row>
    <x:row r="1028">
      <x:c r="A1028"/>
      <x:c r="B1028"/>
      <x:c r="C1028"/>
      <x:c r="D1028"/>
      <x:c r="E1028"/>
      <x:c r="F1028"/>
      <x:c r="G1028"/>
    </x:row>
    <x:row r="1029">
      <x:c r="A1029"/>
      <x:c r="B1029"/>
      <x:c r="C1029"/>
      <x:c r="D1029"/>
      <x:c r="E1029"/>
      <x:c r="F1029"/>
      <x:c r="G1029"/>
    </x:row>
    <x:row r="1030">
      <x:c r="A1030"/>
      <x:c r="B1030"/>
      <x:c r="C1030"/>
      <x:c r="D1030"/>
      <x:c r="E1030"/>
      <x:c r="F1030"/>
      <x:c r="G1030"/>
    </x:row>
    <x:row r="1031">
      <x:c r="A1031"/>
      <x:c r="B1031"/>
      <x:c r="C1031"/>
      <x:c r="D1031"/>
      <x:c r="E1031"/>
      <x:c r="F1031"/>
      <x:c r="G1031"/>
    </x:row>
    <x:row r="1032">
      <x:c r="A1032"/>
      <x:c r="B1032"/>
      <x:c r="C1032"/>
      <x:c r="D1032"/>
      <x:c r="E1032"/>
      <x:c r="F1032"/>
      <x:c r="G1032"/>
    </x:row>
    <x:row r="1033">
      <x:c r="A1033"/>
      <x:c r="B1033"/>
      <x:c r="C1033"/>
      <x:c r="D1033"/>
      <x:c r="E1033"/>
      <x:c r="F1033"/>
      <x:c r="G1033"/>
    </x:row>
    <x:row r="1034">
      <x:c r="A1034"/>
      <x:c r="B1034"/>
      <x:c r="C1034"/>
      <x:c r="D1034"/>
      <x:c r="E1034"/>
      <x:c r="F1034"/>
      <x:c r="G1034"/>
    </x:row>
    <x:row r="1035">
      <x:c r="A1035"/>
      <x:c r="B1035"/>
      <x:c r="C1035"/>
      <x:c r="D1035"/>
      <x:c r="E1035"/>
      <x:c r="F1035"/>
      <x:c r="G1035"/>
    </x:row>
    <x:row r="1036">
      <x:c r="A1036"/>
      <x:c r="B1036"/>
      <x:c r="C1036"/>
      <x:c r="D1036"/>
      <x:c r="E1036"/>
      <x:c r="F1036"/>
      <x:c r="G1036"/>
    </x:row>
    <x:row r="1037">
      <x:c r="A1037"/>
      <x:c r="B1037"/>
      <x:c r="C1037"/>
      <x:c r="D1037"/>
      <x:c r="E1037"/>
      <x:c r="F1037"/>
      <x:c r="G1037"/>
    </x:row>
    <x:row r="1038">
      <x:c r="A1038"/>
      <x:c r="B1038"/>
      <x:c r="C1038"/>
      <x:c r="D1038"/>
      <x:c r="E1038"/>
      <x:c r="F1038"/>
      <x:c r="G1038"/>
    </x:row>
    <x:row r="1039">
      <x:c r="A1039"/>
      <x:c r="B1039"/>
      <x:c r="C1039"/>
      <x:c r="D1039"/>
      <x:c r="E1039"/>
      <x:c r="F1039"/>
      <x:c r="G1039"/>
    </x:row>
    <x:row r="1040">
      <x:c r="A1040"/>
      <x:c r="B1040"/>
      <x:c r="C1040"/>
      <x:c r="D1040"/>
      <x:c r="E1040"/>
      <x:c r="F1040"/>
      <x:c r="G1040"/>
    </x:row>
    <x:row r="1041">
      <x:c r="A1041"/>
      <x:c r="B1041"/>
      <x:c r="C1041"/>
      <x:c r="D1041"/>
      <x:c r="E1041"/>
      <x:c r="F1041"/>
      <x:c r="G1041"/>
    </x:row>
    <x:row r="1042">
      <x:c r="A1042"/>
      <x:c r="B1042"/>
      <x:c r="C1042"/>
      <x:c r="D1042"/>
      <x:c r="E1042"/>
      <x:c r="F1042"/>
      <x:c r="G1042"/>
    </x:row>
    <x:row r="1043">
      <x:c r="A1043"/>
      <x:c r="B1043"/>
      <x:c r="C1043"/>
      <x:c r="D1043"/>
      <x:c r="E1043"/>
      <x:c r="F1043"/>
      <x:c r="G1043"/>
    </x:row>
    <x:row r="1044">
      <x:c r="A1044"/>
      <x:c r="B1044"/>
      <x:c r="C1044"/>
      <x:c r="D1044"/>
      <x:c r="E1044"/>
      <x:c r="F1044"/>
      <x:c r="G1044"/>
    </x:row>
    <x:row r="1045">
      <x:c r="A1045"/>
      <x:c r="B1045"/>
      <x:c r="C1045"/>
      <x:c r="D1045"/>
      <x:c r="E1045"/>
      <x:c r="F1045"/>
      <x:c r="G1045"/>
    </x:row>
    <x:row r="1046">
      <x:c r="A1046"/>
      <x:c r="B1046"/>
      <x:c r="C1046"/>
      <x:c r="D1046"/>
      <x:c r="E1046"/>
      <x:c r="F1046"/>
      <x:c r="G1046"/>
    </x:row>
    <x:row r="1047">
      <x:c r="A1047"/>
      <x:c r="B1047"/>
      <x:c r="C1047"/>
      <x:c r="D1047"/>
      <x:c r="E1047"/>
      <x:c r="F1047"/>
      <x:c r="G1047"/>
    </x:row>
    <x:row r="1048">
      <x:c r="A1048"/>
      <x:c r="B1048"/>
      <x:c r="C1048"/>
      <x:c r="D1048"/>
      <x:c r="E1048"/>
      <x:c r="F1048"/>
      <x:c r="G1048"/>
    </x:row>
    <x:row r="1049">
      <x:c r="A1049"/>
      <x:c r="B1049"/>
      <x:c r="C1049"/>
      <x:c r="D1049"/>
      <x:c r="E1049"/>
      <x:c r="F1049"/>
      <x:c r="G1049"/>
    </x:row>
    <x:row r="1050">
      <x:c r="A1050"/>
      <x:c r="B1050"/>
      <x:c r="C1050"/>
      <x:c r="D1050"/>
      <x:c r="E1050"/>
      <x:c r="F1050"/>
      <x:c r="G1050"/>
    </x:row>
    <x:row r="1051">
      <x:c r="A1051"/>
      <x:c r="B1051"/>
      <x:c r="C1051"/>
      <x:c r="D1051"/>
      <x:c r="E1051"/>
      <x:c r="F1051"/>
      <x:c r="G1051"/>
    </x:row>
    <x:row r="1052">
      <x:c r="A1052"/>
      <x:c r="B1052"/>
      <x:c r="C1052"/>
      <x:c r="D1052"/>
      <x:c r="E1052"/>
      <x:c r="F1052"/>
      <x:c r="G1052"/>
    </x:row>
    <x:row r="1053">
      <x:c r="A1053"/>
      <x:c r="B1053"/>
      <x:c r="C1053"/>
      <x:c r="D1053"/>
      <x:c r="E1053"/>
      <x:c r="F1053"/>
      <x:c r="G1053"/>
    </x:row>
    <x:row r="1054">
      <x:c r="A1054"/>
      <x:c r="B1054"/>
      <x:c r="C1054"/>
      <x:c r="D1054"/>
      <x:c r="E1054"/>
      <x:c r="F1054"/>
      <x:c r="G1054"/>
    </x:row>
    <x:row r="1055">
      <x:c r="A1055"/>
      <x:c r="B1055"/>
      <x:c r="C1055"/>
      <x:c r="D1055"/>
      <x:c r="E1055"/>
      <x:c r="F1055"/>
      <x:c r="G1055"/>
    </x:row>
    <x:row r="1056">
      <x:c r="A1056"/>
      <x:c r="B1056"/>
      <x:c r="C1056"/>
      <x:c r="D1056"/>
      <x:c r="E1056"/>
      <x:c r="F1056"/>
      <x:c r="G1056"/>
    </x:row>
    <x:row r="1057">
      <x:c r="A1057"/>
      <x:c r="B1057"/>
      <x:c r="C1057"/>
      <x:c r="D1057"/>
      <x:c r="E1057"/>
      <x:c r="F1057"/>
      <x:c r="G1057"/>
    </x:row>
    <x:row r="1058">
      <x:c r="A1058"/>
      <x:c r="B1058"/>
      <x:c r="C1058"/>
      <x:c r="D1058"/>
      <x:c r="E1058"/>
      <x:c r="F1058"/>
      <x:c r="G1058"/>
    </x:row>
    <x:row r="1059">
      <x:c r="A1059"/>
      <x:c r="B1059"/>
      <x:c r="C1059"/>
      <x:c r="D1059"/>
      <x:c r="E1059"/>
      <x:c r="F1059"/>
      <x:c r="G1059"/>
    </x:row>
    <x:row r="1060">
      <x:c r="A1060"/>
      <x:c r="B1060"/>
      <x:c r="C1060"/>
      <x:c r="D1060"/>
      <x:c r="E1060"/>
      <x:c r="F1060"/>
      <x:c r="G1060"/>
    </x:row>
    <x:row r="1061">
      <x:c r="A1061"/>
      <x:c r="B1061"/>
      <x:c r="C1061"/>
      <x:c r="D1061"/>
      <x:c r="E1061"/>
      <x:c r="F1061"/>
      <x:c r="G1061"/>
    </x:row>
    <x:row r="1062">
      <x:c r="A1062"/>
      <x:c r="B1062"/>
      <x:c r="C1062"/>
      <x:c r="D1062"/>
      <x:c r="E1062"/>
      <x:c r="F1062"/>
      <x:c r="G1062"/>
    </x:row>
    <x:row r="1063">
      <x:c r="A1063"/>
      <x:c r="B1063"/>
      <x:c r="C1063"/>
      <x:c r="D1063"/>
      <x:c r="E1063"/>
      <x:c r="F1063"/>
      <x:c r="G1063"/>
    </x:row>
    <x:row r="1064">
      <x:c r="A1064"/>
      <x:c r="B1064"/>
      <x:c r="C1064"/>
      <x:c r="D1064"/>
      <x:c r="E1064"/>
      <x:c r="F1064"/>
      <x:c r="G1064"/>
    </x:row>
    <x:row r="1065">
      <x:c r="A1065"/>
      <x:c r="B1065"/>
      <x:c r="C1065"/>
      <x:c r="D1065"/>
      <x:c r="E1065"/>
      <x:c r="F1065"/>
      <x:c r="G1065"/>
    </x:row>
    <x:row r="1066">
      <x:c r="A1066"/>
      <x:c r="B1066"/>
      <x:c r="C1066"/>
      <x:c r="D1066"/>
      <x:c r="E1066"/>
      <x:c r="F1066"/>
      <x:c r="G1066"/>
    </x:row>
    <x:row r="1067">
      <x:c r="A1067"/>
      <x:c r="B1067"/>
      <x:c r="C1067"/>
      <x:c r="D1067"/>
      <x:c r="E1067"/>
      <x:c r="F1067"/>
      <x:c r="G1067"/>
    </x:row>
    <x:row r="1068">
      <x:c r="A1068"/>
      <x:c r="B1068"/>
      <x:c r="C1068"/>
      <x:c r="D1068"/>
      <x:c r="E1068"/>
      <x:c r="F1068"/>
      <x:c r="G1068"/>
    </x:row>
    <x:row r="1069">
      <x:c r="A1069"/>
      <x:c r="B1069"/>
      <x:c r="C1069"/>
      <x:c r="D1069"/>
      <x:c r="E1069"/>
      <x:c r="F1069"/>
      <x:c r="G1069"/>
    </x:row>
    <x:row r="1070">
      <x:c r="A1070"/>
      <x:c r="B1070"/>
      <x:c r="C1070"/>
      <x:c r="D1070"/>
      <x:c r="E1070"/>
      <x:c r="F1070"/>
      <x:c r="G1070"/>
    </x:row>
    <x:row r="1071">
      <x:c r="A1071"/>
      <x:c r="B1071"/>
      <x:c r="C1071"/>
      <x:c r="D1071"/>
      <x:c r="E1071"/>
      <x:c r="F1071"/>
      <x:c r="G1071"/>
    </x:row>
    <x:row r="1072">
      <x:c r="A1072"/>
      <x:c r="B1072"/>
      <x:c r="C1072"/>
      <x:c r="D1072"/>
      <x:c r="E1072"/>
      <x:c r="F1072"/>
      <x:c r="G1072"/>
    </x:row>
    <x:row r="1073">
      <x:c r="A1073"/>
      <x:c r="B1073"/>
      <x:c r="C1073"/>
      <x:c r="D1073"/>
      <x:c r="E1073"/>
      <x:c r="F1073"/>
      <x:c r="G1073"/>
    </x:row>
    <x:row r="1074">
      <x:c r="A1074"/>
      <x:c r="B1074"/>
      <x:c r="C1074"/>
      <x:c r="D1074"/>
      <x:c r="E1074"/>
      <x:c r="F1074"/>
      <x:c r="G1074"/>
    </x:row>
    <x:row r="1075">
      <x:c r="A1075"/>
      <x:c r="B1075"/>
      <x:c r="C1075"/>
      <x:c r="D1075"/>
      <x:c r="E1075"/>
      <x:c r="F1075"/>
      <x:c r="G1075"/>
    </x:row>
    <x:row r="1076">
      <x:c r="A1076"/>
      <x:c r="B1076"/>
      <x:c r="C1076"/>
      <x:c r="D1076"/>
      <x:c r="E1076"/>
      <x:c r="F1076"/>
      <x:c r="G1076"/>
    </x:row>
    <x:row r="1077">
      <x:c r="A1077"/>
      <x:c r="B1077"/>
      <x:c r="C1077"/>
      <x:c r="D1077"/>
      <x:c r="E1077"/>
      <x:c r="F1077"/>
      <x:c r="G1077"/>
    </x:row>
    <x:row r="1078">
      <x:c r="A1078"/>
      <x:c r="B1078"/>
      <x:c r="C1078"/>
      <x:c r="D1078"/>
      <x:c r="E1078"/>
      <x:c r="F1078"/>
      <x:c r="G1078"/>
    </x:row>
    <x:row r="1079">
      <x:c r="A1079"/>
      <x:c r="B1079"/>
      <x:c r="C1079"/>
      <x:c r="D1079"/>
      <x:c r="E1079"/>
      <x:c r="F1079"/>
      <x:c r="G1079"/>
    </x:row>
    <x:row r="1080">
      <x:c r="A1080"/>
      <x:c r="B1080"/>
      <x:c r="C1080"/>
      <x:c r="D1080"/>
      <x:c r="E1080"/>
      <x:c r="F1080"/>
      <x:c r="G1080"/>
    </x:row>
    <x:row r="1081">
      <x:c r="A1081"/>
      <x:c r="B1081"/>
      <x:c r="C1081"/>
      <x:c r="D1081"/>
      <x:c r="E1081"/>
      <x:c r="F1081"/>
      <x:c r="G1081"/>
    </x:row>
    <x:row r="1082">
      <x:c r="A1082"/>
      <x:c r="B1082"/>
      <x:c r="C1082"/>
      <x:c r="D1082"/>
      <x:c r="E1082"/>
      <x:c r="F1082"/>
      <x:c r="G1082"/>
    </x:row>
    <x:row r="1083">
      <x:c r="A1083"/>
      <x:c r="B1083"/>
      <x:c r="C1083"/>
      <x:c r="D1083"/>
      <x:c r="E1083"/>
      <x:c r="F1083"/>
      <x:c r="G1083"/>
    </x:row>
    <x:row r="1084">
      <x:c r="A1084"/>
      <x:c r="B1084"/>
      <x:c r="C1084"/>
      <x:c r="D1084"/>
      <x:c r="E1084"/>
      <x:c r="F1084"/>
      <x:c r="G1084"/>
    </x:row>
    <x:row r="1085">
      <x:c r="A1085"/>
      <x:c r="B1085"/>
      <x:c r="C1085"/>
      <x:c r="D1085"/>
      <x:c r="E1085"/>
      <x:c r="F1085"/>
      <x:c r="G1085"/>
    </x:row>
    <x:row r="1086">
      <x:c r="A1086"/>
      <x:c r="B1086"/>
      <x:c r="C1086"/>
      <x:c r="D1086"/>
      <x:c r="E1086"/>
      <x:c r="F1086"/>
      <x:c r="G1086"/>
    </x:row>
    <x:row r="1087">
      <x:c r="A1087"/>
      <x:c r="B1087"/>
      <x:c r="C1087"/>
      <x:c r="D1087"/>
      <x:c r="E1087"/>
      <x:c r="F1087"/>
      <x:c r="G1087"/>
    </x:row>
    <x:row r="1088">
      <x:c r="A1088"/>
      <x:c r="B1088"/>
      <x:c r="C1088"/>
      <x:c r="D1088"/>
      <x:c r="E1088"/>
      <x:c r="F1088"/>
      <x:c r="G1088"/>
    </x:row>
    <x:row r="1089">
      <x:c r="A1089"/>
      <x:c r="B1089"/>
      <x:c r="C1089"/>
      <x:c r="D1089"/>
      <x:c r="E1089"/>
      <x:c r="F1089"/>
      <x:c r="G1089"/>
    </x:row>
    <x:row r="1090">
      <x:c r="A1090"/>
      <x:c r="B1090"/>
      <x:c r="C1090"/>
      <x:c r="D1090"/>
      <x:c r="E1090"/>
      <x:c r="F1090"/>
      <x:c r="G1090"/>
    </x:row>
    <x:row r="1091">
      <x:c r="A1091"/>
      <x:c r="B1091"/>
      <x:c r="C1091"/>
      <x:c r="D1091"/>
      <x:c r="E1091"/>
      <x:c r="F1091"/>
      <x:c r="G1091"/>
    </x:row>
    <x:row r="1092">
      <x:c r="A1092"/>
      <x:c r="B1092"/>
      <x:c r="C1092"/>
      <x:c r="D1092"/>
      <x:c r="E1092"/>
      <x:c r="F1092"/>
      <x:c r="G1092"/>
    </x:row>
    <x:row r="1093">
      <x:c r="A1093"/>
      <x:c r="B1093"/>
      <x:c r="C1093"/>
      <x:c r="D1093"/>
      <x:c r="E1093"/>
      <x:c r="F1093"/>
      <x:c r="G1093"/>
    </x:row>
    <x:row r="1094">
      <x:c r="A1094"/>
      <x:c r="B1094"/>
      <x:c r="C1094"/>
      <x:c r="D1094"/>
      <x:c r="E1094"/>
      <x:c r="F1094"/>
      <x:c r="G1094"/>
    </x:row>
    <x:row r="1095">
      <x:c r="A1095"/>
      <x:c r="B1095"/>
      <x:c r="C1095"/>
      <x:c r="D1095"/>
      <x:c r="E1095"/>
      <x:c r="F1095"/>
      <x:c r="G1095"/>
    </x:row>
    <x:row r="1096">
      <x:c r="A1096"/>
      <x:c r="B1096"/>
      <x:c r="C1096"/>
      <x:c r="D1096"/>
      <x:c r="E1096"/>
      <x:c r="F1096"/>
      <x:c r="G1096"/>
    </x:row>
    <x:row r="1097">
      <x:c r="A1097"/>
      <x:c r="B1097"/>
      <x:c r="C1097"/>
      <x:c r="D1097"/>
      <x:c r="E1097"/>
      <x:c r="F1097"/>
      <x:c r="G1097"/>
    </x:row>
    <x:row r="1098">
      <x:c r="A1098"/>
      <x:c r="B1098"/>
      <x:c r="C1098"/>
      <x:c r="D1098"/>
      <x:c r="E1098"/>
      <x:c r="F1098"/>
      <x:c r="G1098"/>
    </x:row>
    <x:row r="1099">
      <x:c r="A1099"/>
      <x:c r="B1099"/>
      <x:c r="C1099"/>
      <x:c r="D1099"/>
      <x:c r="E1099"/>
      <x:c r="F1099"/>
      <x:c r="G1099"/>
    </x:row>
    <x:row r="1100">
      <x:c r="A1100"/>
      <x:c r="B1100"/>
      <x:c r="C1100"/>
      <x:c r="D1100"/>
      <x:c r="E1100"/>
      <x:c r="F1100"/>
      <x:c r="G1100"/>
    </x:row>
    <x:row r="1101">
      <x:c r="A1101"/>
      <x:c r="B1101"/>
      <x:c r="C1101"/>
      <x:c r="D1101"/>
      <x:c r="E1101"/>
      <x:c r="F1101"/>
      <x:c r="G1101"/>
    </x:row>
    <x:row r="1102">
      <x:c r="A1102"/>
      <x:c r="B1102"/>
      <x:c r="C1102"/>
      <x:c r="D1102"/>
      <x:c r="E1102"/>
      <x:c r="F1102"/>
      <x:c r="G1102"/>
    </x:row>
    <x:row r="1103">
      <x:c r="A1103"/>
      <x:c r="B1103"/>
      <x:c r="C1103"/>
      <x:c r="D1103"/>
      <x:c r="E1103"/>
      <x:c r="F1103"/>
      <x:c r="G1103"/>
    </x:row>
    <x:row r="1104">
      <x:c r="A1104"/>
      <x:c r="B1104"/>
      <x:c r="C1104"/>
      <x:c r="D1104"/>
      <x:c r="E1104"/>
      <x:c r="F1104"/>
      <x:c r="G1104"/>
    </x:row>
    <x:row r="1105">
      <x:c r="A1105"/>
      <x:c r="B1105"/>
      <x:c r="C1105"/>
      <x:c r="D1105"/>
      <x:c r="E1105"/>
      <x:c r="F1105"/>
      <x:c r="G1105"/>
    </x:row>
    <x:row r="1106">
      <x:c r="A1106"/>
      <x:c r="B1106"/>
      <x:c r="C1106"/>
      <x:c r="D1106"/>
      <x:c r="E1106"/>
      <x:c r="F1106"/>
      <x:c r="G1106"/>
    </x:row>
    <x:row r="1107">
      <x:c r="A1107"/>
      <x:c r="B1107"/>
      <x:c r="C1107"/>
      <x:c r="D1107"/>
      <x:c r="E1107"/>
      <x:c r="F1107"/>
      <x:c r="G1107"/>
    </x:row>
    <x:row r="1108">
      <x:c r="A1108"/>
      <x:c r="B1108"/>
      <x:c r="C1108"/>
      <x:c r="D1108"/>
      <x:c r="E1108"/>
      <x:c r="F1108"/>
      <x:c r="G1108"/>
    </x:row>
    <x:row r="1109">
      <x:c r="A1109"/>
      <x:c r="B1109"/>
      <x:c r="C1109"/>
      <x:c r="D1109"/>
      <x:c r="E1109"/>
      <x:c r="F1109"/>
      <x:c r="G1109"/>
    </x:row>
    <x:row r="1110">
      <x:c r="A1110"/>
      <x:c r="B1110"/>
      <x:c r="C1110"/>
      <x:c r="D1110"/>
      <x:c r="E1110"/>
      <x:c r="F1110"/>
      <x:c r="G1110"/>
    </x:row>
    <x:row r="1111">
      <x:c r="A1111"/>
      <x:c r="B1111"/>
      <x:c r="C1111"/>
      <x:c r="D1111"/>
      <x:c r="E1111"/>
      <x:c r="F1111"/>
      <x:c r="G1111"/>
    </x:row>
    <x:row r="1112">
      <x:c r="A1112"/>
      <x:c r="B1112"/>
      <x:c r="C1112"/>
      <x:c r="D1112"/>
      <x:c r="E1112"/>
      <x:c r="F1112"/>
      <x:c r="G1112"/>
    </x:row>
    <x:row r="1113">
      <x:c r="A1113"/>
      <x:c r="B1113"/>
      <x:c r="C1113"/>
      <x:c r="D1113"/>
      <x:c r="E1113"/>
      <x:c r="F1113"/>
      <x:c r="G1113"/>
    </x:row>
    <x:row r="1114">
      <x:c r="A1114"/>
      <x:c r="B1114"/>
      <x:c r="C1114"/>
      <x:c r="D1114"/>
      <x:c r="E1114"/>
      <x:c r="F1114"/>
      <x:c r="G1114"/>
    </x:row>
    <x:row r="1115">
      <x:c r="A1115"/>
      <x:c r="B1115"/>
      <x:c r="C1115"/>
      <x:c r="D1115"/>
      <x:c r="E1115"/>
      <x:c r="F1115"/>
      <x:c r="G1115"/>
    </x:row>
    <x:row r="1116">
      <x:c r="A1116"/>
      <x:c r="B1116"/>
      <x:c r="C1116"/>
      <x:c r="D1116"/>
      <x:c r="E1116"/>
      <x:c r="F1116"/>
      <x:c r="G1116"/>
    </x:row>
    <x:row r="1117">
      <x:c r="A1117"/>
      <x:c r="B1117"/>
      <x:c r="C1117"/>
      <x:c r="D1117"/>
      <x:c r="E1117"/>
      <x:c r="F1117"/>
      <x:c r="G1117"/>
    </x:row>
    <x:row r="1118">
      <x:c r="A1118"/>
      <x:c r="B1118"/>
      <x:c r="C1118"/>
      <x:c r="D1118"/>
      <x:c r="E1118"/>
      <x:c r="F1118"/>
      <x:c r="G1118"/>
    </x:row>
    <x:row r="1119">
      <x:c r="A1119"/>
      <x:c r="B1119"/>
      <x:c r="C1119"/>
      <x:c r="D1119"/>
      <x:c r="E1119"/>
      <x:c r="F1119"/>
      <x:c r="G1119"/>
    </x:row>
    <x:row r="1120">
      <x:c r="A1120"/>
      <x:c r="B1120"/>
      <x:c r="C1120"/>
      <x:c r="D1120"/>
      <x:c r="E1120"/>
      <x:c r="F1120"/>
      <x:c r="G1120"/>
    </x:row>
    <x:row r="1121">
      <x:c r="A1121"/>
      <x:c r="B1121"/>
      <x:c r="C1121"/>
      <x:c r="D1121"/>
      <x:c r="E1121"/>
      <x:c r="F1121"/>
      <x:c r="G1121"/>
    </x:row>
    <x:row r="1122">
      <x:c r="A1122"/>
      <x:c r="B1122"/>
      <x:c r="C1122"/>
      <x:c r="D1122"/>
      <x:c r="E1122"/>
      <x:c r="F1122"/>
      <x:c r="G1122"/>
    </x:row>
    <x:row r="1123">
      <x:c r="A1123"/>
      <x:c r="B1123"/>
      <x:c r="C1123"/>
      <x:c r="D1123"/>
      <x:c r="E1123"/>
      <x:c r="F1123"/>
      <x:c r="G1123"/>
    </x:row>
    <x:row r="1124">
      <x:c r="A1124"/>
      <x:c r="B1124"/>
      <x:c r="C1124"/>
      <x:c r="D1124"/>
      <x:c r="E1124"/>
      <x:c r="F1124"/>
      <x:c r="G1124"/>
    </x:row>
    <x:row r="1125">
      <x:c r="A1125"/>
      <x:c r="B1125"/>
      <x:c r="C1125"/>
      <x:c r="D1125"/>
      <x:c r="E1125"/>
      <x:c r="F1125"/>
      <x:c r="G1125"/>
    </x:row>
    <x:row r="1126">
      <x:c r="A1126"/>
      <x:c r="B1126"/>
      <x:c r="C1126"/>
      <x:c r="D1126"/>
      <x:c r="E1126"/>
      <x:c r="F1126"/>
      <x:c r="G1126"/>
    </x:row>
    <x:row r="1127">
      <x:c r="A1127"/>
      <x:c r="B1127"/>
      <x:c r="C1127"/>
      <x:c r="D1127"/>
      <x:c r="E1127"/>
      <x:c r="F1127"/>
      <x:c r="G1127"/>
    </x:row>
    <x:row r="1128">
      <x:c r="A1128"/>
      <x:c r="B1128"/>
      <x:c r="C1128"/>
      <x:c r="D1128"/>
      <x:c r="E1128"/>
      <x:c r="F1128"/>
      <x:c r="G1128"/>
    </x:row>
    <x:row r="1129">
      <x:c r="A1129"/>
      <x:c r="B1129"/>
      <x:c r="C1129"/>
      <x:c r="D1129"/>
      <x:c r="E1129"/>
      <x:c r="F1129"/>
      <x:c r="G1129"/>
    </x:row>
    <x:row r="1130">
      <x:c r="A1130"/>
      <x:c r="B1130"/>
      <x:c r="C1130"/>
      <x:c r="D1130"/>
      <x:c r="E1130"/>
      <x:c r="F1130"/>
      <x:c r="G1130"/>
    </x:row>
    <x:row r="1131">
      <x:c r="A1131"/>
      <x:c r="B1131"/>
      <x:c r="C1131"/>
      <x:c r="D1131"/>
      <x:c r="E1131"/>
      <x:c r="F1131"/>
      <x:c r="G1131"/>
    </x:row>
    <x:row r="1132">
      <x:c r="A1132"/>
      <x:c r="B1132"/>
      <x:c r="C1132"/>
      <x:c r="D1132"/>
      <x:c r="E1132"/>
      <x:c r="F1132"/>
      <x:c r="G1132"/>
    </x:row>
    <x:row r="1133">
      <x:c r="A1133"/>
      <x:c r="B1133"/>
      <x:c r="C1133"/>
      <x:c r="D1133"/>
      <x:c r="E1133"/>
      <x:c r="F1133"/>
      <x:c r="G1133"/>
    </x:row>
    <x:row r="1134">
      <x:c r="A1134"/>
      <x:c r="B1134"/>
      <x:c r="C1134"/>
      <x:c r="D1134"/>
      <x:c r="E1134"/>
      <x:c r="F1134"/>
      <x:c r="G1134"/>
    </x:row>
    <x:row r="1135">
      <x:c r="A1135"/>
      <x:c r="B1135"/>
      <x:c r="C1135"/>
      <x:c r="D1135"/>
      <x:c r="E1135"/>
      <x:c r="F1135"/>
      <x:c r="G1135"/>
    </x:row>
    <x:row r="1136">
      <x:c r="A1136"/>
      <x:c r="B1136"/>
      <x:c r="C1136"/>
      <x:c r="D1136"/>
      <x:c r="E1136"/>
      <x:c r="F1136"/>
      <x:c r="G1136"/>
    </x:row>
    <x:row r="1137">
      <x:c r="A1137"/>
      <x:c r="B1137"/>
      <x:c r="C1137"/>
      <x:c r="D1137"/>
      <x:c r="E1137"/>
      <x:c r="F1137"/>
      <x:c r="G1137"/>
    </x:row>
    <x:row r="1138">
      <x:c r="A1138"/>
      <x:c r="B1138"/>
      <x:c r="C1138"/>
      <x:c r="D1138"/>
      <x:c r="E1138"/>
      <x:c r="F1138"/>
      <x:c r="G1138"/>
    </x:row>
    <x:row r="1139">
      <x:c r="A1139"/>
      <x:c r="B1139"/>
      <x:c r="C1139"/>
      <x:c r="D1139"/>
      <x:c r="E1139"/>
      <x:c r="F1139"/>
      <x:c r="G1139"/>
    </x:row>
    <x:row r="1140">
      <x:c r="A1140"/>
      <x:c r="B1140"/>
      <x:c r="C1140"/>
      <x:c r="D1140"/>
      <x:c r="E1140"/>
      <x:c r="F1140"/>
      <x:c r="G1140"/>
    </x:row>
    <x:row r="1141">
      <x:c r="A1141"/>
      <x:c r="B1141"/>
      <x:c r="C1141"/>
      <x:c r="D1141"/>
      <x:c r="E1141"/>
      <x:c r="F1141"/>
      <x:c r="G1141"/>
    </x:row>
    <x:row r="1142">
      <x:c r="A1142"/>
      <x:c r="B1142"/>
      <x:c r="C1142"/>
      <x:c r="D1142"/>
      <x:c r="E1142"/>
      <x:c r="F1142"/>
      <x:c r="G1142"/>
    </x:row>
    <x:row r="1143">
      <x:c r="A1143"/>
      <x:c r="B1143"/>
      <x:c r="C1143"/>
      <x:c r="D1143"/>
      <x:c r="E1143"/>
      <x:c r="F1143"/>
      <x:c r="G1143"/>
    </x:row>
    <x:row r="1144">
      <x:c r="A1144"/>
      <x:c r="B1144"/>
      <x:c r="C1144"/>
      <x:c r="D1144"/>
      <x:c r="E1144"/>
      <x:c r="F1144"/>
      <x:c r="G1144"/>
    </x:row>
    <x:row r="1145">
      <x:c r="A1145"/>
      <x:c r="B1145"/>
      <x:c r="C1145"/>
      <x:c r="D1145"/>
      <x:c r="E1145"/>
      <x:c r="F1145"/>
      <x:c r="G1145"/>
    </x:row>
    <x:row r="1146">
      <x:c r="A1146"/>
      <x:c r="B1146"/>
      <x:c r="C1146"/>
      <x:c r="D1146"/>
      <x:c r="E1146"/>
      <x:c r="F1146"/>
      <x:c r="G1146"/>
    </x:row>
    <x:row r="1147">
      <x:c r="A1147"/>
      <x:c r="B1147"/>
      <x:c r="C1147"/>
      <x:c r="D1147"/>
      <x:c r="E1147"/>
      <x:c r="F1147"/>
      <x:c r="G1147"/>
    </x:row>
    <x:row r="1148">
      <x:c r="A1148"/>
      <x:c r="B1148"/>
      <x:c r="C1148"/>
      <x:c r="D1148"/>
      <x:c r="E1148"/>
      <x:c r="F1148"/>
      <x:c r="G1148"/>
    </x:row>
    <x:row r="1149">
      <x:c r="A1149"/>
      <x:c r="B1149"/>
      <x:c r="C1149"/>
      <x:c r="D1149"/>
      <x:c r="E1149"/>
      <x:c r="F1149"/>
      <x:c r="G1149"/>
    </x:row>
    <x:row r="1150">
      <x:c r="A1150"/>
      <x:c r="B1150"/>
      <x:c r="C1150"/>
      <x:c r="D1150"/>
      <x:c r="E1150"/>
      <x:c r="F1150"/>
      <x:c r="G1150"/>
    </x:row>
    <x:row r="1151">
      <x:c r="A1151"/>
      <x:c r="B1151"/>
      <x:c r="C1151"/>
      <x:c r="D1151"/>
      <x:c r="E1151"/>
      <x:c r="F1151"/>
      <x:c r="G1151"/>
    </x:row>
    <x:row r="1152">
      <x:c r="A1152"/>
      <x:c r="B1152"/>
      <x:c r="C1152"/>
      <x:c r="D1152"/>
      <x:c r="E1152"/>
      <x:c r="F1152"/>
      <x:c r="G1152"/>
    </x:row>
    <x:row r="1153">
      <x:c r="A1153"/>
      <x:c r="B1153"/>
      <x:c r="C1153"/>
      <x:c r="D1153"/>
      <x:c r="E1153"/>
      <x:c r="F1153"/>
      <x:c r="G1153"/>
    </x:row>
    <x:row r="1154">
      <x:c r="A1154"/>
      <x:c r="B1154"/>
      <x:c r="C1154"/>
      <x:c r="D1154"/>
      <x:c r="E1154"/>
      <x:c r="F1154"/>
      <x:c r="G1154"/>
    </x:row>
    <x:row r="1155">
      <x:c r="A1155"/>
      <x:c r="B1155"/>
      <x:c r="C1155"/>
      <x:c r="D1155"/>
      <x:c r="E1155"/>
      <x:c r="F1155"/>
      <x:c r="G1155"/>
    </x:row>
    <x:row r="1156">
      <x:c r="A1156"/>
      <x:c r="B1156"/>
      <x:c r="C1156"/>
      <x:c r="D1156"/>
      <x:c r="E1156"/>
      <x:c r="F1156"/>
      <x:c r="G1156"/>
    </x:row>
    <x:row r="1157">
      <x:c r="A1157"/>
      <x:c r="B1157"/>
      <x:c r="C1157"/>
      <x:c r="D1157"/>
      <x:c r="E1157"/>
      <x:c r="F1157"/>
      <x:c r="G1157"/>
    </x:row>
    <x:row r="1158">
      <x:c r="A1158"/>
      <x:c r="B1158"/>
      <x:c r="C1158"/>
      <x:c r="D1158"/>
      <x:c r="E1158"/>
      <x:c r="F1158"/>
      <x:c r="G1158"/>
    </x:row>
    <x:row r="1159">
      <x:c r="A1159"/>
      <x:c r="B1159"/>
      <x:c r="C1159"/>
      <x:c r="D1159"/>
      <x:c r="E1159"/>
      <x:c r="F1159"/>
      <x:c r="G1159"/>
    </x:row>
    <x:row r="1160">
      <x:c r="A1160"/>
      <x:c r="B1160"/>
      <x:c r="C1160"/>
      <x:c r="D1160"/>
      <x:c r="E1160"/>
      <x:c r="F1160"/>
      <x:c r="G1160"/>
    </x:row>
    <x:row r="1161">
      <x:c r="A1161"/>
      <x:c r="B1161"/>
      <x:c r="C1161"/>
      <x:c r="D1161"/>
      <x:c r="E1161"/>
      <x:c r="F1161"/>
      <x:c r="G1161"/>
    </x:row>
    <x:row r="1162">
      <x:c r="A1162"/>
      <x:c r="B1162"/>
      <x:c r="C1162"/>
      <x:c r="D1162"/>
      <x:c r="E1162"/>
      <x:c r="F1162"/>
      <x:c r="G1162"/>
    </x:row>
    <x:row r="1163">
      <x:c r="A1163"/>
      <x:c r="B1163"/>
      <x:c r="C1163"/>
      <x:c r="D1163"/>
      <x:c r="E1163"/>
      <x:c r="F1163"/>
      <x:c r="G1163"/>
    </x:row>
    <x:row r="1164">
      <x:c r="A1164"/>
      <x:c r="B1164"/>
      <x:c r="C1164"/>
      <x:c r="D1164"/>
      <x:c r="E1164"/>
      <x:c r="F1164"/>
      <x:c r="G1164"/>
    </x:row>
    <x:row r="1165">
      <x:c r="A1165"/>
      <x:c r="B1165"/>
      <x:c r="C1165"/>
      <x:c r="D1165"/>
      <x:c r="E1165"/>
      <x:c r="F1165"/>
      <x:c r="G1165"/>
    </x:row>
    <x:row r="1166">
      <x:c r="A1166"/>
      <x:c r="B1166"/>
      <x:c r="C1166"/>
      <x:c r="D1166"/>
      <x:c r="E1166"/>
      <x:c r="F1166"/>
      <x:c r="G1166"/>
    </x:row>
    <x:row r="1167">
      <x:c r="A1167"/>
      <x:c r="B1167"/>
      <x:c r="C1167"/>
      <x:c r="D1167"/>
      <x:c r="E1167"/>
      <x:c r="F1167"/>
      <x:c r="G1167"/>
    </x:row>
    <x:row r="1168">
      <x:c r="A1168"/>
      <x:c r="B1168"/>
      <x:c r="C1168"/>
      <x:c r="D1168"/>
      <x:c r="E1168"/>
      <x:c r="F1168"/>
      <x:c r="G1168"/>
    </x:row>
    <x:row r="1169">
      <x:c r="A1169"/>
      <x:c r="B1169"/>
      <x:c r="C1169"/>
      <x:c r="D1169"/>
      <x:c r="E1169"/>
      <x:c r="F1169"/>
      <x:c r="G1169"/>
    </x:row>
    <x:row r="1170">
      <x:c r="A1170"/>
      <x:c r="B1170"/>
      <x:c r="C1170"/>
      <x:c r="D1170"/>
      <x:c r="E1170"/>
      <x:c r="F1170"/>
      <x:c r="G1170"/>
    </x:row>
    <x:row r="1171">
      <x:c r="A1171"/>
      <x:c r="B1171"/>
      <x:c r="C1171"/>
      <x:c r="D1171"/>
      <x:c r="E1171"/>
      <x:c r="F1171"/>
      <x:c r="G1171"/>
    </x:row>
    <x:row r="1172">
      <x:c r="A1172"/>
      <x:c r="B1172"/>
      <x:c r="C1172"/>
      <x:c r="D1172"/>
      <x:c r="E1172"/>
      <x:c r="F1172"/>
      <x:c r="G1172"/>
    </x:row>
    <x:row r="1173">
      <x:c r="A1173"/>
      <x:c r="B1173"/>
      <x:c r="C1173"/>
      <x:c r="D1173"/>
      <x:c r="E1173"/>
      <x:c r="F1173"/>
      <x:c r="G1173"/>
    </x:row>
    <x:row r="1174">
      <x:c r="A1174"/>
      <x:c r="B1174"/>
      <x:c r="C1174"/>
      <x:c r="D1174"/>
      <x:c r="E1174"/>
      <x:c r="F1174"/>
      <x:c r="G1174"/>
    </x:row>
    <x:row r="1175">
      <x:c r="A1175"/>
      <x:c r="B1175"/>
      <x:c r="C1175"/>
      <x:c r="D1175"/>
      <x:c r="E1175"/>
      <x:c r="F1175"/>
      <x:c r="G1175"/>
    </x:row>
    <x:row r="1176">
      <x:c r="A1176"/>
      <x:c r="B1176"/>
      <x:c r="C1176"/>
      <x:c r="D1176"/>
      <x:c r="E1176"/>
      <x:c r="F1176"/>
      <x:c r="G1176"/>
    </x:row>
    <x:row r="1177">
      <x:c r="A1177"/>
      <x:c r="B1177"/>
      <x:c r="C1177"/>
      <x:c r="D1177"/>
      <x:c r="E1177"/>
      <x:c r="F1177"/>
      <x:c r="G1177"/>
    </x:row>
    <x:row r="1178">
      <x:c r="A1178"/>
      <x:c r="B1178"/>
      <x:c r="C1178"/>
      <x:c r="D1178"/>
      <x:c r="E1178"/>
      <x:c r="F1178"/>
      <x:c r="G1178"/>
    </x:row>
    <x:row r="1179">
      <x:c r="A1179"/>
      <x:c r="B1179"/>
      <x:c r="C1179"/>
      <x:c r="D1179"/>
      <x:c r="E1179"/>
      <x:c r="F1179"/>
      <x:c r="G1179"/>
    </x:row>
    <x:row r="1180">
      <x:c r="A1180"/>
      <x:c r="B1180"/>
      <x:c r="C1180"/>
      <x:c r="D1180"/>
      <x:c r="E1180"/>
      <x:c r="F1180"/>
      <x:c r="G1180"/>
    </x:row>
    <x:row r="1181">
      <x:c r="A1181"/>
      <x:c r="B1181"/>
      <x:c r="C1181"/>
      <x:c r="D1181"/>
      <x:c r="E1181"/>
      <x:c r="F1181"/>
      <x:c r="G1181"/>
    </x:row>
    <x:row r="1182">
      <x:c r="A1182"/>
      <x:c r="B1182"/>
      <x:c r="C1182"/>
      <x:c r="D1182"/>
      <x:c r="E1182"/>
      <x:c r="F1182"/>
      <x:c r="G1182"/>
    </x:row>
    <x:row r="1183">
      <x:c r="A1183"/>
      <x:c r="B1183"/>
      <x:c r="C1183"/>
      <x:c r="D1183"/>
      <x:c r="E1183"/>
      <x:c r="F1183"/>
      <x:c r="G1183"/>
    </x:row>
    <x:row r="1184">
      <x:c r="A1184"/>
      <x:c r="B1184"/>
      <x:c r="C1184"/>
      <x:c r="D1184"/>
      <x:c r="E1184"/>
      <x:c r="F1184"/>
      <x:c r="G1184"/>
    </x:row>
    <x:row r="1185">
      <x:c r="A1185"/>
      <x:c r="B1185"/>
      <x:c r="C1185"/>
      <x:c r="D1185"/>
      <x:c r="E1185"/>
      <x:c r="F1185"/>
      <x:c r="G1185"/>
    </x:row>
    <x:row r="1186">
      <x:c r="A1186"/>
      <x:c r="B1186"/>
      <x:c r="C1186"/>
      <x:c r="D1186"/>
      <x:c r="E1186"/>
      <x:c r="F1186"/>
      <x:c r="G1186"/>
    </x:row>
    <x:row r="1187">
      <x:c r="A1187"/>
      <x:c r="B1187"/>
      <x:c r="C1187"/>
      <x:c r="D1187"/>
      <x:c r="E1187"/>
      <x:c r="F1187"/>
      <x:c r="G1187"/>
    </x:row>
    <x:row r="1188">
      <x:c r="A1188"/>
      <x:c r="B1188"/>
      <x:c r="C1188"/>
      <x:c r="D1188"/>
      <x:c r="E1188"/>
      <x:c r="F1188"/>
      <x:c r="G1188"/>
    </x:row>
    <x:row r="1189">
      <x:c r="A1189"/>
      <x:c r="B1189"/>
      <x:c r="C1189"/>
      <x:c r="D1189"/>
      <x:c r="E1189"/>
      <x:c r="F1189"/>
      <x:c r="G1189"/>
    </x:row>
    <x:row r="1190">
      <x:c r="A1190"/>
      <x:c r="B1190"/>
      <x:c r="C1190"/>
      <x:c r="D1190"/>
      <x:c r="E1190"/>
      <x:c r="F1190"/>
      <x:c r="G1190"/>
    </x:row>
    <x:row r="1191">
      <x:c r="A1191"/>
      <x:c r="B1191"/>
      <x:c r="C1191"/>
      <x:c r="D1191"/>
      <x:c r="E1191"/>
      <x:c r="F1191"/>
      <x:c r="G1191"/>
    </x:row>
    <x:row r="1192">
      <x:c r="A1192"/>
      <x:c r="B1192"/>
      <x:c r="C1192"/>
      <x:c r="D1192"/>
      <x:c r="E1192"/>
      <x:c r="F1192"/>
      <x:c r="G1192"/>
    </x:row>
    <x:row r="1193">
      <x:c r="A1193"/>
      <x:c r="B1193"/>
      <x:c r="C1193"/>
      <x:c r="D1193"/>
      <x:c r="E1193"/>
      <x:c r="F1193"/>
      <x:c r="G1193"/>
    </x:row>
    <x:row r="1194">
      <x:c r="A1194"/>
      <x:c r="B1194"/>
      <x:c r="C1194"/>
      <x:c r="D1194"/>
      <x:c r="E1194"/>
      <x:c r="F1194"/>
      <x:c r="G1194"/>
    </x:row>
    <x:row r="1195">
      <x:c r="A1195"/>
      <x:c r="B1195"/>
      <x:c r="C1195"/>
      <x:c r="D1195"/>
      <x:c r="E1195"/>
      <x:c r="F1195"/>
      <x:c r="G1195"/>
    </x:row>
    <x:row r="1196">
      <x:c r="A1196"/>
      <x:c r="B1196"/>
      <x:c r="C1196"/>
      <x:c r="D1196"/>
      <x:c r="E1196"/>
      <x:c r="F1196"/>
      <x:c r="G1196"/>
    </x:row>
    <x:row r="1197">
      <x:c r="A1197"/>
      <x:c r="B1197"/>
      <x:c r="C1197"/>
      <x:c r="D1197"/>
      <x:c r="E1197"/>
      <x:c r="F1197"/>
      <x:c r="G1197"/>
    </x:row>
    <x:row r="1198">
      <x:c r="A1198"/>
      <x:c r="B1198"/>
      <x:c r="C1198"/>
      <x:c r="D1198"/>
      <x:c r="E1198"/>
      <x:c r="F1198"/>
      <x:c r="G1198"/>
    </x:row>
    <x:row r="1199">
      <x:c r="A1199"/>
      <x:c r="B1199"/>
      <x:c r="C1199"/>
      <x:c r="D1199"/>
      <x:c r="E1199"/>
      <x:c r="F1199"/>
      <x:c r="G1199"/>
    </x:row>
    <x:row r="1200">
      <x:c r="A1200"/>
      <x:c r="B1200"/>
      <x:c r="C1200"/>
      <x:c r="D1200"/>
      <x:c r="E1200"/>
      <x:c r="F1200"/>
      <x:c r="G1200"/>
    </x:row>
    <x:row r="1201">
      <x:c r="A1201"/>
      <x:c r="B1201"/>
      <x:c r="C1201"/>
      <x:c r="D1201"/>
      <x:c r="E1201"/>
      <x:c r="F1201"/>
      <x:c r="G1201"/>
    </x:row>
    <x:row r="1202">
      <x:c r="A1202"/>
      <x:c r="B1202"/>
      <x:c r="C1202"/>
      <x:c r="D1202"/>
      <x:c r="E1202"/>
      <x:c r="F1202"/>
      <x:c r="G1202"/>
    </x:row>
    <x:row r="1203">
      <x:c r="A1203"/>
      <x:c r="B1203"/>
      <x:c r="C1203"/>
      <x:c r="D1203"/>
      <x:c r="E1203"/>
      <x:c r="F1203"/>
      <x:c r="G1203"/>
    </x:row>
    <x:row r="1204">
      <x:c r="A1204"/>
      <x:c r="B1204"/>
      <x:c r="C1204"/>
      <x:c r="D1204"/>
      <x:c r="E1204"/>
      <x:c r="F1204"/>
      <x:c r="G1204"/>
    </x:row>
    <x:row r="1205">
      <x:c r="A1205"/>
      <x:c r="B1205"/>
      <x:c r="C1205"/>
      <x:c r="D1205"/>
      <x:c r="E1205"/>
      <x:c r="F1205"/>
      <x:c r="G1205"/>
    </x:row>
    <x:row r="1206">
      <x:c r="A1206"/>
      <x:c r="B1206"/>
      <x:c r="C1206"/>
      <x:c r="D1206"/>
      <x:c r="E1206"/>
      <x:c r="F1206"/>
      <x:c r="G1206"/>
    </x:row>
    <x:row r="1207">
      <x:c r="A1207"/>
      <x:c r="B1207"/>
      <x:c r="C1207"/>
      <x:c r="D1207"/>
      <x:c r="E1207"/>
      <x:c r="F1207"/>
      <x:c r="G1207"/>
    </x:row>
    <x:row r="1208">
      <x:c r="A1208"/>
      <x:c r="B1208"/>
      <x:c r="C1208"/>
      <x:c r="D1208"/>
      <x:c r="E1208"/>
      <x:c r="F1208"/>
      <x:c r="G1208"/>
    </x:row>
    <x:row r="1209">
      <x:c r="A1209"/>
      <x:c r="B1209"/>
      <x:c r="C1209"/>
      <x:c r="D1209"/>
      <x:c r="E1209"/>
      <x:c r="F1209"/>
      <x:c r="G1209"/>
    </x:row>
    <x:row r="1210">
      <x:c r="A1210"/>
      <x:c r="B1210"/>
      <x:c r="C1210"/>
      <x:c r="D1210"/>
      <x:c r="E1210"/>
      <x:c r="F1210"/>
      <x:c r="G1210"/>
    </x:row>
    <x:row r="1211">
      <x:c r="A1211"/>
      <x:c r="B1211"/>
      <x:c r="C1211"/>
      <x:c r="D1211"/>
      <x:c r="E1211"/>
      <x:c r="F1211"/>
      <x:c r="G1211"/>
    </x:row>
    <x:row r="1212">
      <x:c r="A1212"/>
      <x:c r="B1212"/>
      <x:c r="C1212"/>
      <x:c r="D1212"/>
      <x:c r="E1212"/>
      <x:c r="F1212"/>
      <x:c r="G1212"/>
    </x:row>
    <x:row r="1213">
      <x:c r="A1213"/>
      <x:c r="B1213"/>
      <x:c r="C1213"/>
      <x:c r="D1213"/>
      <x:c r="E1213"/>
      <x:c r="F1213"/>
      <x:c r="G1213"/>
    </x:row>
    <x:row r="1214">
      <x:c r="A1214"/>
      <x:c r="B1214"/>
      <x:c r="C1214"/>
      <x:c r="D1214"/>
      <x:c r="E1214"/>
      <x:c r="F1214"/>
      <x:c r="G1214"/>
    </x:row>
    <x:row r="1215">
      <x:c r="A1215"/>
      <x:c r="B1215"/>
      <x:c r="C1215"/>
      <x:c r="D1215"/>
      <x:c r="E1215"/>
      <x:c r="F1215"/>
      <x:c r="G1215"/>
    </x:row>
    <x:row r="1216">
      <x:c r="A1216"/>
      <x:c r="B1216"/>
      <x:c r="C1216"/>
      <x:c r="D1216"/>
      <x:c r="E1216"/>
      <x:c r="F1216"/>
      <x:c r="G1216"/>
    </x:row>
    <x:row r="1217">
      <x:c r="A1217"/>
      <x:c r="B1217"/>
      <x:c r="C1217"/>
      <x:c r="D1217"/>
      <x:c r="E1217"/>
      <x:c r="F1217"/>
      <x:c r="G1217"/>
    </x:row>
    <x:row r="1218">
      <x:c r="A1218"/>
      <x:c r="B1218"/>
      <x:c r="C1218"/>
      <x:c r="D1218"/>
      <x:c r="E1218"/>
      <x:c r="F1218"/>
      <x:c r="G1218"/>
    </x:row>
    <x:row r="1219">
      <x:c r="A1219"/>
      <x:c r="B1219"/>
      <x:c r="C1219"/>
      <x:c r="D1219"/>
      <x:c r="E1219"/>
      <x:c r="F1219"/>
      <x:c r="G1219"/>
    </x:row>
    <x:row r="1220">
      <x:c r="A1220"/>
      <x:c r="B1220"/>
      <x:c r="C1220"/>
      <x:c r="D1220"/>
      <x:c r="E1220"/>
      <x:c r="F1220"/>
      <x:c r="G1220"/>
    </x:row>
    <x:row r="1221">
      <x:c r="A1221"/>
      <x:c r="B1221"/>
      <x:c r="C1221"/>
      <x:c r="D1221"/>
      <x:c r="E1221"/>
      <x:c r="F1221"/>
      <x:c r="G1221"/>
    </x:row>
    <x:row r="1222">
      <x:c r="A1222"/>
      <x:c r="B1222"/>
      <x:c r="C1222"/>
      <x:c r="D1222"/>
      <x:c r="E1222"/>
      <x:c r="F1222"/>
      <x:c r="G1222"/>
    </x:row>
    <x:row r="1223">
      <x:c r="A1223"/>
      <x:c r="B1223"/>
      <x:c r="C1223"/>
      <x:c r="D1223"/>
      <x:c r="E1223"/>
      <x:c r="F1223"/>
      <x:c r="G1223"/>
    </x:row>
    <x:row r="1224">
      <x:c r="A1224"/>
      <x:c r="B1224"/>
      <x:c r="C1224"/>
      <x:c r="D1224"/>
      <x:c r="E1224"/>
      <x:c r="F1224"/>
      <x:c r="G1224"/>
    </x:row>
    <x:row r="1225">
      <x:c r="A1225"/>
      <x:c r="B1225"/>
      <x:c r="C1225"/>
      <x:c r="D1225"/>
      <x:c r="E1225"/>
      <x:c r="F1225"/>
      <x:c r="G1225"/>
    </x:row>
    <x:row r="1226">
      <x:c r="A1226"/>
      <x:c r="B1226"/>
      <x:c r="C1226"/>
      <x:c r="D1226"/>
      <x:c r="E1226"/>
      <x:c r="F1226"/>
      <x:c r="G1226"/>
    </x:row>
    <x:row r="1227">
      <x:c r="A1227"/>
      <x:c r="B1227"/>
      <x:c r="C1227"/>
      <x:c r="D1227"/>
      <x:c r="E1227"/>
      <x:c r="F1227"/>
      <x:c r="G1227"/>
    </x:row>
    <x:row r="1228">
      <x:c r="A1228"/>
      <x:c r="B1228"/>
      <x:c r="C1228"/>
      <x:c r="D1228"/>
      <x:c r="E1228"/>
      <x:c r="F1228"/>
      <x:c r="G1228"/>
    </x:row>
    <x:row r="1229">
      <x:c r="A1229"/>
      <x:c r="B1229"/>
      <x:c r="C1229"/>
      <x:c r="D1229"/>
      <x:c r="E1229"/>
      <x:c r="F1229"/>
      <x:c r="G1229"/>
    </x:row>
    <x:row r="1230">
      <x:c r="A1230"/>
      <x:c r="B1230"/>
      <x:c r="C1230"/>
      <x:c r="D1230"/>
      <x:c r="E1230"/>
      <x:c r="F1230"/>
      <x:c r="G1230"/>
    </x:row>
    <x:row r="1231">
      <x:c r="A1231"/>
      <x:c r="B1231"/>
      <x:c r="C1231"/>
      <x:c r="D1231"/>
      <x:c r="E1231"/>
      <x:c r="F1231"/>
      <x:c r="G1231"/>
    </x:row>
    <x:row r="1232">
      <x:c r="A1232"/>
      <x:c r="B1232"/>
      <x:c r="C1232"/>
      <x:c r="D1232"/>
      <x:c r="E1232"/>
      <x:c r="F1232"/>
      <x:c r="G1232"/>
    </x:row>
    <x:row r="1233">
      <x:c r="A1233"/>
      <x:c r="B1233"/>
      <x:c r="C1233"/>
      <x:c r="D1233"/>
      <x:c r="E1233"/>
      <x:c r="F1233"/>
      <x:c r="G1233"/>
    </x:row>
    <x:row r="1234">
      <x:c r="A1234"/>
      <x:c r="B1234"/>
      <x:c r="C1234"/>
      <x:c r="D1234"/>
      <x:c r="E1234"/>
      <x:c r="F1234"/>
      <x:c r="G1234"/>
    </x:row>
    <x:row r="1235">
      <x:c r="A1235"/>
      <x:c r="B1235"/>
      <x:c r="C1235"/>
      <x:c r="D1235"/>
      <x:c r="E1235"/>
      <x:c r="F1235"/>
      <x:c r="G1235"/>
    </x:row>
    <x:row r="1236">
      <x:c r="A1236"/>
      <x:c r="B1236"/>
      <x:c r="C1236"/>
      <x:c r="D1236"/>
      <x:c r="E1236"/>
      <x:c r="F1236"/>
      <x:c r="G1236"/>
    </x:row>
    <x:row r="1237">
      <x:c r="A1237"/>
      <x:c r="B1237"/>
      <x:c r="C1237"/>
      <x:c r="D1237"/>
      <x:c r="E1237"/>
      <x:c r="F1237"/>
      <x:c r="G1237"/>
    </x:row>
    <x:row r="1238">
      <x:c r="A1238"/>
      <x:c r="B1238"/>
      <x:c r="C1238"/>
      <x:c r="D1238"/>
      <x:c r="E1238"/>
      <x:c r="F1238"/>
      <x:c r="G1238"/>
    </x:row>
    <x:row r="1239">
      <x:c r="A1239"/>
      <x:c r="B1239"/>
      <x:c r="C1239"/>
      <x:c r="D1239"/>
      <x:c r="E1239"/>
      <x:c r="F1239"/>
      <x:c r="G1239"/>
    </x:row>
    <x:row r="1240">
      <x:c r="A1240"/>
      <x:c r="B1240"/>
      <x:c r="C1240"/>
      <x:c r="D1240"/>
      <x:c r="E1240"/>
      <x:c r="F1240"/>
      <x:c r="G1240"/>
    </x:row>
    <x:row r="1241">
      <x:c r="A1241"/>
      <x:c r="B1241"/>
      <x:c r="C1241"/>
      <x:c r="D1241"/>
      <x:c r="E1241"/>
      <x:c r="F1241"/>
      <x:c r="G1241"/>
    </x:row>
    <x:row r="1242">
      <x:c r="A1242"/>
      <x:c r="B1242"/>
      <x:c r="C1242"/>
      <x:c r="D1242"/>
      <x:c r="E1242"/>
      <x:c r="F1242"/>
      <x:c r="G1242"/>
    </x:row>
    <x:row r="1243">
      <x:c r="A1243"/>
      <x:c r="B1243"/>
      <x:c r="C1243"/>
      <x:c r="D1243"/>
      <x:c r="E1243"/>
      <x:c r="F1243"/>
      <x:c r="G1243"/>
    </x:row>
    <x:row r="1244">
      <x:c r="A1244"/>
      <x:c r="B1244"/>
      <x:c r="C1244"/>
      <x:c r="D1244"/>
      <x:c r="E1244"/>
      <x:c r="F1244"/>
      <x:c r="G1244"/>
    </x:row>
    <x:row r="1245">
      <x:c r="A1245"/>
      <x:c r="B1245"/>
      <x:c r="C1245"/>
      <x:c r="D1245"/>
      <x:c r="E1245"/>
      <x:c r="F1245"/>
      <x:c r="G1245"/>
    </x:row>
    <x:row r="1246">
      <x:c r="A1246"/>
      <x:c r="B1246"/>
      <x:c r="C1246"/>
      <x:c r="D1246"/>
      <x:c r="E1246"/>
      <x:c r="F1246"/>
      <x:c r="G1246"/>
    </x:row>
    <x:row r="1247">
      <x:c r="A1247"/>
      <x:c r="B1247"/>
      <x:c r="C1247"/>
      <x:c r="D1247"/>
      <x:c r="E1247"/>
      <x:c r="F1247"/>
      <x:c r="G1247"/>
    </x:row>
    <x:row r="1248">
      <x:c r="A1248"/>
      <x:c r="B1248"/>
      <x:c r="C1248"/>
      <x:c r="D1248"/>
      <x:c r="E1248"/>
      <x:c r="F1248"/>
      <x:c r="G1248"/>
    </x:row>
    <x:row r="1249">
      <x:c r="A1249"/>
      <x:c r="B1249"/>
      <x:c r="C1249"/>
      <x:c r="D1249"/>
      <x:c r="E1249"/>
      <x:c r="F1249"/>
      <x:c r="G1249"/>
    </x:row>
    <x:row r="1250">
      <x:c r="A1250"/>
      <x:c r="B1250"/>
      <x:c r="C1250"/>
      <x:c r="D1250"/>
      <x:c r="E1250"/>
      <x:c r="F1250"/>
      <x:c r="G1250"/>
    </x:row>
    <x:row r="1251">
      <x:c r="A1251"/>
      <x:c r="B1251"/>
      <x:c r="C1251"/>
      <x:c r="D1251"/>
      <x:c r="E1251"/>
      <x:c r="F1251"/>
      <x:c r="G1251"/>
    </x:row>
    <x:row r="1252">
      <x:c r="A1252"/>
      <x:c r="B1252"/>
      <x:c r="C1252"/>
      <x:c r="D1252"/>
      <x:c r="E1252"/>
      <x:c r="F1252"/>
      <x:c r="G1252"/>
    </x:row>
    <x:row r="1253">
      <x:c r="A1253"/>
      <x:c r="B1253"/>
      <x:c r="C1253"/>
      <x:c r="D1253"/>
      <x:c r="E1253"/>
      <x:c r="F1253"/>
      <x:c r="G1253"/>
    </x:row>
    <x:row r="1254">
      <x:c r="A1254"/>
      <x:c r="B1254"/>
      <x:c r="C1254"/>
      <x:c r="D1254"/>
      <x:c r="E1254"/>
      <x:c r="F1254"/>
      <x:c r="G1254"/>
    </x:row>
    <x:row r="1255">
      <x:c r="A1255"/>
      <x:c r="B1255"/>
      <x:c r="C1255"/>
      <x:c r="D1255"/>
      <x:c r="E1255"/>
      <x:c r="F1255"/>
      <x:c r="G1255"/>
    </x:row>
    <x:row r="1256">
      <x:c r="A1256"/>
      <x:c r="B1256"/>
      <x:c r="C1256"/>
      <x:c r="D1256"/>
      <x:c r="E1256"/>
      <x:c r="F1256"/>
      <x:c r="G1256"/>
    </x:row>
    <x:row r="1257">
      <x:c r="A1257"/>
      <x:c r="B1257"/>
      <x:c r="C1257"/>
      <x:c r="D1257"/>
      <x:c r="E1257"/>
      <x:c r="F1257"/>
      <x:c r="G1257"/>
    </x:row>
    <x:row r="1258">
      <x:c r="A1258"/>
      <x:c r="B1258"/>
      <x:c r="C1258"/>
      <x:c r="D1258"/>
      <x:c r="E1258"/>
      <x:c r="F1258"/>
      <x:c r="G1258"/>
    </x:row>
    <x:row r="1259">
      <x:c r="A1259"/>
      <x:c r="B1259"/>
      <x:c r="C1259"/>
      <x:c r="D1259"/>
      <x:c r="E1259"/>
      <x:c r="F1259"/>
      <x:c r="G1259"/>
    </x:row>
    <x:row r="1260">
      <x:c r="A1260"/>
      <x:c r="B1260"/>
      <x:c r="C1260"/>
      <x:c r="D1260"/>
      <x:c r="E1260"/>
      <x:c r="F1260"/>
      <x:c r="G1260"/>
    </x:row>
    <x:row r="1261">
      <x:c r="A1261"/>
      <x:c r="B1261"/>
      <x:c r="C1261"/>
      <x:c r="D1261"/>
      <x:c r="E1261"/>
      <x:c r="F1261"/>
      <x:c r="G1261"/>
    </x:row>
    <x:row r="1262">
      <x:c r="A1262"/>
      <x:c r="B1262"/>
      <x:c r="C1262"/>
      <x:c r="D1262"/>
      <x:c r="E1262"/>
      <x:c r="F1262"/>
      <x:c r="G1262"/>
    </x:row>
    <x:row r="1263">
      <x:c r="A1263"/>
      <x:c r="B1263"/>
      <x:c r="C1263"/>
      <x:c r="D1263"/>
      <x:c r="E1263"/>
      <x:c r="F1263"/>
      <x:c r="G1263"/>
    </x:row>
    <x:row r="1264">
      <x:c r="A1264"/>
      <x:c r="B1264"/>
      <x:c r="C1264"/>
      <x:c r="D1264"/>
      <x:c r="E1264"/>
      <x:c r="F1264"/>
      <x:c r="G1264"/>
    </x:row>
    <x:row r="1265">
      <x:c r="A1265"/>
      <x:c r="B1265"/>
      <x:c r="C1265"/>
      <x:c r="D1265"/>
      <x:c r="E1265"/>
      <x:c r="F1265"/>
      <x:c r="G1265"/>
    </x:row>
    <x:row r="1266">
      <x:c r="A1266"/>
      <x:c r="B1266"/>
      <x:c r="C1266"/>
      <x:c r="D1266"/>
      <x:c r="E1266"/>
      <x:c r="F1266"/>
      <x:c r="G1266"/>
    </x:row>
    <x:row r="1267">
      <x:c r="A1267"/>
      <x:c r="B1267"/>
      <x:c r="C1267"/>
      <x:c r="D1267"/>
      <x:c r="E1267"/>
      <x:c r="F1267"/>
      <x:c r="G1267"/>
    </x:row>
    <x:row r="1268">
      <x:c r="A1268"/>
      <x:c r="B1268"/>
      <x:c r="C1268"/>
      <x:c r="D1268"/>
      <x:c r="E1268"/>
      <x:c r="F1268"/>
      <x:c r="G1268"/>
    </x:row>
    <x:row r="1269">
      <x:c r="A1269"/>
      <x:c r="B1269"/>
      <x:c r="C1269"/>
      <x:c r="D1269"/>
      <x:c r="E1269"/>
      <x:c r="F1269"/>
      <x:c r="G1269"/>
    </x:row>
    <x:row r="1270">
      <x:c r="A1270"/>
      <x:c r="B1270"/>
      <x:c r="C1270"/>
      <x:c r="D1270"/>
      <x:c r="E1270"/>
      <x:c r="F1270"/>
      <x:c r="G1270"/>
    </x:row>
    <x:row r="1271">
      <x:c r="A1271"/>
      <x:c r="B1271"/>
      <x:c r="C1271"/>
      <x:c r="D1271"/>
      <x:c r="E1271"/>
      <x:c r="F1271"/>
      <x:c r="G1271"/>
    </x:row>
    <x:row r="1272">
      <x:c r="A1272"/>
      <x:c r="B1272"/>
      <x:c r="C1272"/>
      <x:c r="D1272"/>
      <x:c r="E1272"/>
      <x:c r="F1272"/>
      <x:c r="G1272"/>
    </x:row>
    <x:row r="1273">
      <x:c r="A1273"/>
      <x:c r="B1273"/>
      <x:c r="C1273"/>
      <x:c r="D1273"/>
      <x:c r="E1273"/>
      <x:c r="F1273"/>
      <x:c r="G1273"/>
    </x:row>
    <x:row r="1274">
      <x:c r="A1274"/>
      <x:c r="B1274"/>
      <x:c r="C1274"/>
      <x:c r="D1274"/>
      <x:c r="E1274"/>
      <x:c r="F1274"/>
      <x:c r="G1274"/>
    </x:row>
    <x:row r="1275">
      <x:c r="A1275"/>
      <x:c r="B1275"/>
      <x:c r="C1275"/>
      <x:c r="D1275"/>
      <x:c r="E1275"/>
      <x:c r="F1275"/>
      <x:c r="G1275"/>
    </x:row>
    <x:row r="1276">
      <x:c r="A1276"/>
      <x:c r="B1276"/>
      <x:c r="C1276"/>
      <x:c r="D1276"/>
      <x:c r="E1276"/>
      <x:c r="F1276"/>
      <x:c r="G1276"/>
    </x:row>
    <x:row r="1277">
      <x:c r="A1277"/>
      <x:c r="B1277"/>
      <x:c r="C1277"/>
      <x:c r="D1277"/>
      <x:c r="E1277"/>
      <x:c r="F1277"/>
      <x:c r="G1277"/>
    </x:row>
    <x:row r="1278">
      <x:c r="A1278"/>
      <x:c r="B1278"/>
      <x:c r="C1278"/>
      <x:c r="D1278"/>
      <x:c r="E1278"/>
      <x:c r="F1278"/>
      <x:c r="G1278"/>
    </x:row>
    <x:row r="1279">
      <x:c r="A1279"/>
      <x:c r="B1279"/>
      <x:c r="C1279"/>
      <x:c r="D1279"/>
      <x:c r="E1279"/>
      <x:c r="F1279"/>
      <x:c r="G1279"/>
    </x:row>
    <x:row r="1280">
      <x:c r="A1280"/>
      <x:c r="B1280"/>
      <x:c r="C1280"/>
      <x:c r="D1280"/>
      <x:c r="E1280"/>
      <x:c r="F1280"/>
      <x:c r="G1280"/>
    </x:row>
    <x:row r="1281">
      <x:c r="A1281"/>
      <x:c r="B1281"/>
      <x:c r="C1281"/>
      <x:c r="D1281"/>
      <x:c r="E1281"/>
      <x:c r="F1281"/>
      <x:c r="G1281"/>
    </x:row>
    <x:row r="1282">
      <x:c r="A1282"/>
      <x:c r="B1282"/>
      <x:c r="C1282"/>
      <x:c r="D1282"/>
      <x:c r="E1282"/>
      <x:c r="F1282"/>
      <x:c r="G1282"/>
    </x:row>
    <x:row r="1283">
      <x:c r="A1283"/>
      <x:c r="B1283"/>
      <x:c r="C1283"/>
      <x:c r="D1283"/>
      <x:c r="E1283"/>
      <x:c r="F1283"/>
      <x:c r="G1283"/>
    </x:row>
    <x:row r="1284">
      <x:c r="A1284"/>
      <x:c r="B1284"/>
      <x:c r="C1284"/>
      <x:c r="D1284"/>
      <x:c r="E1284"/>
      <x:c r="F1284"/>
      <x:c r="G1284"/>
    </x:row>
    <x:row r="1285">
      <x:c r="A1285"/>
      <x:c r="B1285"/>
      <x:c r="C1285"/>
      <x:c r="D1285"/>
      <x:c r="E1285"/>
      <x:c r="F1285"/>
      <x:c r="G1285"/>
    </x:row>
    <x:row r="1286">
      <x:c r="A1286"/>
      <x:c r="B1286"/>
      <x:c r="C1286"/>
      <x:c r="D1286"/>
      <x:c r="E1286"/>
      <x:c r="F1286"/>
      <x:c r="G1286"/>
    </x:row>
    <x:row r="1287">
      <x:c r="A1287"/>
      <x:c r="B1287"/>
      <x:c r="C1287"/>
      <x:c r="D1287"/>
      <x:c r="E1287"/>
      <x:c r="F1287"/>
      <x:c r="G1287"/>
    </x:row>
    <x:row r="1288">
      <x:c r="A1288"/>
      <x:c r="B1288"/>
      <x:c r="C1288"/>
      <x:c r="D1288"/>
      <x:c r="E1288"/>
      <x:c r="F1288"/>
      <x:c r="G1288"/>
    </x:row>
    <x:row r="1289">
      <x:c r="A1289"/>
      <x:c r="B1289"/>
      <x:c r="C1289"/>
      <x:c r="D1289"/>
      <x:c r="E1289"/>
      <x:c r="F1289"/>
      <x:c r="G1289"/>
    </x:row>
    <x:row r="1290">
      <x:c r="A1290"/>
      <x:c r="B1290"/>
      <x:c r="C1290"/>
      <x:c r="D1290"/>
      <x:c r="E1290"/>
      <x:c r="F1290"/>
      <x:c r="G1290"/>
    </x:row>
    <x:row r="1291">
      <x:c r="A1291"/>
      <x:c r="B1291"/>
      <x:c r="C1291"/>
      <x:c r="D1291"/>
      <x:c r="E1291"/>
      <x:c r="F1291"/>
      <x:c r="G1291"/>
    </x:row>
    <x:row r="1292">
      <x:c r="A1292"/>
      <x:c r="B1292"/>
      <x:c r="C1292"/>
      <x:c r="D1292"/>
      <x:c r="E1292"/>
      <x:c r="F1292"/>
      <x:c r="G1292"/>
    </x:row>
    <x:row r="1293">
      <x:c r="A1293"/>
      <x:c r="B1293"/>
      <x:c r="C1293"/>
      <x:c r="D1293"/>
      <x:c r="E1293"/>
      <x:c r="F1293"/>
      <x:c r="G1293"/>
    </x:row>
    <x:row r="1294">
      <x:c r="A1294"/>
      <x:c r="B1294"/>
      <x:c r="C1294"/>
      <x:c r="D1294"/>
      <x:c r="E1294"/>
      <x:c r="F1294"/>
      <x:c r="G1294"/>
    </x:row>
    <x:row r="1295">
      <x:c r="A1295"/>
      <x:c r="B1295"/>
      <x:c r="C1295"/>
      <x:c r="D1295"/>
      <x:c r="E1295"/>
      <x:c r="F1295"/>
      <x:c r="G1295"/>
    </x:row>
    <x:row r="1296">
      <x:c r="A1296"/>
      <x:c r="B1296"/>
      <x:c r="C1296"/>
      <x:c r="D1296"/>
      <x:c r="E1296"/>
      <x:c r="F1296"/>
      <x:c r="G1296"/>
    </x:row>
    <x:row r="1297">
      <x:c r="A1297"/>
      <x:c r="B1297"/>
      <x:c r="C1297"/>
      <x:c r="D1297"/>
      <x:c r="E1297"/>
      <x:c r="F1297"/>
      <x:c r="G1297"/>
    </x:row>
    <x:row r="1298">
      <x:c r="A1298"/>
      <x:c r="B1298"/>
      <x:c r="C1298"/>
      <x:c r="D1298"/>
      <x:c r="E1298"/>
      <x:c r="F1298"/>
      <x:c r="G1298"/>
    </x:row>
    <x:row r="1299">
      <x:c r="A1299"/>
      <x:c r="B1299"/>
      <x:c r="C1299"/>
      <x:c r="D1299"/>
      <x:c r="E1299"/>
      <x:c r="F1299"/>
      <x:c r="G1299"/>
    </x:row>
    <x:row r="1300">
      <x:c r="A1300"/>
      <x:c r="B1300"/>
      <x:c r="C1300"/>
      <x:c r="D1300"/>
      <x:c r="E1300"/>
      <x:c r="F1300"/>
      <x:c r="G1300"/>
    </x:row>
    <x:row r="1301">
      <x:c r="A1301"/>
      <x:c r="B1301"/>
      <x:c r="C1301"/>
      <x:c r="D1301"/>
      <x:c r="E1301"/>
      <x:c r="F1301"/>
      <x:c r="G1301"/>
    </x:row>
    <x:row r="1302">
      <x:c r="A1302"/>
      <x:c r="B1302"/>
      <x:c r="C1302"/>
      <x:c r="D1302"/>
      <x:c r="E1302"/>
      <x:c r="F1302"/>
      <x:c r="G1302"/>
    </x:row>
    <x:row r="1303">
      <x:c r="A1303"/>
      <x:c r="B1303"/>
      <x:c r="C1303"/>
      <x:c r="D1303"/>
      <x:c r="E1303"/>
      <x:c r="F1303"/>
      <x:c r="G1303"/>
    </x:row>
    <x:row r="1304">
      <x:c r="A1304"/>
      <x:c r="B1304"/>
      <x:c r="C1304"/>
      <x:c r="D1304"/>
      <x:c r="E1304"/>
      <x:c r="F1304"/>
      <x:c r="G1304"/>
    </x:row>
    <x:row r="1305">
      <x:c r="A1305"/>
      <x:c r="B1305"/>
      <x:c r="C1305"/>
      <x:c r="D1305"/>
      <x:c r="E1305"/>
      <x:c r="F1305"/>
      <x:c r="G1305"/>
    </x:row>
    <x:row r="1306">
      <x:c r="A1306"/>
      <x:c r="B1306"/>
      <x:c r="C1306"/>
      <x:c r="D1306"/>
      <x:c r="E1306"/>
      <x:c r="F1306"/>
      <x:c r="G1306"/>
    </x:row>
    <x:row r="1307">
      <x:c r="A1307"/>
      <x:c r="B1307"/>
      <x:c r="C1307"/>
      <x:c r="D1307"/>
      <x:c r="E1307"/>
      <x:c r="F1307"/>
      <x:c r="G1307"/>
    </x:row>
    <x:row r="1308">
      <x:c r="A1308"/>
      <x:c r="B1308"/>
      <x:c r="C1308"/>
      <x:c r="D1308"/>
      <x:c r="E1308"/>
      <x:c r="F1308"/>
      <x:c r="G1308"/>
    </x:row>
    <x:row r="1309">
      <x:c r="A1309"/>
      <x:c r="B1309"/>
      <x:c r="C1309"/>
      <x:c r="D1309"/>
      <x:c r="E1309"/>
      <x:c r="F1309"/>
      <x:c r="G1309"/>
    </x:row>
    <x:row r="1310">
      <x:c r="A1310"/>
      <x:c r="B1310"/>
      <x:c r="C1310"/>
      <x:c r="D1310"/>
      <x:c r="E1310"/>
      <x:c r="F1310"/>
      <x:c r="G1310"/>
    </x:row>
    <x:row r="1311">
      <x:c r="A1311"/>
      <x:c r="B1311"/>
      <x:c r="C1311"/>
      <x:c r="D1311"/>
      <x:c r="E1311"/>
      <x:c r="F1311"/>
      <x:c r="G1311"/>
    </x:row>
    <x:row r="1312">
      <x:c r="A1312"/>
      <x:c r="B1312"/>
      <x:c r="C1312"/>
      <x:c r="D1312"/>
      <x:c r="E1312"/>
      <x:c r="F1312"/>
      <x:c r="G1312"/>
    </x:row>
    <x:row r="1313">
      <x:c r="A1313"/>
      <x:c r="B1313"/>
      <x:c r="C1313"/>
      <x:c r="D1313"/>
      <x:c r="E1313"/>
      <x:c r="F1313"/>
      <x:c r="G1313"/>
    </x:row>
    <x:row r="1314">
      <x:c r="A1314"/>
      <x:c r="B1314"/>
      <x:c r="C1314"/>
      <x:c r="D1314"/>
      <x:c r="E1314"/>
      <x:c r="F1314"/>
      <x:c r="G1314"/>
    </x:row>
    <x:row r="1315">
      <x:c r="A1315"/>
      <x:c r="B1315"/>
      <x:c r="C1315"/>
      <x:c r="D1315"/>
      <x:c r="E1315"/>
      <x:c r="F1315"/>
      <x:c r="G1315"/>
    </x:row>
    <x:row r="1316">
      <x:c r="A1316"/>
      <x:c r="B1316"/>
      <x:c r="C1316"/>
      <x:c r="D1316"/>
      <x:c r="E1316"/>
      <x:c r="F1316"/>
      <x:c r="G1316"/>
    </x:row>
    <x:row r="1317">
      <x:c r="A1317"/>
      <x:c r="B1317"/>
      <x:c r="C1317"/>
      <x:c r="D1317"/>
      <x:c r="E1317"/>
      <x:c r="F1317"/>
      <x:c r="G1317"/>
    </x:row>
    <x:row r="1318">
      <x:c r="A1318"/>
      <x:c r="B1318"/>
      <x:c r="C1318"/>
      <x:c r="D1318"/>
      <x:c r="E1318"/>
      <x:c r="F1318"/>
      <x:c r="G1318"/>
    </x:row>
    <x:row r="1319">
      <x:c r="A1319"/>
      <x:c r="B1319"/>
      <x:c r="C1319"/>
      <x:c r="D1319"/>
      <x:c r="E1319"/>
      <x:c r="F1319"/>
      <x:c r="G1319"/>
    </x:row>
    <x:row r="1320">
      <x:c r="A1320"/>
      <x:c r="B1320"/>
      <x:c r="C1320"/>
      <x:c r="D1320"/>
      <x:c r="E1320"/>
      <x:c r="F1320"/>
      <x:c r="G1320"/>
    </x:row>
    <x:row r="1321">
      <x:c r="A1321"/>
      <x:c r="B1321"/>
      <x:c r="C1321"/>
      <x:c r="D1321"/>
      <x:c r="E1321"/>
      <x:c r="F1321"/>
      <x:c r="G1321"/>
    </x:row>
    <x:row r="1322">
      <x:c r="A1322"/>
      <x:c r="B1322"/>
      <x:c r="C1322"/>
      <x:c r="D1322"/>
      <x:c r="E1322"/>
      <x:c r="F1322"/>
      <x:c r="G1322"/>
    </x:row>
    <x:row r="1323">
      <x:c r="A1323"/>
      <x:c r="B1323"/>
      <x:c r="C1323"/>
      <x:c r="D1323"/>
      <x:c r="E1323"/>
      <x:c r="F1323"/>
      <x:c r="G1323"/>
    </x:row>
    <x:row r="1324">
      <x:c r="A1324"/>
      <x:c r="B1324"/>
      <x:c r="C1324"/>
      <x:c r="D1324"/>
      <x:c r="E1324"/>
      <x:c r="F1324"/>
      <x:c r="G1324"/>
    </x:row>
    <x:row r="1325">
      <x:c r="A1325"/>
      <x:c r="B1325"/>
      <x:c r="C1325"/>
      <x:c r="D1325"/>
      <x:c r="E1325"/>
      <x:c r="F1325"/>
      <x:c r="G1325"/>
    </x:row>
    <x:row r="1326">
      <x:c r="A1326"/>
      <x:c r="B1326"/>
      <x:c r="C1326"/>
      <x:c r="D1326"/>
      <x:c r="E1326"/>
      <x:c r="F1326"/>
      <x:c r="G1326"/>
    </x:row>
    <x:row r="1327">
      <x:c r="A1327"/>
      <x:c r="B1327"/>
      <x:c r="C1327"/>
      <x:c r="D1327"/>
      <x:c r="E1327"/>
      <x:c r="F1327"/>
      <x:c r="G1327"/>
    </x:row>
    <x:row r="1328">
      <x:c r="A1328"/>
      <x:c r="B1328"/>
      <x:c r="C1328"/>
      <x:c r="D1328"/>
      <x:c r="E1328"/>
      <x:c r="F1328"/>
      <x:c r="G1328"/>
    </x:row>
    <x:row r="1329">
      <x:c r="A1329"/>
      <x:c r="B1329"/>
      <x:c r="C1329"/>
      <x:c r="D1329"/>
      <x:c r="E1329"/>
      <x:c r="F1329"/>
      <x:c r="G1329"/>
    </x:row>
    <x:row r="1330">
      <x:c r="A1330"/>
      <x:c r="B1330"/>
      <x:c r="C1330"/>
      <x:c r="D1330"/>
      <x:c r="E1330"/>
      <x:c r="F1330"/>
      <x:c r="G1330"/>
    </x:row>
    <x:row r="1331">
      <x:c r="A1331"/>
      <x:c r="B1331"/>
      <x:c r="C1331"/>
      <x:c r="D1331"/>
      <x:c r="E1331"/>
      <x:c r="F1331"/>
      <x:c r="G1331"/>
    </x:row>
    <x:row r="1332">
      <x:c r="A1332"/>
      <x:c r="B1332"/>
      <x:c r="C1332"/>
      <x:c r="D1332"/>
      <x:c r="E1332"/>
      <x:c r="F1332"/>
      <x:c r="G1332"/>
    </x:row>
    <x:row r="1333">
      <x:c r="A1333"/>
      <x:c r="B1333"/>
      <x:c r="C1333"/>
      <x:c r="D1333"/>
      <x:c r="E1333"/>
      <x:c r="F1333"/>
      <x:c r="G1333"/>
    </x:row>
    <x:row r="1334">
      <x:c r="A1334"/>
      <x:c r="B1334"/>
      <x:c r="C1334"/>
      <x:c r="D1334"/>
      <x:c r="E1334"/>
      <x:c r="F1334"/>
      <x:c r="G1334"/>
    </x:row>
    <x:row r="1335">
      <x:c r="A1335"/>
      <x:c r="B1335"/>
      <x:c r="C1335"/>
      <x:c r="D1335"/>
      <x:c r="E1335"/>
      <x:c r="F1335"/>
      <x:c r="G1335"/>
    </x:row>
    <x:row r="1336">
      <x:c r="A1336"/>
      <x:c r="B1336"/>
      <x:c r="C1336"/>
      <x:c r="D1336"/>
      <x:c r="E1336"/>
      <x:c r="F1336"/>
      <x:c r="G1336"/>
    </x:row>
    <x:row r="1337">
      <x:c r="A1337"/>
      <x:c r="B1337"/>
      <x:c r="C1337"/>
      <x:c r="D1337"/>
      <x:c r="E1337"/>
      <x:c r="F1337"/>
      <x:c r="G1337"/>
    </x:row>
    <x:row r="1338">
      <x:c r="A1338"/>
      <x:c r="B1338"/>
      <x:c r="C1338"/>
      <x:c r="D1338"/>
      <x:c r="E1338"/>
      <x:c r="F1338"/>
      <x:c r="G1338"/>
    </x:row>
    <x:row r="1339">
      <x:c r="A1339"/>
      <x:c r="B1339"/>
      <x:c r="C1339"/>
      <x:c r="D1339"/>
      <x:c r="E1339"/>
      <x:c r="F1339"/>
      <x:c r="G1339"/>
    </x:row>
    <x:row r="1340">
      <x:c r="A1340"/>
      <x:c r="B1340"/>
      <x:c r="C1340"/>
      <x:c r="D1340"/>
      <x:c r="E1340"/>
      <x:c r="F1340"/>
      <x:c r="G1340"/>
    </x:row>
    <x:row r="1341">
      <x:c r="A1341"/>
      <x:c r="B1341"/>
      <x:c r="C1341"/>
      <x:c r="D1341"/>
      <x:c r="E1341"/>
      <x:c r="F1341"/>
      <x:c r="G1341"/>
    </x:row>
    <x:row r="1342">
      <x:c r="A1342"/>
      <x:c r="B1342"/>
      <x:c r="C1342"/>
      <x:c r="D1342"/>
      <x:c r="E1342"/>
      <x:c r="F1342"/>
      <x:c r="G1342"/>
    </x:row>
    <x:row r="1343">
      <x:c r="A1343"/>
      <x:c r="B1343"/>
      <x:c r="C1343"/>
      <x:c r="D1343"/>
      <x:c r="E1343"/>
      <x:c r="F1343"/>
      <x:c r="G1343"/>
    </x:row>
    <x:row r="1344">
      <x:c r="A1344"/>
      <x:c r="B1344"/>
      <x:c r="C1344"/>
      <x:c r="D1344"/>
      <x:c r="E1344"/>
      <x:c r="F1344"/>
      <x:c r="G1344"/>
    </x:row>
    <x:row r="1345">
      <x:c r="A1345"/>
      <x:c r="B1345"/>
      <x:c r="C1345"/>
      <x:c r="D1345"/>
      <x:c r="E1345"/>
      <x:c r="F1345"/>
      <x:c r="G1345"/>
    </x:row>
    <x:row r="1346">
      <x:c r="A1346"/>
      <x:c r="B1346"/>
      <x:c r="C1346"/>
      <x:c r="D1346"/>
      <x:c r="E1346"/>
      <x:c r="F1346"/>
      <x:c r="G1346"/>
    </x:row>
    <x:row r="1347">
      <x:c r="A1347"/>
      <x:c r="B1347"/>
      <x:c r="C1347"/>
      <x:c r="D1347"/>
      <x:c r="E1347"/>
      <x:c r="F1347"/>
      <x:c r="G1347"/>
    </x:row>
    <x:row r="1348">
      <x:c r="A1348"/>
      <x:c r="B1348"/>
      <x:c r="C1348"/>
      <x:c r="D1348"/>
      <x:c r="E1348"/>
      <x:c r="F1348"/>
      <x:c r="G1348"/>
    </x:row>
    <x:row r="1349">
      <x:c r="A1349"/>
      <x:c r="B1349"/>
      <x:c r="C1349"/>
      <x:c r="D1349"/>
      <x:c r="E1349"/>
      <x:c r="F1349"/>
      <x:c r="G1349"/>
    </x:row>
    <x:row r="1350">
      <x:c r="A1350"/>
      <x:c r="B1350"/>
      <x:c r="C1350"/>
      <x:c r="D1350"/>
      <x:c r="E1350"/>
      <x:c r="F1350"/>
      <x:c r="G1350"/>
    </x:row>
    <x:row r="1351">
      <x:c r="A1351"/>
      <x:c r="B1351"/>
      <x:c r="C1351"/>
      <x:c r="D1351"/>
      <x:c r="E1351"/>
      <x:c r="F1351"/>
      <x:c r="G1351"/>
    </x:row>
    <x:row r="1352">
      <x:c r="A1352"/>
      <x:c r="B1352"/>
      <x:c r="C1352"/>
      <x:c r="D1352"/>
      <x:c r="E1352"/>
      <x:c r="F1352"/>
      <x:c r="G1352"/>
    </x:row>
    <x:row r="1353">
      <x:c r="A1353"/>
      <x:c r="B1353"/>
      <x:c r="C1353"/>
      <x:c r="D1353"/>
      <x:c r="E1353"/>
      <x:c r="F1353"/>
      <x:c r="G1353"/>
    </x:row>
    <x:row r="1354">
      <x:c r="A1354"/>
      <x:c r="B1354"/>
      <x:c r="C1354"/>
      <x:c r="D1354"/>
      <x:c r="E1354"/>
      <x:c r="F1354"/>
      <x:c r="G1354"/>
    </x:row>
    <x:row r="1355">
      <x:c r="A1355"/>
      <x:c r="B1355"/>
      <x:c r="C1355"/>
      <x:c r="D1355"/>
      <x:c r="E1355"/>
      <x:c r="F1355"/>
      <x:c r="G1355"/>
    </x:row>
    <x:row r="1356">
      <x:c r="A1356"/>
      <x:c r="B1356"/>
      <x:c r="C1356"/>
      <x:c r="D1356"/>
      <x:c r="E1356"/>
      <x:c r="F1356"/>
      <x:c r="G1356"/>
    </x:row>
    <x:row r="1357">
      <x:c r="A1357"/>
      <x:c r="B1357"/>
      <x:c r="C1357"/>
      <x:c r="D1357"/>
      <x:c r="E1357"/>
      <x:c r="F1357"/>
      <x:c r="G1357"/>
    </x:row>
    <x:row r="1358">
      <x:c r="A1358"/>
      <x:c r="B1358"/>
      <x:c r="C1358"/>
      <x:c r="D1358"/>
      <x:c r="E1358"/>
      <x:c r="F1358"/>
      <x:c r="G1358"/>
    </x:row>
    <x:row r="1359">
      <x:c r="A1359"/>
      <x:c r="B1359"/>
      <x:c r="C1359"/>
      <x:c r="D1359"/>
      <x:c r="E1359"/>
      <x:c r="F1359"/>
      <x:c r="G1359"/>
    </x:row>
    <x:row r="1360">
      <x:c r="A1360"/>
      <x:c r="B1360"/>
      <x:c r="C1360"/>
      <x:c r="D1360"/>
      <x:c r="E1360"/>
      <x:c r="F1360"/>
      <x:c r="G1360"/>
    </x:row>
    <x:row r="1361">
      <x:c r="A1361"/>
      <x:c r="B1361"/>
      <x:c r="C1361"/>
      <x:c r="D1361"/>
      <x:c r="E1361"/>
      <x:c r="F1361"/>
      <x:c r="G1361"/>
    </x:row>
    <x:row r="1362">
      <x:c r="A1362"/>
      <x:c r="B1362"/>
      <x:c r="C1362"/>
      <x:c r="D1362"/>
      <x:c r="E1362"/>
      <x:c r="F1362"/>
      <x:c r="G1362"/>
    </x:row>
    <x:row r="1363">
      <x:c r="A1363"/>
      <x:c r="B1363"/>
      <x:c r="C1363"/>
      <x:c r="D1363"/>
      <x:c r="E1363"/>
      <x:c r="F1363"/>
      <x:c r="G1363"/>
    </x:row>
    <x:row r="1364">
      <x:c r="A1364"/>
      <x:c r="B1364"/>
      <x:c r="C1364"/>
      <x:c r="D1364"/>
      <x:c r="E1364"/>
      <x:c r="F1364"/>
      <x:c r="G1364"/>
    </x:row>
    <x:row r="1365">
      <x:c r="A1365"/>
      <x:c r="B1365"/>
      <x:c r="C1365"/>
      <x:c r="D1365"/>
      <x:c r="E1365"/>
      <x:c r="F1365"/>
      <x:c r="G1365"/>
    </x:row>
    <x:row r="1366">
      <x:c r="A1366"/>
      <x:c r="B1366"/>
      <x:c r="C1366"/>
      <x:c r="D1366"/>
      <x:c r="E1366"/>
      <x:c r="F1366"/>
      <x:c r="G1366"/>
    </x:row>
    <x:row r="1367">
      <x:c r="A1367"/>
      <x:c r="B1367"/>
      <x:c r="C1367"/>
      <x:c r="D1367"/>
      <x:c r="E1367"/>
      <x:c r="F1367"/>
      <x:c r="G1367"/>
    </x:row>
    <x:row r="1368">
      <x:c r="A1368"/>
      <x:c r="B1368"/>
      <x:c r="C1368"/>
      <x:c r="D1368"/>
      <x:c r="E1368"/>
      <x:c r="F1368"/>
      <x:c r="G1368"/>
    </x:row>
    <x:row r="1369">
      <x:c r="A1369"/>
      <x:c r="B1369"/>
      <x:c r="C1369"/>
      <x:c r="D1369"/>
      <x:c r="E1369"/>
      <x:c r="F1369"/>
      <x:c r="G1369"/>
    </x:row>
    <x:row r="1370">
      <x:c r="A1370"/>
      <x:c r="B1370"/>
      <x:c r="C1370"/>
      <x:c r="D1370"/>
      <x:c r="E1370"/>
      <x:c r="F1370"/>
      <x:c r="G1370"/>
    </x:row>
    <x:row r="1371">
      <x:c r="A1371"/>
      <x:c r="B1371"/>
      <x:c r="C1371"/>
      <x:c r="D1371"/>
      <x:c r="E1371"/>
      <x:c r="F1371"/>
      <x:c r="G1371"/>
    </x:row>
    <x:row r="1372">
      <x:c r="A1372"/>
      <x:c r="B1372"/>
      <x:c r="C1372"/>
      <x:c r="D1372"/>
      <x:c r="E1372"/>
      <x:c r="F1372"/>
      <x:c r="G1372"/>
    </x:row>
    <x:row r="1373">
      <x:c r="A1373"/>
      <x:c r="B1373"/>
      <x:c r="C1373"/>
      <x:c r="D1373"/>
      <x:c r="E1373"/>
      <x:c r="F1373"/>
      <x:c r="G1373"/>
    </x:row>
    <x:row r="1374">
      <x:c r="A1374"/>
      <x:c r="B1374"/>
      <x:c r="C1374"/>
      <x:c r="D1374"/>
      <x:c r="E1374"/>
      <x:c r="F1374"/>
      <x:c r="G1374"/>
    </x:row>
    <x:row r="1375">
      <x:c r="A1375"/>
      <x:c r="B1375"/>
      <x:c r="C1375"/>
      <x:c r="D1375"/>
      <x:c r="E1375"/>
      <x:c r="F1375"/>
      <x:c r="G1375"/>
    </x:row>
    <x:row r="1376">
      <x:c r="A1376"/>
      <x:c r="B1376"/>
      <x:c r="C1376"/>
      <x:c r="D1376"/>
      <x:c r="E1376"/>
      <x:c r="F1376"/>
      <x:c r="G1376"/>
    </x:row>
    <x:row r="1377">
      <x:c r="A1377"/>
      <x:c r="B1377"/>
      <x:c r="C1377"/>
      <x:c r="D1377"/>
      <x:c r="E1377"/>
      <x:c r="F1377"/>
      <x:c r="G1377"/>
    </x:row>
    <x:row r="1378">
      <x:c r="A1378"/>
      <x:c r="B1378"/>
      <x:c r="C1378"/>
      <x:c r="D1378"/>
      <x:c r="E1378"/>
      <x:c r="F1378"/>
      <x:c r="G1378"/>
    </x:row>
    <x:row r="1379">
      <x:c r="A1379"/>
      <x:c r="B1379"/>
      <x:c r="C1379"/>
      <x:c r="D1379"/>
      <x:c r="E1379"/>
      <x:c r="F1379"/>
      <x:c r="G1379"/>
    </x:row>
    <x:row r="1380">
      <x:c r="A1380"/>
      <x:c r="B1380"/>
      <x:c r="C1380"/>
      <x:c r="D1380"/>
      <x:c r="E1380"/>
      <x:c r="F1380"/>
      <x:c r="G1380"/>
    </x:row>
    <x:row r="1381">
      <x:c r="A1381"/>
      <x:c r="B1381"/>
      <x:c r="C1381"/>
      <x:c r="D1381"/>
      <x:c r="E1381"/>
      <x:c r="F1381"/>
      <x:c r="G1381"/>
    </x:row>
    <x:row r="1382">
      <x:c r="A1382"/>
      <x:c r="B1382"/>
      <x:c r="C1382"/>
      <x:c r="D1382"/>
      <x:c r="E1382"/>
      <x:c r="F1382"/>
      <x:c r="G1382"/>
    </x:row>
    <x:row r="1383">
      <x:c r="A1383"/>
      <x:c r="B1383"/>
      <x:c r="C1383"/>
      <x:c r="D1383"/>
      <x:c r="E1383"/>
      <x:c r="F1383"/>
      <x:c r="G1383"/>
    </x:row>
    <x:row r="1384">
      <x:c r="A1384"/>
      <x:c r="B1384"/>
      <x:c r="C1384"/>
      <x:c r="D1384"/>
      <x:c r="E1384"/>
      <x:c r="F1384"/>
      <x:c r="G1384"/>
    </x:row>
    <x:row r="1385">
      <x:c r="A1385"/>
      <x:c r="B1385"/>
      <x:c r="C1385"/>
      <x:c r="D1385"/>
      <x:c r="E1385"/>
      <x:c r="F1385"/>
      <x:c r="G1385"/>
    </x:row>
    <x:row r="1386">
      <x:c r="A1386"/>
      <x:c r="B1386"/>
      <x:c r="C1386"/>
      <x:c r="D1386"/>
      <x:c r="E1386"/>
      <x:c r="F1386"/>
      <x:c r="G1386"/>
    </x:row>
    <x:row r="1387">
      <x:c r="A1387"/>
      <x:c r="B1387"/>
      <x:c r="C1387"/>
      <x:c r="D1387"/>
      <x:c r="E1387"/>
      <x:c r="F1387"/>
      <x:c r="G1387"/>
    </x:row>
    <x:row r="1388">
      <x:c r="A1388"/>
      <x:c r="B1388"/>
      <x:c r="C1388"/>
      <x:c r="D1388"/>
      <x:c r="E1388"/>
      <x:c r="F1388"/>
      <x:c r="G1388"/>
    </x:row>
    <x:row r="1389">
      <x:c r="A1389"/>
      <x:c r="B1389"/>
      <x:c r="C1389"/>
      <x:c r="D1389"/>
      <x:c r="E1389"/>
      <x:c r="F1389"/>
      <x:c r="G1389"/>
    </x:row>
    <x:row r="1390">
      <x:c r="A1390"/>
      <x:c r="B1390"/>
      <x:c r="C1390"/>
      <x:c r="D1390"/>
      <x:c r="E1390"/>
      <x:c r="F1390"/>
      <x:c r="G1390"/>
    </x:row>
    <x:row r="1391">
      <x:c r="A1391"/>
      <x:c r="B1391"/>
      <x:c r="C1391"/>
      <x:c r="D1391"/>
      <x:c r="E1391"/>
      <x:c r="F1391"/>
      <x:c r="G1391"/>
    </x:row>
    <x:row r="1392">
      <x:c r="A1392"/>
      <x:c r="B1392"/>
      <x:c r="C1392"/>
      <x:c r="D1392"/>
      <x:c r="E1392"/>
      <x:c r="F1392"/>
      <x:c r="G1392"/>
    </x:row>
    <x:row r="1393">
      <x:c r="A1393"/>
      <x:c r="B1393"/>
      <x:c r="C1393"/>
      <x:c r="D1393"/>
      <x:c r="E1393"/>
      <x:c r="F1393"/>
      <x:c r="G1393"/>
    </x:row>
    <x:row r="1394">
      <x:c r="A1394"/>
      <x:c r="B1394"/>
      <x:c r="C1394"/>
      <x:c r="D1394"/>
      <x:c r="E1394"/>
      <x:c r="F1394"/>
      <x:c r="G1394"/>
    </x:row>
    <x:row r="1395">
      <x:c r="A1395"/>
      <x:c r="B1395"/>
      <x:c r="C1395"/>
      <x:c r="D1395"/>
      <x:c r="E1395"/>
      <x:c r="F1395"/>
      <x:c r="G1395"/>
    </x:row>
    <x:row r="1396">
      <x:c r="A1396"/>
      <x:c r="B1396"/>
      <x:c r="C1396"/>
      <x:c r="D1396"/>
      <x:c r="E1396"/>
      <x:c r="F1396"/>
      <x:c r="G1396"/>
    </x:row>
    <x:row r="1397">
      <x:c r="A1397"/>
      <x:c r="B1397"/>
      <x:c r="C1397"/>
      <x:c r="D1397"/>
      <x:c r="E1397"/>
      <x:c r="F1397"/>
      <x:c r="G1397"/>
    </x:row>
    <x:row r="1398">
      <x:c r="A1398"/>
      <x:c r="B1398"/>
      <x:c r="C1398"/>
      <x:c r="D1398"/>
      <x:c r="E1398"/>
      <x:c r="F1398"/>
      <x:c r="G1398"/>
    </x:row>
    <x:row r="1399">
      <x:c r="A1399"/>
      <x:c r="B1399"/>
      <x:c r="C1399"/>
      <x:c r="D1399"/>
      <x:c r="E1399"/>
      <x:c r="F1399"/>
      <x:c r="G1399"/>
    </x:row>
    <x:row r="1400">
      <x:c r="A1400"/>
      <x:c r="B1400"/>
      <x:c r="C1400"/>
      <x:c r="D1400"/>
      <x:c r="E1400"/>
      <x:c r="F1400"/>
      <x:c r="G1400"/>
    </x:row>
    <x:row r="1401">
      <x:c r="A1401"/>
      <x:c r="B1401"/>
      <x:c r="C1401"/>
      <x:c r="D1401"/>
      <x:c r="E1401"/>
      <x:c r="F1401"/>
      <x:c r="G1401"/>
    </x:row>
    <x:row r="1402">
      <x:c r="A1402"/>
      <x:c r="B1402"/>
      <x:c r="C1402"/>
      <x:c r="D1402"/>
      <x:c r="E1402"/>
      <x:c r="F1402"/>
      <x:c r="G1402"/>
    </x:row>
    <x:row r="1403">
      <x:c r="A1403"/>
      <x:c r="B1403"/>
      <x:c r="C1403"/>
      <x:c r="D1403"/>
      <x:c r="E1403"/>
      <x:c r="F1403"/>
      <x:c r="G1403"/>
    </x:row>
    <x:row r="1404">
      <x:c r="A1404"/>
      <x:c r="B1404"/>
      <x:c r="C1404"/>
      <x:c r="D1404"/>
      <x:c r="E1404"/>
      <x:c r="F1404"/>
      <x:c r="G1404"/>
    </x:row>
    <x:row r="1405">
      <x:c r="A1405"/>
      <x:c r="B1405"/>
      <x:c r="C1405"/>
      <x:c r="D1405"/>
      <x:c r="E1405"/>
      <x:c r="F1405"/>
      <x:c r="G1405"/>
    </x:row>
    <x:row r="1406">
      <x:c r="A1406"/>
      <x:c r="B1406"/>
      <x:c r="C1406"/>
      <x:c r="D1406"/>
      <x:c r="E1406"/>
      <x:c r="F1406"/>
      <x:c r="G1406"/>
    </x:row>
    <x:row r="1407">
      <x:c r="A1407"/>
      <x:c r="B1407"/>
      <x:c r="C1407"/>
      <x:c r="D1407"/>
      <x:c r="E1407"/>
      <x:c r="F1407"/>
      <x:c r="G1407"/>
    </x:row>
    <x:row r="1408">
      <x:c r="A1408"/>
      <x:c r="B1408"/>
      <x:c r="C1408"/>
      <x:c r="D1408"/>
      <x:c r="E1408"/>
      <x:c r="F1408"/>
      <x:c r="G1408"/>
    </x:row>
    <x:row r="1409">
      <x:c r="A1409"/>
      <x:c r="B1409"/>
      <x:c r="C1409"/>
      <x:c r="D1409"/>
      <x:c r="E1409"/>
      <x:c r="F1409"/>
      <x:c r="G1409"/>
    </x:row>
    <x:row r="1410">
      <x:c r="A1410"/>
      <x:c r="B1410"/>
      <x:c r="C1410"/>
      <x:c r="D1410"/>
      <x:c r="E1410"/>
      <x:c r="F1410"/>
      <x:c r="G1410"/>
    </x:row>
    <x:row r="1411">
      <x:c r="A1411"/>
      <x:c r="B1411"/>
      <x:c r="C1411"/>
      <x:c r="D1411"/>
      <x:c r="E1411"/>
      <x:c r="F1411"/>
      <x:c r="G1411"/>
    </x:row>
    <x:row r="1412">
      <x:c r="A1412"/>
      <x:c r="B1412"/>
      <x:c r="C1412"/>
      <x:c r="D1412"/>
      <x:c r="E1412"/>
      <x:c r="F1412"/>
      <x:c r="G1412"/>
    </x:row>
    <x:row r="1413">
      <x:c r="A1413"/>
      <x:c r="B1413"/>
      <x:c r="C1413"/>
      <x:c r="D1413"/>
      <x:c r="E1413"/>
      <x:c r="F1413"/>
      <x:c r="G1413"/>
    </x:row>
    <x:row r="1414">
      <x:c r="A1414"/>
      <x:c r="B1414"/>
      <x:c r="C1414"/>
      <x:c r="D1414"/>
      <x:c r="E1414"/>
      <x:c r="F1414"/>
      <x:c r="G1414"/>
    </x:row>
    <x:row r="1415">
      <x:c r="A1415"/>
      <x:c r="B1415"/>
      <x:c r="C1415"/>
      <x:c r="D1415"/>
      <x:c r="E1415"/>
      <x:c r="F1415"/>
      <x:c r="G1415"/>
    </x:row>
    <x:row r="1416">
      <x:c r="A1416"/>
      <x:c r="B1416"/>
      <x:c r="C1416"/>
      <x:c r="D1416"/>
      <x:c r="E1416"/>
      <x:c r="F1416"/>
      <x:c r="G1416"/>
    </x:row>
    <x:row r="1417">
      <x:c r="A1417"/>
      <x:c r="B1417"/>
      <x:c r="C1417"/>
      <x:c r="D1417"/>
      <x:c r="E1417"/>
      <x:c r="F1417"/>
      <x:c r="G1417"/>
    </x:row>
    <x:row r="1418">
      <x:c r="A1418"/>
      <x:c r="B1418"/>
      <x:c r="C1418"/>
      <x:c r="D1418"/>
      <x:c r="E1418"/>
      <x:c r="F1418"/>
      <x:c r="G1418"/>
    </x:row>
    <x:row r="1419">
      <x:c r="A1419"/>
      <x:c r="B1419"/>
      <x:c r="C1419"/>
      <x:c r="D1419"/>
      <x:c r="E1419"/>
      <x:c r="F1419"/>
      <x:c r="G1419"/>
    </x:row>
    <x:row r="1420">
      <x:c r="A1420"/>
      <x:c r="B1420"/>
      <x:c r="C1420"/>
      <x:c r="D1420"/>
      <x:c r="E1420"/>
      <x:c r="F1420"/>
      <x:c r="G1420"/>
    </x:row>
    <x:row r="1421">
      <x:c r="A1421"/>
      <x:c r="B1421"/>
      <x:c r="C1421"/>
      <x:c r="D1421"/>
      <x:c r="E1421"/>
      <x:c r="F1421"/>
      <x:c r="G1421"/>
    </x:row>
    <x:row r="1422">
      <x:c r="A1422"/>
      <x:c r="B1422"/>
      <x:c r="C1422"/>
      <x:c r="D1422"/>
      <x:c r="E1422"/>
      <x:c r="F1422"/>
      <x:c r="G1422"/>
    </x:row>
    <x:row r="1423">
      <x:c r="A1423"/>
      <x:c r="B1423"/>
      <x:c r="C1423"/>
      <x:c r="D1423"/>
      <x:c r="E1423"/>
      <x:c r="F1423"/>
      <x:c r="G1423"/>
    </x:row>
    <x:row r="1424">
      <x:c r="A1424"/>
      <x:c r="B1424"/>
      <x:c r="C1424"/>
      <x:c r="D1424"/>
      <x:c r="E1424"/>
      <x:c r="F1424"/>
      <x:c r="G1424"/>
    </x:row>
    <x:row r="1425">
      <x:c r="A1425"/>
      <x:c r="B1425"/>
      <x:c r="C1425"/>
      <x:c r="D1425"/>
      <x:c r="E1425"/>
      <x:c r="F1425"/>
      <x:c r="G1425"/>
    </x:row>
    <x:row r="1426">
      <x:c r="A1426"/>
      <x:c r="B1426"/>
      <x:c r="C1426"/>
      <x:c r="D1426"/>
      <x:c r="E1426"/>
      <x:c r="F1426"/>
      <x:c r="G1426"/>
    </x:row>
    <x:row r="1427">
      <x:c r="A1427"/>
      <x:c r="B1427"/>
      <x:c r="C1427"/>
      <x:c r="D1427"/>
      <x:c r="E1427"/>
      <x:c r="F1427"/>
      <x:c r="G1427"/>
    </x:row>
    <x:row r="1428">
      <x:c r="A1428"/>
      <x:c r="B1428"/>
      <x:c r="C1428"/>
      <x:c r="D1428"/>
      <x:c r="E1428"/>
      <x:c r="F1428"/>
      <x:c r="G1428"/>
    </x:row>
    <x:row r="1429">
      <x:c r="A1429"/>
      <x:c r="B1429"/>
      <x:c r="C1429"/>
      <x:c r="D1429"/>
      <x:c r="E1429"/>
      <x:c r="F1429"/>
      <x:c r="G1429"/>
    </x:row>
    <x:row r="1430">
      <x:c r="A1430"/>
      <x:c r="B1430"/>
      <x:c r="C1430"/>
      <x:c r="D1430"/>
      <x:c r="E1430"/>
      <x:c r="F1430"/>
      <x:c r="G1430"/>
    </x:row>
    <x:row r="1431">
      <x:c r="A1431"/>
      <x:c r="B1431"/>
      <x:c r="C1431"/>
      <x:c r="D1431"/>
      <x:c r="E1431"/>
      <x:c r="F1431"/>
      <x:c r="G1431"/>
    </x:row>
    <x:row r="1432">
      <x:c r="A1432"/>
      <x:c r="B1432"/>
      <x:c r="C1432"/>
      <x:c r="D1432"/>
      <x:c r="E1432"/>
      <x:c r="F1432"/>
      <x:c r="G1432"/>
    </x:row>
    <x:row r="1433">
      <x:c r="A1433"/>
      <x:c r="B1433"/>
      <x:c r="C1433"/>
      <x:c r="D1433"/>
      <x:c r="E1433"/>
      <x:c r="F1433"/>
      <x:c r="G1433"/>
    </x:row>
    <x:row r="1434">
      <x:c r="A1434"/>
      <x:c r="B1434"/>
      <x:c r="C1434"/>
      <x:c r="D1434"/>
      <x:c r="E1434"/>
      <x:c r="F1434"/>
      <x:c r="G1434"/>
    </x:row>
    <x:row r="1435">
      <x:c r="A1435"/>
      <x:c r="B1435"/>
      <x:c r="C1435"/>
      <x:c r="D1435"/>
      <x:c r="E1435"/>
      <x:c r="F1435"/>
      <x:c r="G1435"/>
    </x:row>
    <x:row r="1436">
      <x:c r="A1436"/>
      <x:c r="B1436"/>
      <x:c r="C1436"/>
      <x:c r="D1436"/>
      <x:c r="E1436"/>
      <x:c r="F1436"/>
      <x:c r="G1436"/>
    </x:row>
    <x:row r="1437">
      <x:c r="A1437"/>
      <x:c r="B1437"/>
      <x:c r="C1437"/>
      <x:c r="D1437"/>
      <x:c r="E1437"/>
      <x:c r="F1437"/>
      <x:c r="G1437"/>
    </x:row>
    <x:row r="1438">
      <x:c r="A1438"/>
      <x:c r="B1438"/>
      <x:c r="C1438"/>
      <x:c r="D1438"/>
      <x:c r="E1438"/>
      <x:c r="F1438"/>
      <x:c r="G1438"/>
    </x:row>
    <x:row r="1439">
      <x:c r="A1439"/>
      <x:c r="B1439"/>
      <x:c r="C1439"/>
      <x:c r="D1439"/>
      <x:c r="E1439"/>
      <x:c r="F1439"/>
      <x:c r="G1439"/>
    </x:row>
    <x:row r="1440">
      <x:c r="A1440"/>
      <x:c r="B1440"/>
      <x:c r="C1440"/>
      <x:c r="D1440"/>
      <x:c r="E1440"/>
      <x:c r="F1440"/>
      <x:c r="G1440"/>
    </x:row>
    <x:row r="1441">
      <x:c r="A1441"/>
      <x:c r="B1441"/>
      <x:c r="C1441"/>
      <x:c r="D1441"/>
      <x:c r="E1441"/>
      <x:c r="F1441"/>
      <x:c r="G1441"/>
    </x:row>
    <x:row r="1442">
      <x:c r="A1442"/>
      <x:c r="B1442"/>
      <x:c r="C1442"/>
      <x:c r="D1442"/>
      <x:c r="E1442"/>
      <x:c r="F1442"/>
      <x:c r="G1442"/>
    </x:row>
    <x:row r="1443">
      <x:c r="A1443"/>
      <x:c r="B1443"/>
      <x:c r="C1443"/>
      <x:c r="D1443"/>
      <x:c r="E1443"/>
      <x:c r="F1443"/>
      <x:c r="G1443"/>
    </x:row>
    <x:row r="1444">
      <x:c r="A1444"/>
      <x:c r="B1444"/>
      <x:c r="C1444"/>
      <x:c r="D1444"/>
      <x:c r="E1444"/>
      <x:c r="F1444"/>
      <x:c r="G1444"/>
    </x:row>
    <x:row r="1445">
      <x:c r="A1445"/>
      <x:c r="B1445"/>
      <x:c r="C1445"/>
      <x:c r="D1445"/>
      <x:c r="E1445"/>
      <x:c r="F1445"/>
      <x:c r="G1445"/>
    </x:row>
    <x:row r="1446">
      <x:c r="A1446"/>
      <x:c r="B1446"/>
      <x:c r="C1446"/>
      <x:c r="D1446"/>
      <x:c r="E1446"/>
      <x:c r="F1446"/>
      <x:c r="G1446"/>
    </x:row>
    <x:row r="1447">
      <x:c r="A1447"/>
      <x:c r="B1447"/>
      <x:c r="C1447"/>
      <x:c r="D1447"/>
      <x:c r="E1447"/>
      <x:c r="F1447"/>
      <x:c r="G1447"/>
    </x:row>
    <x:row r="1448">
      <x:c r="A1448"/>
      <x:c r="B1448"/>
      <x:c r="C1448"/>
      <x:c r="D1448"/>
      <x:c r="E1448"/>
      <x:c r="F1448"/>
      <x:c r="G1448"/>
    </x:row>
    <x:row r="1449">
      <x:c r="A1449"/>
      <x:c r="B1449"/>
      <x:c r="C1449"/>
      <x:c r="D1449"/>
      <x:c r="E1449"/>
      <x:c r="F1449"/>
      <x:c r="G1449"/>
    </x:row>
    <x:row r="1450">
      <x:c r="A1450"/>
      <x:c r="B1450"/>
      <x:c r="C1450"/>
      <x:c r="D1450"/>
      <x:c r="E1450"/>
      <x:c r="F1450"/>
      <x:c r="G1450"/>
    </x:row>
    <x:row r="1451">
      <x:c r="A1451"/>
      <x:c r="B1451"/>
      <x:c r="C1451"/>
      <x:c r="D1451"/>
      <x:c r="E1451"/>
      <x:c r="F1451"/>
      <x:c r="G1451"/>
    </x:row>
    <x:row r="1452">
      <x:c r="A1452"/>
      <x:c r="B1452"/>
      <x:c r="C1452"/>
      <x:c r="D1452"/>
      <x:c r="E1452"/>
      <x:c r="F1452"/>
      <x:c r="G1452"/>
    </x:row>
    <x:row r="1453">
      <x:c r="A1453"/>
      <x:c r="B1453"/>
      <x:c r="C1453"/>
      <x:c r="D1453"/>
      <x:c r="E1453"/>
      <x:c r="F1453"/>
      <x:c r="G1453"/>
    </x:row>
    <x:row r="1454">
      <x:c r="A1454"/>
      <x:c r="B1454"/>
      <x:c r="C1454"/>
      <x:c r="D1454"/>
      <x:c r="E1454"/>
      <x:c r="F1454"/>
      <x:c r="G1454"/>
    </x:row>
    <x:row r="1455">
      <x:c r="A1455"/>
      <x:c r="B1455"/>
      <x:c r="C1455"/>
      <x:c r="D1455"/>
      <x:c r="E1455"/>
      <x:c r="F1455"/>
      <x:c r="G1455"/>
    </x:row>
    <x:row r="1456">
      <x:c r="A1456"/>
      <x:c r="B1456"/>
      <x:c r="C1456"/>
      <x:c r="D1456"/>
      <x:c r="E1456"/>
      <x:c r="F1456"/>
      <x:c r="G1456"/>
    </x:row>
    <x:row r="1457">
      <x:c r="A1457"/>
      <x:c r="B1457"/>
      <x:c r="C1457"/>
      <x:c r="D1457"/>
      <x:c r="E1457"/>
      <x:c r="F1457"/>
      <x:c r="G1457"/>
    </x:row>
    <x:row r="1458">
      <x:c r="A1458"/>
      <x:c r="B1458"/>
      <x:c r="C1458"/>
      <x:c r="D1458"/>
      <x:c r="E1458"/>
      <x:c r="F1458"/>
      <x:c r="G1458"/>
    </x:row>
    <x:row r="1459">
      <x:c r="A1459"/>
      <x:c r="B1459"/>
      <x:c r="C1459"/>
      <x:c r="D1459"/>
      <x:c r="E1459"/>
      <x:c r="F1459"/>
      <x:c r="G1459"/>
    </x:row>
    <x:row r="1460">
      <x:c r="A1460"/>
      <x:c r="B1460"/>
      <x:c r="C1460"/>
      <x:c r="D1460"/>
      <x:c r="E1460"/>
      <x:c r="F1460"/>
      <x:c r="G1460"/>
    </x:row>
    <x:row r="1461">
      <x:c r="A1461"/>
      <x:c r="B1461"/>
      <x:c r="C1461"/>
      <x:c r="D1461"/>
      <x:c r="E1461"/>
      <x:c r="F1461"/>
      <x:c r="G1461"/>
    </x:row>
    <x:row r="1462">
      <x:c r="A1462"/>
      <x:c r="B1462"/>
      <x:c r="C1462"/>
      <x:c r="D1462"/>
      <x:c r="E1462"/>
      <x:c r="F1462"/>
      <x:c r="G1462"/>
    </x:row>
    <x:row r="1463">
      <x:c r="A1463"/>
      <x:c r="B1463"/>
      <x:c r="C1463"/>
      <x:c r="D1463"/>
      <x:c r="E1463"/>
      <x:c r="F1463"/>
      <x:c r="G1463"/>
    </x:row>
    <x:row r="1464">
      <x:c r="A1464"/>
      <x:c r="B1464"/>
      <x:c r="C1464"/>
      <x:c r="D1464"/>
      <x:c r="E1464"/>
      <x:c r="F1464"/>
      <x:c r="G1464"/>
    </x:row>
    <x:row r="1465">
      <x:c r="A1465"/>
      <x:c r="B1465"/>
      <x:c r="C1465"/>
      <x:c r="D1465"/>
      <x:c r="E1465"/>
      <x:c r="F1465"/>
      <x:c r="G1465"/>
    </x:row>
    <x:row r="1466">
      <x:c r="A1466"/>
      <x:c r="B1466"/>
      <x:c r="C1466"/>
      <x:c r="D1466"/>
      <x:c r="E1466"/>
      <x:c r="F1466"/>
      <x:c r="G1466"/>
    </x:row>
    <x:row r="1467">
      <x:c r="A1467"/>
      <x:c r="B1467"/>
      <x:c r="C1467"/>
      <x:c r="D1467"/>
      <x:c r="E1467"/>
      <x:c r="F1467"/>
      <x:c r="G1467"/>
    </x:row>
    <x:row r="1468">
      <x:c r="A1468"/>
      <x:c r="B1468"/>
      <x:c r="C1468"/>
      <x:c r="D1468"/>
      <x:c r="E1468"/>
      <x:c r="F1468"/>
      <x:c r="G1468"/>
    </x:row>
    <x:row r="1469">
      <x:c r="A1469"/>
      <x:c r="B1469"/>
      <x:c r="C1469"/>
      <x:c r="D1469"/>
      <x:c r="E1469"/>
      <x:c r="F1469"/>
      <x:c r="G1469"/>
    </x:row>
    <x:row r="1470">
      <x:c r="A1470"/>
      <x:c r="B1470"/>
      <x:c r="C1470"/>
      <x:c r="D1470"/>
      <x:c r="E1470"/>
      <x:c r="F1470"/>
      <x:c r="G1470"/>
    </x:row>
    <x:row r="1471">
      <x:c r="A1471"/>
      <x:c r="B1471"/>
      <x:c r="C1471"/>
      <x:c r="D1471"/>
      <x:c r="E1471"/>
      <x:c r="F1471"/>
      <x:c r="G1471"/>
    </x:row>
    <x:row r="1472">
      <x:c r="A1472"/>
      <x:c r="B1472"/>
      <x:c r="C1472"/>
      <x:c r="D1472"/>
      <x:c r="E1472"/>
      <x:c r="F1472"/>
      <x:c r="G1472"/>
    </x:row>
    <x:row r="1473">
      <x:c r="A1473"/>
      <x:c r="B1473"/>
      <x:c r="C1473"/>
      <x:c r="D1473"/>
      <x:c r="E1473"/>
      <x:c r="F1473"/>
      <x:c r="G1473"/>
    </x:row>
    <x:row r="1474">
      <x:c r="A1474"/>
      <x:c r="B1474"/>
      <x:c r="C1474"/>
      <x:c r="D1474"/>
      <x:c r="E1474"/>
      <x:c r="F1474"/>
      <x:c r="G1474"/>
    </x:row>
    <x:row r="1475">
      <x:c r="A1475"/>
      <x:c r="B1475"/>
      <x:c r="C1475"/>
      <x:c r="D1475"/>
      <x:c r="E1475"/>
      <x:c r="F1475"/>
      <x:c r="G1475"/>
    </x:row>
    <x:row r="1476">
      <x:c r="A1476"/>
      <x:c r="B1476"/>
      <x:c r="C1476"/>
      <x:c r="D1476"/>
      <x:c r="E1476"/>
      <x:c r="F1476"/>
      <x:c r="G1476"/>
    </x:row>
    <x:row r="1477">
      <x:c r="A1477"/>
      <x:c r="B1477"/>
      <x:c r="C1477"/>
      <x:c r="D1477"/>
      <x:c r="E1477"/>
      <x:c r="F1477"/>
      <x:c r="G1477"/>
    </x:row>
    <x:row r="1478">
      <x:c r="A1478"/>
      <x:c r="B1478"/>
      <x:c r="C1478"/>
      <x:c r="D1478"/>
      <x:c r="E1478"/>
      <x:c r="F1478"/>
      <x:c r="G1478"/>
    </x:row>
    <x:row r="1479">
      <x:c r="A1479"/>
      <x:c r="B1479"/>
      <x:c r="C1479"/>
      <x:c r="D1479"/>
      <x:c r="E1479"/>
      <x:c r="F1479"/>
      <x:c r="G1479"/>
    </x:row>
    <x:row r="1480">
      <x:c r="A1480"/>
      <x:c r="B1480"/>
      <x:c r="C1480"/>
      <x:c r="D1480"/>
      <x:c r="E1480"/>
      <x:c r="F1480"/>
      <x:c r="G1480"/>
    </x:row>
    <x:row r="1481">
      <x:c r="A1481"/>
      <x:c r="B1481"/>
      <x:c r="C1481"/>
      <x:c r="D1481"/>
      <x:c r="E1481"/>
      <x:c r="F1481"/>
      <x:c r="G1481"/>
    </x:row>
    <x:row r="1482">
      <x:c r="A1482"/>
      <x:c r="B1482"/>
      <x:c r="C1482"/>
      <x:c r="D1482"/>
      <x:c r="E1482"/>
      <x:c r="F1482"/>
      <x:c r="G1482"/>
    </x:row>
    <x:row r="1483">
      <x:c r="A1483"/>
      <x:c r="B1483"/>
      <x:c r="C1483"/>
      <x:c r="D1483"/>
      <x:c r="E1483"/>
      <x:c r="F1483"/>
      <x:c r="G1483"/>
    </x:row>
    <x:row r="1484">
      <x:c r="A1484"/>
      <x:c r="B1484"/>
      <x:c r="C1484"/>
      <x:c r="D1484"/>
      <x:c r="E1484"/>
      <x:c r="F1484"/>
      <x:c r="G1484"/>
    </x:row>
    <x:row r="1485">
      <x:c r="A1485"/>
      <x:c r="B1485"/>
      <x:c r="C1485"/>
      <x:c r="D1485"/>
      <x:c r="E1485"/>
      <x:c r="F1485"/>
      <x:c r="G1485"/>
    </x:row>
    <x:row r="1486">
      <x:c r="A1486"/>
      <x:c r="B1486"/>
      <x:c r="C1486"/>
      <x:c r="D1486"/>
      <x:c r="E1486"/>
      <x:c r="F1486"/>
      <x:c r="G1486"/>
    </x:row>
    <x:row r="1487">
      <x:c r="A1487"/>
      <x:c r="B1487"/>
      <x:c r="C1487"/>
      <x:c r="D1487"/>
      <x:c r="E1487"/>
      <x:c r="F1487"/>
      <x:c r="G1487"/>
    </x:row>
    <x:row r="1488">
      <x:c r="A1488"/>
      <x:c r="B1488"/>
      <x:c r="C1488"/>
      <x:c r="D1488"/>
      <x:c r="E1488"/>
      <x:c r="F1488"/>
      <x:c r="G1488"/>
    </x:row>
    <x:row r="1489">
      <x:c r="A1489"/>
      <x:c r="B1489"/>
      <x:c r="C1489"/>
      <x:c r="D1489"/>
      <x:c r="E1489"/>
      <x:c r="F1489"/>
      <x:c r="G1489"/>
    </x:row>
    <x:row r="1490">
      <x:c r="A1490"/>
      <x:c r="B1490"/>
      <x:c r="C1490"/>
      <x:c r="D1490"/>
      <x:c r="E1490"/>
      <x:c r="F1490"/>
      <x:c r="G1490"/>
    </x:row>
    <x:row r="1491">
      <x:c r="A1491"/>
      <x:c r="B1491"/>
      <x:c r="C1491"/>
      <x:c r="D1491"/>
      <x:c r="E1491"/>
      <x:c r="F1491"/>
      <x:c r="G1491"/>
    </x:row>
    <x:row r="1492">
      <x:c r="A1492"/>
      <x:c r="B1492"/>
      <x:c r="C1492"/>
      <x:c r="D1492"/>
      <x:c r="E1492"/>
      <x:c r="F1492"/>
      <x:c r="G1492"/>
    </x:row>
    <x:row r="1493">
      <x:c r="A1493"/>
      <x:c r="B1493"/>
      <x:c r="C1493"/>
      <x:c r="D1493"/>
      <x:c r="E1493"/>
      <x:c r="F1493"/>
      <x:c r="G1493"/>
    </x:row>
    <x:row r="1494">
      <x:c r="A1494"/>
      <x:c r="B1494"/>
      <x:c r="C1494"/>
      <x:c r="D1494"/>
      <x:c r="E1494"/>
      <x:c r="F1494"/>
      <x:c r="G1494"/>
    </x:row>
    <x:row r="1495">
      <x:c r="A1495"/>
      <x:c r="B1495"/>
      <x:c r="C1495"/>
      <x:c r="D1495"/>
      <x:c r="E1495"/>
      <x:c r="F1495"/>
      <x:c r="G1495"/>
    </x:row>
    <x:row r="1496">
      <x:c r="A1496"/>
      <x:c r="B1496"/>
      <x:c r="C1496"/>
      <x:c r="D1496"/>
      <x:c r="E1496"/>
      <x:c r="F1496"/>
      <x:c r="G1496"/>
    </x:row>
    <x:row r="1497">
      <x:c r="A1497"/>
      <x:c r="B1497"/>
      <x:c r="C1497"/>
      <x:c r="D1497"/>
      <x:c r="E1497"/>
      <x:c r="F1497"/>
      <x:c r="G1497"/>
    </x:row>
    <x:row r="1498">
      <x:c r="A1498"/>
      <x:c r="B1498"/>
      <x:c r="C1498"/>
      <x:c r="D1498"/>
      <x:c r="E1498"/>
      <x:c r="F1498"/>
      <x:c r="G1498"/>
    </x:row>
    <x:row r="1499">
      <x:c r="A1499"/>
      <x:c r="B1499"/>
      <x:c r="C1499"/>
      <x:c r="D1499"/>
      <x:c r="E1499"/>
      <x:c r="F1499"/>
      <x:c r="G1499"/>
    </x:row>
    <x:row r="1500">
      <x:c r="A1500"/>
      <x:c r="B1500"/>
      <x:c r="C1500"/>
      <x:c r="D1500"/>
      <x:c r="E1500"/>
      <x:c r="F1500"/>
      <x:c r="G1500"/>
    </x:row>
    <x:row r="1501">
      <x:c r="A1501"/>
      <x:c r="B1501"/>
      <x:c r="C1501"/>
      <x:c r="D1501"/>
      <x:c r="E1501"/>
      <x:c r="F1501"/>
      <x:c r="G1501"/>
    </x:row>
    <x:row r="1502">
      <x:c r="A1502"/>
      <x:c r="B1502"/>
      <x:c r="C1502"/>
      <x:c r="D1502"/>
      <x:c r="E1502"/>
      <x:c r="F1502"/>
      <x:c r="G1502"/>
    </x:row>
    <x:row r="1503">
      <x:c r="A1503"/>
      <x:c r="B1503"/>
      <x:c r="C1503"/>
      <x:c r="D1503"/>
      <x:c r="E1503"/>
      <x:c r="F1503"/>
      <x:c r="G1503"/>
    </x:row>
    <x:row r="1504">
      <x:c r="A1504"/>
      <x:c r="B1504"/>
      <x:c r="C1504"/>
      <x:c r="D1504"/>
      <x:c r="E1504"/>
      <x:c r="F1504"/>
      <x:c r="G1504"/>
    </x:row>
    <x:row r="1505">
      <x:c r="A1505"/>
      <x:c r="B1505"/>
      <x:c r="C1505"/>
      <x:c r="D1505"/>
      <x:c r="E1505"/>
      <x:c r="F1505"/>
      <x:c r="G1505"/>
    </x:row>
    <x:row r="1506">
      <x:c r="A1506"/>
      <x:c r="B1506"/>
      <x:c r="C1506"/>
      <x:c r="D1506"/>
      <x:c r="E1506"/>
      <x:c r="F1506"/>
      <x:c r="G1506"/>
    </x:row>
    <x:row r="1507">
      <x:c r="A1507"/>
      <x:c r="B1507"/>
      <x:c r="C1507"/>
      <x:c r="D1507"/>
      <x:c r="E1507"/>
      <x:c r="F1507"/>
      <x:c r="G1507"/>
    </x:row>
    <x:row r="1508">
      <x:c r="A1508"/>
      <x:c r="B1508"/>
      <x:c r="C1508"/>
      <x:c r="D1508"/>
      <x:c r="E1508"/>
      <x:c r="F1508"/>
      <x:c r="G1508"/>
    </x:row>
    <x:row r="1509">
      <x:c r="A1509"/>
      <x:c r="B1509"/>
      <x:c r="C1509"/>
      <x:c r="D1509"/>
      <x:c r="E1509"/>
      <x:c r="F1509"/>
      <x:c r="G1509"/>
    </x:row>
    <x:row r="1510">
      <x:c r="A1510"/>
      <x:c r="B1510"/>
      <x:c r="C1510"/>
      <x:c r="D1510"/>
      <x:c r="E1510"/>
      <x:c r="F1510"/>
      <x:c r="G1510"/>
    </x:row>
    <x:row r="1511">
      <x:c r="A1511"/>
      <x:c r="B1511"/>
      <x:c r="C1511"/>
      <x:c r="D1511"/>
      <x:c r="E1511"/>
      <x:c r="F1511"/>
      <x:c r="G1511"/>
    </x:row>
    <x:row r="1512">
      <x:c r="A1512"/>
      <x:c r="B1512"/>
      <x:c r="C1512"/>
      <x:c r="D1512"/>
      <x:c r="E1512"/>
      <x:c r="F1512"/>
      <x:c r="G1512"/>
    </x:row>
    <x:row r="1513">
      <x:c r="A1513"/>
      <x:c r="B1513"/>
      <x:c r="C1513"/>
      <x:c r="D1513"/>
      <x:c r="E1513"/>
      <x:c r="F1513"/>
      <x:c r="G1513"/>
    </x:row>
    <x:row r="1514">
      <x:c r="A1514"/>
      <x:c r="B1514"/>
      <x:c r="C1514"/>
      <x:c r="D1514"/>
      <x:c r="E1514"/>
      <x:c r="F1514"/>
      <x:c r="G1514"/>
    </x:row>
    <x:row r="1515">
      <x:c r="A1515"/>
      <x:c r="B1515"/>
      <x:c r="C1515"/>
      <x:c r="D1515"/>
      <x:c r="E1515"/>
      <x:c r="F1515"/>
      <x:c r="G1515"/>
    </x:row>
    <x:row r="1516">
      <x:c r="A1516"/>
      <x:c r="B1516"/>
      <x:c r="C1516"/>
      <x:c r="D1516"/>
      <x:c r="E1516"/>
      <x:c r="F1516"/>
      <x:c r="G1516"/>
    </x:row>
    <x:row r="1517">
      <x:c r="A1517"/>
      <x:c r="B1517"/>
      <x:c r="C1517"/>
      <x:c r="D1517"/>
      <x:c r="E1517"/>
      <x:c r="F1517"/>
      <x:c r="G1517"/>
    </x:row>
    <x:row r="1518">
      <x:c r="A1518"/>
      <x:c r="B1518"/>
      <x:c r="C1518"/>
      <x:c r="D1518"/>
      <x:c r="E1518"/>
      <x:c r="F1518"/>
      <x:c r="G1518"/>
    </x:row>
    <x:row r="1519">
      <x:c r="A1519"/>
      <x:c r="B1519"/>
      <x:c r="C1519"/>
      <x:c r="D1519"/>
      <x:c r="E1519"/>
      <x:c r="F1519"/>
      <x:c r="G1519"/>
    </x:row>
    <x:row r="1520">
      <x:c r="A1520"/>
      <x:c r="B1520"/>
      <x:c r="C1520"/>
      <x:c r="D1520"/>
      <x:c r="E1520"/>
      <x:c r="F1520"/>
      <x:c r="G1520"/>
    </x:row>
    <x:row r="1521">
      <x:c r="A1521"/>
      <x:c r="B1521"/>
      <x:c r="C1521"/>
      <x:c r="D1521"/>
      <x:c r="E1521"/>
      <x:c r="F1521"/>
      <x:c r="G1521"/>
    </x:row>
    <x:row r="1522">
      <x:c r="A1522"/>
      <x:c r="B1522"/>
      <x:c r="C1522"/>
      <x:c r="D1522"/>
      <x:c r="E1522"/>
      <x:c r="F1522"/>
      <x:c r="G1522"/>
    </x:row>
    <x:row r="1523">
      <x:c r="A1523"/>
      <x:c r="B1523"/>
      <x:c r="C1523"/>
      <x:c r="D1523"/>
      <x:c r="E1523"/>
      <x:c r="F1523"/>
      <x:c r="G1523"/>
    </x:row>
    <x:row r="1524">
      <x:c r="A1524"/>
      <x:c r="B1524"/>
      <x:c r="C1524"/>
      <x:c r="D1524"/>
      <x:c r="E1524"/>
      <x:c r="F1524"/>
      <x:c r="G1524"/>
    </x:row>
    <x:row r="1525">
      <x:c r="A1525"/>
      <x:c r="B1525"/>
      <x:c r="C1525"/>
      <x:c r="D1525"/>
      <x:c r="E1525"/>
      <x:c r="F1525"/>
      <x:c r="G1525"/>
    </x:row>
    <x:row r="1526">
      <x:c r="A1526"/>
      <x:c r="B1526"/>
      <x:c r="C1526"/>
      <x:c r="D1526"/>
      <x:c r="E1526"/>
      <x:c r="F1526"/>
      <x:c r="G1526"/>
    </x:row>
    <x:row r="1527">
      <x:c r="A1527"/>
      <x:c r="B1527"/>
      <x:c r="C1527"/>
      <x:c r="D1527"/>
      <x:c r="E1527"/>
      <x:c r="F1527"/>
      <x:c r="G1527"/>
    </x:row>
    <x:row r="1528">
      <x:c r="A1528"/>
      <x:c r="B1528"/>
      <x:c r="C1528"/>
      <x:c r="D1528"/>
      <x:c r="E1528"/>
      <x:c r="F1528"/>
      <x:c r="G1528"/>
    </x:row>
    <x:row r="1529">
      <x:c r="A1529"/>
      <x:c r="B1529"/>
      <x:c r="C1529"/>
      <x:c r="D1529"/>
      <x:c r="E1529"/>
      <x:c r="F1529"/>
      <x:c r="G1529"/>
    </x:row>
    <x:row r="1530">
      <x:c r="A1530"/>
      <x:c r="B1530"/>
      <x:c r="C1530"/>
      <x:c r="D1530"/>
      <x:c r="E1530"/>
      <x:c r="F1530"/>
      <x:c r="G1530"/>
    </x:row>
    <x:row r="1531">
      <x:c r="A1531"/>
      <x:c r="B1531"/>
      <x:c r="C1531"/>
      <x:c r="D1531"/>
      <x:c r="E1531"/>
      <x:c r="F1531"/>
      <x:c r="G1531"/>
    </x:row>
    <x:row r="1532">
      <x:c r="A1532"/>
      <x:c r="B1532"/>
      <x:c r="C1532"/>
      <x:c r="D1532"/>
      <x:c r="E1532"/>
      <x:c r="F1532"/>
      <x:c r="G1532"/>
    </x:row>
    <x:row r="1533">
      <x:c r="A1533"/>
      <x:c r="B1533"/>
      <x:c r="C1533"/>
      <x:c r="D1533"/>
      <x:c r="E1533"/>
      <x:c r="F1533"/>
      <x:c r="G1533"/>
    </x:row>
    <x:row r="1534">
      <x:c r="A1534"/>
      <x:c r="B1534"/>
      <x:c r="C1534"/>
      <x:c r="D1534"/>
      <x:c r="E1534"/>
      <x:c r="F1534"/>
      <x:c r="G1534"/>
    </x:row>
    <x:row r="1535">
      <x:c r="A1535"/>
      <x:c r="B1535"/>
      <x:c r="C1535"/>
      <x:c r="D1535"/>
      <x:c r="E1535"/>
      <x:c r="F1535"/>
      <x:c r="G1535"/>
    </x:row>
    <x:row r="1536">
      <x:c r="A1536"/>
      <x:c r="B1536"/>
      <x:c r="C1536"/>
      <x:c r="D1536"/>
      <x:c r="E1536"/>
      <x:c r="F1536"/>
      <x:c r="G1536"/>
    </x:row>
    <x:row r="1537">
      <x:c r="A1537"/>
      <x:c r="B1537"/>
      <x:c r="C1537"/>
      <x:c r="D1537"/>
      <x:c r="E1537"/>
      <x:c r="F1537"/>
      <x:c r="G1537"/>
    </x:row>
    <x:row r="1538">
      <x:c r="A1538"/>
      <x:c r="B1538"/>
      <x:c r="C1538"/>
      <x:c r="D1538"/>
      <x:c r="E1538"/>
      <x:c r="F1538"/>
      <x:c r="G1538"/>
    </x:row>
    <x:row r="1539">
      <x:c r="A1539"/>
      <x:c r="B1539"/>
      <x:c r="C1539"/>
      <x:c r="D1539"/>
      <x:c r="E1539"/>
      <x:c r="F1539"/>
      <x:c r="G1539"/>
    </x:row>
    <x:row r="1540">
      <x:c r="A1540"/>
      <x:c r="B1540"/>
      <x:c r="C1540"/>
      <x:c r="D1540"/>
      <x:c r="E1540"/>
      <x:c r="F1540"/>
      <x:c r="G1540"/>
    </x:row>
    <x:row r="1541">
      <x:c r="A1541"/>
      <x:c r="B1541"/>
      <x:c r="C1541"/>
      <x:c r="D1541"/>
      <x:c r="E1541"/>
      <x:c r="F1541"/>
      <x:c r="G1541"/>
    </x:row>
    <x:row r="1542">
      <x:c r="A1542"/>
      <x:c r="B1542"/>
      <x:c r="C1542"/>
      <x:c r="D1542"/>
      <x:c r="E1542"/>
      <x:c r="F1542"/>
      <x:c r="G1542"/>
    </x:row>
    <x:row r="1543">
      <x:c r="A1543"/>
      <x:c r="B1543"/>
      <x:c r="C1543"/>
      <x:c r="D1543"/>
      <x:c r="E1543"/>
      <x:c r="F1543"/>
      <x:c r="G1543"/>
    </x:row>
    <x:row r="1544">
      <x:c r="A1544"/>
      <x:c r="B1544"/>
      <x:c r="C1544"/>
      <x:c r="D1544"/>
      <x:c r="E1544"/>
      <x:c r="F1544"/>
      <x:c r="G1544"/>
    </x:row>
    <x:row r="1545">
      <x:c r="A1545"/>
      <x:c r="B1545"/>
      <x:c r="C1545"/>
      <x:c r="D1545"/>
      <x:c r="E1545"/>
      <x:c r="F1545"/>
      <x:c r="G1545"/>
    </x:row>
    <x:row r="1546">
      <x:c r="A1546"/>
      <x:c r="B1546"/>
      <x:c r="C1546"/>
      <x:c r="D1546"/>
      <x:c r="E1546"/>
      <x:c r="F1546"/>
      <x:c r="G1546"/>
    </x:row>
    <x:row r="1547">
      <x:c r="A1547"/>
      <x:c r="B1547"/>
      <x:c r="C1547"/>
      <x:c r="D1547"/>
      <x:c r="E1547"/>
      <x:c r="F1547"/>
      <x:c r="G1547"/>
    </x:row>
    <x:row r="1548">
      <x:c r="A1548"/>
      <x:c r="B1548"/>
      <x:c r="C1548"/>
      <x:c r="D1548"/>
      <x:c r="E1548"/>
      <x:c r="F1548"/>
      <x:c r="G1548"/>
    </x:row>
    <x:row r="1549">
      <x:c r="A1549"/>
      <x:c r="B1549"/>
      <x:c r="C1549"/>
      <x:c r="D1549"/>
      <x:c r="E1549"/>
      <x:c r="F1549"/>
      <x:c r="G1549"/>
    </x:row>
    <x:row r="1550">
      <x:c r="A1550"/>
      <x:c r="B1550"/>
      <x:c r="C1550"/>
      <x:c r="D1550"/>
      <x:c r="E1550"/>
      <x:c r="F1550"/>
      <x:c r="G1550"/>
    </x:row>
    <x:row r="1551">
      <x:c r="A1551"/>
      <x:c r="B1551"/>
      <x:c r="C1551"/>
      <x:c r="D1551"/>
      <x:c r="E1551"/>
      <x:c r="F1551"/>
      <x:c r="G1551"/>
    </x:row>
    <x:row r="1552">
      <x:c r="A1552"/>
      <x:c r="B1552"/>
      <x:c r="C1552"/>
      <x:c r="D1552"/>
      <x:c r="E1552"/>
      <x:c r="F1552"/>
      <x:c r="G1552"/>
    </x:row>
    <x:row r="1553">
      <x:c r="A1553"/>
      <x:c r="B1553"/>
      <x:c r="C1553"/>
      <x:c r="D1553"/>
      <x:c r="E1553"/>
      <x:c r="F1553"/>
      <x:c r="G1553"/>
    </x:row>
    <x:row r="1554">
      <x:c r="A1554"/>
      <x:c r="B1554"/>
      <x:c r="C1554"/>
      <x:c r="D1554"/>
      <x:c r="E1554"/>
      <x:c r="F1554"/>
      <x:c r="G1554"/>
    </x:row>
    <x:row r="1555">
      <x:c r="A1555"/>
      <x:c r="B1555"/>
      <x:c r="C1555"/>
      <x:c r="D1555"/>
      <x:c r="E1555"/>
      <x:c r="F1555"/>
      <x:c r="G1555"/>
    </x:row>
    <x:row r="1556">
      <x:c r="A1556"/>
      <x:c r="B1556"/>
      <x:c r="C1556"/>
      <x:c r="D1556"/>
      <x:c r="E1556"/>
      <x:c r="F1556"/>
      <x:c r="G1556"/>
    </x:row>
    <x:row r="1557">
      <x:c r="A1557"/>
      <x:c r="B1557"/>
      <x:c r="C1557"/>
      <x:c r="D1557"/>
      <x:c r="E1557"/>
      <x:c r="F1557"/>
      <x:c r="G1557"/>
    </x:row>
    <x:row r="1558">
      <x:c r="A1558"/>
      <x:c r="B1558"/>
      <x:c r="C1558"/>
      <x:c r="D1558"/>
      <x:c r="E1558"/>
      <x:c r="F1558"/>
      <x:c r="G1558"/>
    </x:row>
    <x:row r="1559">
      <x:c r="A1559"/>
      <x:c r="B1559"/>
      <x:c r="C1559"/>
      <x:c r="D1559"/>
      <x:c r="E1559"/>
      <x:c r="F1559"/>
      <x:c r="G1559"/>
    </x:row>
    <x:row r="1560">
      <x:c r="A1560"/>
      <x:c r="B1560"/>
      <x:c r="C1560"/>
      <x:c r="D1560"/>
      <x:c r="E1560"/>
      <x:c r="F1560"/>
      <x:c r="G1560"/>
    </x:row>
    <x:row r="1561">
      <x:c r="A1561"/>
      <x:c r="B1561"/>
      <x:c r="C1561"/>
      <x:c r="D1561"/>
      <x:c r="E1561"/>
      <x:c r="F1561"/>
      <x:c r="G1561"/>
    </x:row>
    <x:row r="1562">
      <x:c r="A1562"/>
      <x:c r="B1562"/>
      <x:c r="C1562"/>
      <x:c r="D1562"/>
      <x:c r="E1562"/>
      <x:c r="F1562"/>
      <x:c r="G1562"/>
    </x:row>
    <x:row r="1563">
      <x:c r="A1563"/>
      <x:c r="B1563"/>
      <x:c r="C1563"/>
      <x:c r="D1563"/>
      <x:c r="E1563"/>
      <x:c r="F1563"/>
      <x:c r="G1563"/>
    </x:row>
    <x:row r="1564">
      <x:c r="A1564"/>
      <x:c r="B1564"/>
      <x:c r="C1564"/>
      <x:c r="D1564"/>
      <x:c r="E1564"/>
      <x:c r="F1564"/>
      <x:c r="G1564"/>
    </x:row>
    <x:row r="1565">
      <x:c r="A1565"/>
      <x:c r="B1565"/>
      <x:c r="C1565"/>
      <x:c r="D1565"/>
      <x:c r="E1565"/>
      <x:c r="F1565"/>
      <x:c r="G1565"/>
    </x:row>
    <x:row r="1566">
      <x:c r="A1566"/>
      <x:c r="B1566"/>
      <x:c r="C1566"/>
      <x:c r="D1566"/>
      <x:c r="E1566"/>
      <x:c r="F1566"/>
      <x:c r="G1566"/>
    </x:row>
    <x:row r="1567">
      <x:c r="A1567"/>
      <x:c r="B1567"/>
      <x:c r="C1567"/>
      <x:c r="D1567"/>
      <x:c r="E1567"/>
      <x:c r="F1567"/>
      <x:c r="G1567"/>
    </x:row>
    <x:row r="1568">
      <x:c r="A1568"/>
      <x:c r="B1568"/>
      <x:c r="C1568"/>
      <x:c r="D1568"/>
      <x:c r="E1568"/>
      <x:c r="F1568"/>
      <x:c r="G1568"/>
    </x:row>
    <x:row r="1569">
      <x:c r="A1569"/>
      <x:c r="B1569"/>
      <x:c r="C1569"/>
      <x:c r="D1569"/>
      <x:c r="E1569"/>
      <x:c r="F1569"/>
      <x:c r="G1569"/>
    </x:row>
    <x:row r="1570">
      <x:c r="A1570"/>
      <x:c r="B1570"/>
      <x:c r="C1570"/>
      <x:c r="D1570"/>
      <x:c r="E1570"/>
      <x:c r="F1570"/>
      <x:c r="G1570"/>
    </x:row>
    <x:row r="1571">
      <x:c r="A1571"/>
      <x:c r="B1571"/>
      <x:c r="C1571"/>
      <x:c r="D1571"/>
      <x:c r="E1571"/>
      <x:c r="F1571"/>
      <x:c r="G1571"/>
    </x:row>
    <x:row r="1572">
      <x:c r="A1572"/>
      <x:c r="B1572"/>
      <x:c r="C1572"/>
      <x:c r="D1572"/>
      <x:c r="E1572"/>
      <x:c r="F1572"/>
      <x:c r="G1572"/>
    </x:row>
    <x:row r="1573">
      <x:c r="A1573"/>
      <x:c r="B1573"/>
      <x:c r="C1573"/>
      <x:c r="D1573"/>
      <x:c r="E1573"/>
      <x:c r="F1573"/>
      <x:c r="G1573"/>
    </x:row>
    <x:row r="1574">
      <x:c r="A1574"/>
      <x:c r="B1574"/>
      <x:c r="C1574"/>
      <x:c r="D1574"/>
      <x:c r="E1574"/>
      <x:c r="F1574"/>
      <x:c r="G1574"/>
    </x:row>
    <x:row r="1575">
      <x:c r="A1575"/>
      <x:c r="B1575"/>
      <x:c r="C1575"/>
      <x:c r="D1575"/>
      <x:c r="E1575"/>
      <x:c r="F1575"/>
      <x:c r="G1575"/>
    </x:row>
    <x:row r="1576">
      <x:c r="A1576"/>
      <x:c r="B1576"/>
      <x:c r="C1576"/>
      <x:c r="D1576"/>
      <x:c r="E1576"/>
      <x:c r="F1576"/>
      <x:c r="G1576"/>
    </x:row>
    <x:row r="1577">
      <x:c r="A1577"/>
      <x:c r="B1577"/>
      <x:c r="C1577"/>
      <x:c r="D1577"/>
      <x:c r="E1577"/>
      <x:c r="F1577"/>
      <x:c r="G1577"/>
    </x:row>
    <x:row r="1578">
      <x:c r="A1578"/>
      <x:c r="B1578"/>
      <x:c r="C1578"/>
      <x:c r="D1578"/>
      <x:c r="E1578"/>
      <x:c r="F1578"/>
      <x:c r="G1578"/>
    </x:row>
    <x:row r="1579">
      <x:c r="A1579"/>
      <x:c r="B1579"/>
      <x:c r="C1579"/>
      <x:c r="D1579"/>
      <x:c r="E1579"/>
      <x:c r="F1579"/>
      <x:c r="G1579"/>
    </x:row>
    <x:row r="1580">
      <x:c r="A1580"/>
      <x:c r="B1580"/>
      <x:c r="C1580"/>
      <x:c r="D1580"/>
      <x:c r="E1580"/>
      <x:c r="F1580"/>
      <x:c r="G1580"/>
    </x:row>
    <x:row r="1581">
      <x:c r="A1581"/>
      <x:c r="B1581"/>
      <x:c r="C1581"/>
      <x:c r="D1581"/>
      <x:c r="E1581"/>
      <x:c r="F1581"/>
      <x:c r="G1581"/>
    </x:row>
    <x:row r="1582">
      <x:c r="A1582"/>
      <x:c r="B1582"/>
      <x:c r="C1582"/>
      <x:c r="D1582"/>
      <x:c r="E1582"/>
      <x:c r="F1582"/>
      <x:c r="G1582"/>
    </x:row>
    <x:row r="1583">
      <x:c r="A1583"/>
      <x:c r="B1583"/>
      <x:c r="C1583"/>
      <x:c r="D1583"/>
      <x:c r="E1583"/>
      <x:c r="F1583"/>
      <x:c r="G1583"/>
    </x:row>
    <x:row r="1584">
      <x:c r="A1584"/>
      <x:c r="B1584"/>
      <x:c r="C1584"/>
      <x:c r="D1584"/>
      <x:c r="E1584"/>
      <x:c r="F1584"/>
      <x:c r="G1584"/>
    </x:row>
    <x:row r="1585">
      <x:c r="A1585"/>
      <x:c r="B1585"/>
      <x:c r="C1585"/>
      <x:c r="D1585"/>
      <x:c r="E1585"/>
      <x:c r="F1585"/>
      <x:c r="G1585"/>
    </x:row>
    <x:row r="1586">
      <x:c r="A1586"/>
      <x:c r="B1586"/>
      <x:c r="C1586"/>
      <x:c r="D1586"/>
      <x:c r="E1586"/>
      <x:c r="F1586"/>
      <x:c r="G1586"/>
    </x:row>
    <x:row r="1587">
      <x:c r="A1587"/>
      <x:c r="B1587"/>
      <x:c r="C1587"/>
      <x:c r="D1587"/>
      <x:c r="E1587"/>
      <x:c r="F1587"/>
      <x:c r="G1587"/>
    </x:row>
    <x:row r="1588">
      <x:c r="A1588"/>
      <x:c r="B1588"/>
      <x:c r="C1588"/>
      <x:c r="D1588"/>
      <x:c r="E1588"/>
      <x:c r="F1588"/>
      <x:c r="G1588"/>
    </x:row>
    <x:row r="1589">
      <x:c r="A1589"/>
      <x:c r="B1589"/>
      <x:c r="C1589"/>
      <x:c r="D1589"/>
      <x:c r="E1589"/>
      <x:c r="F1589"/>
      <x:c r="G1589"/>
    </x:row>
    <x:row r="1590">
      <x:c r="A1590"/>
      <x:c r="B1590"/>
      <x:c r="C1590"/>
      <x:c r="D1590"/>
      <x:c r="E1590"/>
      <x:c r="F1590"/>
      <x:c r="G1590"/>
    </x:row>
    <x:row r="1591">
      <x:c r="A1591"/>
      <x:c r="B1591"/>
      <x:c r="C1591"/>
      <x:c r="D1591"/>
      <x:c r="E1591"/>
      <x:c r="F1591"/>
      <x:c r="G1591"/>
    </x:row>
    <x:row r="1592">
      <x:c r="A1592"/>
      <x:c r="B1592"/>
      <x:c r="C1592"/>
      <x:c r="D1592"/>
      <x:c r="E1592"/>
      <x:c r="F1592"/>
      <x:c r="G1592"/>
    </x:row>
    <x:row r="1593">
      <x:c r="A1593"/>
      <x:c r="B1593"/>
      <x:c r="C1593"/>
      <x:c r="D1593"/>
      <x:c r="E1593"/>
      <x:c r="F1593"/>
      <x:c r="G1593"/>
    </x:row>
    <x:row r="1594">
      <x:c r="A1594"/>
      <x:c r="B1594"/>
      <x:c r="C1594"/>
      <x:c r="D1594"/>
      <x:c r="E1594"/>
      <x:c r="F1594"/>
      <x:c r="G1594"/>
    </x:row>
    <x:row r="1595">
      <x:c r="A1595"/>
      <x:c r="B1595"/>
      <x:c r="C1595"/>
      <x:c r="D1595"/>
      <x:c r="E1595"/>
      <x:c r="F1595"/>
      <x:c r="G1595"/>
    </x:row>
    <x:row r="1596">
      <x:c r="A1596"/>
      <x:c r="B1596"/>
      <x:c r="C1596"/>
      <x:c r="D1596"/>
      <x:c r="E1596"/>
      <x:c r="F1596"/>
      <x:c r="G1596"/>
    </x:row>
    <x:row r="1597">
      <x:c r="A1597"/>
      <x:c r="B1597"/>
      <x:c r="C1597"/>
      <x:c r="D1597"/>
      <x:c r="E1597"/>
      <x:c r="F1597"/>
      <x:c r="G1597"/>
    </x:row>
    <x:row r="1598">
      <x:c r="A1598"/>
      <x:c r="B1598"/>
      <x:c r="C1598"/>
      <x:c r="D1598"/>
      <x:c r="E1598"/>
      <x:c r="F1598"/>
      <x:c r="G1598"/>
    </x:row>
    <x:row r="1599">
      <x:c r="A1599"/>
      <x:c r="B1599"/>
      <x:c r="C1599"/>
      <x:c r="D1599"/>
      <x:c r="E1599"/>
      <x:c r="F1599"/>
      <x:c r="G1599"/>
    </x:row>
    <x:row r="1600">
      <x:c r="A1600"/>
      <x:c r="B1600"/>
      <x:c r="C1600"/>
      <x:c r="D1600"/>
      <x:c r="E1600"/>
      <x:c r="F1600"/>
      <x:c r="G1600"/>
    </x:row>
    <x:row r="1601">
      <x:c r="A1601"/>
      <x:c r="B1601"/>
      <x:c r="C1601"/>
      <x:c r="D1601"/>
      <x:c r="E1601"/>
      <x:c r="F1601"/>
      <x:c r="G1601"/>
    </x:row>
    <x:row r="1602">
      <x:c r="A1602"/>
      <x:c r="B1602"/>
      <x:c r="C1602"/>
      <x:c r="D1602"/>
      <x:c r="E1602"/>
      <x:c r="F1602"/>
      <x:c r="G1602"/>
    </x:row>
    <x:row r="1603">
      <x:c r="A1603"/>
      <x:c r="B1603"/>
      <x:c r="C1603"/>
      <x:c r="D1603"/>
      <x:c r="E1603"/>
      <x:c r="F1603"/>
      <x:c r="G1603"/>
    </x:row>
    <x:row r="1604">
      <x:c r="A1604"/>
      <x:c r="B1604"/>
      <x:c r="C1604"/>
      <x:c r="D1604"/>
      <x:c r="E1604"/>
      <x:c r="F1604"/>
      <x:c r="G1604"/>
    </x:row>
    <x:row r="1605">
      <x:c r="A1605"/>
      <x:c r="B1605"/>
      <x:c r="C1605"/>
      <x:c r="D1605"/>
      <x:c r="E1605"/>
      <x:c r="F1605"/>
      <x:c r="G1605"/>
    </x:row>
    <x:row r="1606">
      <x:c r="A1606"/>
      <x:c r="B1606"/>
      <x:c r="C1606"/>
      <x:c r="D1606"/>
      <x:c r="E1606"/>
      <x:c r="F1606"/>
      <x:c r="G1606"/>
    </x:row>
    <x:row r="1607">
      <x:c r="A1607"/>
      <x:c r="B1607"/>
      <x:c r="C1607"/>
      <x:c r="D1607"/>
      <x:c r="E1607"/>
      <x:c r="F1607"/>
      <x:c r="G1607"/>
    </x:row>
    <x:row r="1608">
      <x:c r="A1608"/>
      <x:c r="B1608"/>
      <x:c r="C1608"/>
      <x:c r="D1608"/>
      <x:c r="E1608"/>
      <x:c r="F1608"/>
      <x:c r="G1608"/>
    </x:row>
    <x:row r="1609">
      <x:c r="A1609"/>
      <x:c r="B1609"/>
      <x:c r="C1609"/>
      <x:c r="D1609"/>
      <x:c r="E1609"/>
      <x:c r="F1609"/>
      <x:c r="G1609"/>
    </x:row>
    <x:row r="1610">
      <x:c r="A1610"/>
      <x:c r="B1610"/>
      <x:c r="C1610"/>
      <x:c r="D1610"/>
      <x:c r="E1610"/>
      <x:c r="F1610"/>
      <x:c r="G1610"/>
    </x:row>
    <x:row r="1611">
      <x:c r="A1611"/>
      <x:c r="B1611"/>
      <x:c r="C1611"/>
      <x:c r="D1611"/>
      <x:c r="E1611"/>
      <x:c r="F1611"/>
      <x:c r="G1611"/>
    </x:row>
    <x:row r="1612">
      <x:c r="A1612"/>
      <x:c r="B1612"/>
      <x:c r="C1612"/>
      <x:c r="D1612"/>
      <x:c r="E1612"/>
      <x:c r="F1612"/>
      <x:c r="G1612"/>
    </x:row>
    <x:row r="1613">
      <x:c r="A1613"/>
      <x:c r="B1613"/>
      <x:c r="C1613"/>
      <x:c r="D1613"/>
      <x:c r="E1613"/>
      <x:c r="F1613"/>
      <x:c r="G1613"/>
    </x:row>
    <x:row r="1614">
      <x:c r="A1614"/>
      <x:c r="B1614"/>
      <x:c r="C1614"/>
      <x:c r="D1614"/>
      <x:c r="E1614"/>
      <x:c r="F1614"/>
      <x:c r="G1614"/>
    </x:row>
    <x:row r="1615">
      <x:c r="A1615"/>
      <x:c r="B1615"/>
      <x:c r="C1615"/>
      <x:c r="D1615"/>
      <x:c r="E1615"/>
      <x:c r="F1615"/>
      <x:c r="G1615"/>
    </x:row>
    <x:row r="1616">
      <x:c r="A1616"/>
      <x:c r="B1616"/>
      <x:c r="C1616"/>
      <x:c r="D1616"/>
      <x:c r="E1616"/>
      <x:c r="F1616"/>
      <x:c r="G1616"/>
    </x:row>
    <x:row r="1617">
      <x:c r="A1617"/>
      <x:c r="B1617"/>
      <x:c r="C1617"/>
      <x:c r="D1617"/>
      <x:c r="E1617"/>
      <x:c r="F1617"/>
      <x:c r="G1617"/>
    </x:row>
    <x:row r="1618">
      <x:c r="A1618"/>
      <x:c r="B1618"/>
      <x:c r="C1618"/>
      <x:c r="D1618"/>
      <x:c r="E1618"/>
      <x:c r="F1618"/>
      <x:c r="G1618"/>
    </x:row>
    <x:row r="1619">
      <x:c r="A1619"/>
      <x:c r="B1619"/>
      <x:c r="C1619"/>
      <x:c r="D1619"/>
      <x:c r="E1619"/>
      <x:c r="F1619"/>
      <x:c r="G1619"/>
    </x:row>
    <x:row r="1620">
      <x:c r="A1620"/>
      <x:c r="B1620"/>
      <x:c r="C1620"/>
      <x:c r="D1620"/>
      <x:c r="E1620"/>
      <x:c r="F1620"/>
      <x:c r="G1620"/>
    </x:row>
    <x:row r="1621">
      <x:c r="A1621"/>
      <x:c r="B1621"/>
      <x:c r="C1621"/>
      <x:c r="D1621"/>
      <x:c r="E1621"/>
      <x:c r="F1621"/>
      <x:c r="G1621"/>
    </x:row>
    <x:row r="1622">
      <x:c r="A1622"/>
      <x:c r="B1622"/>
      <x:c r="C1622"/>
      <x:c r="D1622"/>
      <x:c r="E1622"/>
      <x:c r="F1622"/>
      <x:c r="G1622"/>
    </x:row>
    <x:row r="1623">
      <x:c r="A1623"/>
      <x:c r="B1623"/>
      <x:c r="C1623"/>
      <x:c r="D1623"/>
      <x:c r="E1623"/>
      <x:c r="F1623"/>
      <x:c r="G1623"/>
    </x:row>
    <x:row r="1624">
      <x:c r="A1624"/>
      <x:c r="B1624"/>
      <x:c r="C1624"/>
      <x:c r="D1624"/>
      <x:c r="E1624"/>
      <x:c r="F1624"/>
      <x:c r="G1624"/>
    </x:row>
    <x:row r="1625">
      <x:c r="A1625"/>
      <x:c r="B1625"/>
      <x:c r="C1625"/>
      <x:c r="D1625"/>
      <x:c r="E1625"/>
      <x:c r="F1625"/>
      <x:c r="G1625"/>
    </x:row>
    <x:row r="1626">
      <x:c r="A1626"/>
      <x:c r="B1626"/>
      <x:c r="C1626"/>
      <x:c r="D1626"/>
      <x:c r="E1626"/>
      <x:c r="F1626"/>
      <x:c r="G1626"/>
    </x:row>
    <x:row r="1627">
      <x:c r="A1627"/>
      <x:c r="B1627"/>
      <x:c r="C1627"/>
      <x:c r="D1627"/>
      <x:c r="E1627"/>
      <x:c r="F1627"/>
      <x:c r="G1627"/>
    </x:row>
    <x:row r="1628">
      <x:c r="A1628"/>
      <x:c r="B1628"/>
      <x:c r="C1628"/>
      <x:c r="D1628"/>
      <x:c r="E1628"/>
      <x:c r="F1628"/>
      <x:c r="G1628"/>
    </x:row>
    <x:row r="1629">
      <x:c r="A1629"/>
      <x:c r="B1629"/>
      <x:c r="C1629"/>
      <x:c r="D1629"/>
      <x:c r="E1629"/>
      <x:c r="F1629"/>
      <x:c r="G1629"/>
    </x:row>
    <x:row r="1630">
      <x:c r="A1630"/>
      <x:c r="B1630"/>
      <x:c r="C1630"/>
      <x:c r="D1630"/>
      <x:c r="E1630"/>
      <x:c r="F1630"/>
      <x:c r="G1630"/>
    </x:row>
    <x:row r="1631">
      <x:c r="A1631"/>
      <x:c r="B1631"/>
      <x:c r="C1631"/>
      <x:c r="D1631"/>
      <x:c r="E1631"/>
      <x:c r="F1631"/>
      <x:c r="G1631"/>
    </x:row>
    <x:row r="1632">
      <x:c r="A1632"/>
      <x:c r="B1632"/>
      <x:c r="C1632"/>
      <x:c r="D1632"/>
      <x:c r="E1632"/>
      <x:c r="F1632"/>
      <x:c r="G1632"/>
    </x:row>
    <x:row r="1633">
      <x:c r="A1633"/>
      <x:c r="B1633"/>
      <x:c r="C1633"/>
      <x:c r="D1633"/>
      <x:c r="E1633"/>
      <x:c r="F1633"/>
      <x:c r="G1633"/>
    </x:row>
    <x:row r="1634">
      <x:c r="A1634"/>
      <x:c r="B1634"/>
      <x:c r="C1634"/>
      <x:c r="D1634"/>
      <x:c r="E1634"/>
      <x:c r="F1634"/>
      <x:c r="G1634"/>
    </x:row>
    <x:row r="1635">
      <x:c r="A1635"/>
      <x:c r="B1635"/>
      <x:c r="C1635"/>
      <x:c r="D1635"/>
      <x:c r="E1635"/>
      <x:c r="F1635"/>
      <x:c r="G1635"/>
    </x:row>
    <x:row r="1636">
      <x:c r="A1636"/>
      <x:c r="B1636"/>
      <x:c r="C1636"/>
      <x:c r="D1636"/>
      <x:c r="E1636"/>
      <x:c r="F1636"/>
      <x:c r="G1636"/>
    </x:row>
    <x:row r="1637">
      <x:c r="A1637"/>
      <x:c r="B1637"/>
      <x:c r="C1637"/>
      <x:c r="D1637"/>
      <x:c r="E1637"/>
      <x:c r="F1637"/>
      <x:c r="G1637"/>
    </x:row>
    <x:row r="1638">
      <x:c r="A1638"/>
      <x:c r="B1638"/>
      <x:c r="C1638"/>
      <x:c r="D1638"/>
      <x:c r="E1638"/>
      <x:c r="F1638"/>
      <x:c r="G1638"/>
    </x:row>
    <x:row r="1639">
      <x:c r="A1639"/>
      <x:c r="B1639"/>
      <x:c r="C1639"/>
      <x:c r="D1639"/>
      <x:c r="E1639"/>
      <x:c r="F1639"/>
      <x:c r="G1639"/>
    </x:row>
    <x:row r="1640">
      <x:c r="A1640"/>
      <x:c r="B1640"/>
      <x:c r="C1640"/>
      <x:c r="D1640"/>
      <x:c r="E1640"/>
      <x:c r="F1640"/>
      <x:c r="G1640"/>
    </x:row>
    <x:row r="1641">
      <x:c r="A1641"/>
      <x:c r="B1641"/>
      <x:c r="C1641"/>
      <x:c r="D1641"/>
      <x:c r="E1641"/>
      <x:c r="F1641"/>
      <x:c r="G1641"/>
    </x:row>
    <x:row r="1642">
      <x:c r="A1642"/>
      <x:c r="B1642"/>
      <x:c r="C1642"/>
      <x:c r="D1642"/>
      <x:c r="E1642"/>
      <x:c r="F1642"/>
      <x:c r="G1642"/>
    </x:row>
    <x:row r="1643">
      <x:c r="A1643"/>
      <x:c r="B1643"/>
      <x:c r="C1643"/>
      <x:c r="D1643"/>
      <x:c r="E1643"/>
      <x:c r="F1643"/>
      <x:c r="G1643"/>
    </x:row>
    <x:row r="1644">
      <x:c r="A1644"/>
      <x:c r="B1644"/>
      <x:c r="C1644"/>
      <x:c r="D1644"/>
      <x:c r="E1644"/>
      <x:c r="F1644"/>
      <x:c r="G1644"/>
    </x:row>
    <x:row r="1645">
      <x:c r="A1645"/>
      <x:c r="B1645"/>
      <x:c r="C1645"/>
      <x:c r="D1645"/>
      <x:c r="E1645"/>
      <x:c r="F1645"/>
      <x:c r="G1645"/>
    </x:row>
    <x:row r="1646">
      <x:c r="A1646"/>
      <x:c r="B1646"/>
      <x:c r="C1646"/>
      <x:c r="D1646"/>
      <x:c r="E1646"/>
      <x:c r="F1646"/>
      <x:c r="G1646"/>
    </x:row>
    <x:row r="1647">
      <x:c r="A1647"/>
      <x:c r="B1647"/>
      <x:c r="C1647"/>
      <x:c r="D1647"/>
      <x:c r="E1647"/>
      <x:c r="F1647"/>
      <x:c r="G1647"/>
    </x:row>
    <x:row r="1648">
      <x:c r="A1648"/>
      <x:c r="B1648"/>
      <x:c r="C1648"/>
      <x:c r="D1648"/>
      <x:c r="E1648"/>
      <x:c r="F1648"/>
      <x:c r="G1648"/>
    </x:row>
    <x:row r="1649">
      <x:c r="A1649"/>
      <x:c r="B1649"/>
      <x:c r="C1649"/>
      <x:c r="D1649"/>
      <x:c r="E1649"/>
      <x:c r="F1649"/>
      <x:c r="G1649"/>
    </x:row>
    <x:row r="1650">
      <x:c r="A1650"/>
      <x:c r="B1650"/>
      <x:c r="C1650"/>
      <x:c r="D1650"/>
      <x:c r="E1650"/>
      <x:c r="F1650"/>
      <x:c r="G1650"/>
    </x:row>
    <x:row r="1651">
      <x:c r="A1651"/>
      <x:c r="B1651"/>
      <x:c r="C1651"/>
      <x:c r="D1651"/>
      <x:c r="E1651"/>
      <x:c r="F1651"/>
      <x:c r="G1651"/>
    </x:row>
    <x:row r="1652">
      <x:c r="A1652"/>
      <x:c r="B1652"/>
      <x:c r="C1652"/>
      <x:c r="D1652"/>
      <x:c r="E1652"/>
      <x:c r="F1652"/>
      <x:c r="G1652"/>
    </x:row>
    <x:row r="1653">
      <x:c r="A1653"/>
      <x:c r="B1653"/>
      <x:c r="C1653"/>
      <x:c r="D1653"/>
      <x:c r="E1653"/>
      <x:c r="F1653"/>
      <x:c r="G1653"/>
    </x:row>
    <x:row r="1654">
      <x:c r="A1654"/>
      <x:c r="B1654"/>
      <x:c r="C1654"/>
      <x:c r="D1654"/>
      <x:c r="E1654"/>
      <x:c r="F1654"/>
      <x:c r="G1654"/>
    </x:row>
    <x:row r="1655">
      <x:c r="A1655"/>
      <x:c r="B1655"/>
      <x:c r="C1655"/>
      <x:c r="D1655"/>
      <x:c r="E1655"/>
      <x:c r="F1655"/>
      <x:c r="G1655"/>
    </x:row>
    <x:row r="1656">
      <x:c r="A1656"/>
      <x:c r="B1656"/>
      <x:c r="C1656"/>
      <x:c r="D1656"/>
      <x:c r="E1656"/>
      <x:c r="F1656"/>
      <x:c r="G1656"/>
    </x:row>
    <x:row r="1657">
      <x:c r="A1657"/>
      <x:c r="B1657"/>
      <x:c r="C1657"/>
      <x:c r="D1657"/>
      <x:c r="E1657"/>
      <x:c r="F1657"/>
      <x:c r="G1657"/>
    </x:row>
    <x:row r="1658">
      <x:c r="A1658"/>
      <x:c r="B1658"/>
      <x:c r="C1658"/>
      <x:c r="D1658"/>
      <x:c r="E1658"/>
      <x:c r="F1658"/>
      <x:c r="G1658"/>
    </x:row>
    <x:row r="1659">
      <x:c r="A1659"/>
      <x:c r="B1659"/>
      <x:c r="C1659"/>
      <x:c r="D1659"/>
      <x:c r="E1659"/>
      <x:c r="F1659"/>
      <x:c r="G1659"/>
    </x:row>
    <x:row r="1660">
      <x:c r="A1660"/>
      <x:c r="B1660"/>
      <x:c r="C1660"/>
      <x:c r="D1660"/>
      <x:c r="E1660"/>
      <x:c r="F1660"/>
      <x:c r="G1660"/>
    </x:row>
    <x:row r="1661">
      <x:c r="A1661"/>
      <x:c r="B1661"/>
      <x:c r="C1661"/>
      <x:c r="D1661"/>
      <x:c r="E1661"/>
      <x:c r="F1661"/>
      <x:c r="G1661"/>
    </x:row>
    <x:row r="1662">
      <x:c r="A1662"/>
      <x:c r="B1662"/>
      <x:c r="C1662"/>
      <x:c r="D1662"/>
      <x:c r="E1662"/>
      <x:c r="F1662"/>
      <x:c r="G1662"/>
    </x:row>
    <x:row r="1663">
      <x:c r="A1663"/>
      <x:c r="B1663"/>
      <x:c r="C1663"/>
      <x:c r="D1663"/>
      <x:c r="E1663"/>
      <x:c r="F1663"/>
      <x:c r="G1663"/>
    </x:row>
    <x:row r="1664">
      <x:c r="A1664"/>
      <x:c r="B1664"/>
      <x:c r="C1664"/>
      <x:c r="D1664"/>
      <x:c r="E1664"/>
      <x:c r="F1664"/>
      <x:c r="G1664"/>
    </x:row>
    <x:row r="1665">
      <x:c r="A1665"/>
      <x:c r="B1665"/>
      <x:c r="C1665"/>
      <x:c r="D1665"/>
      <x:c r="E1665"/>
      <x:c r="F1665"/>
      <x:c r="G1665"/>
    </x:row>
    <x:row r="1666">
      <x:c r="A1666"/>
      <x:c r="B1666"/>
      <x:c r="C1666"/>
      <x:c r="D1666"/>
      <x:c r="E1666"/>
      <x:c r="F1666"/>
      <x:c r="G1666"/>
    </x:row>
    <x:row r="1667">
      <x:c r="A1667"/>
      <x:c r="B1667"/>
      <x:c r="C1667"/>
      <x:c r="D1667"/>
      <x:c r="E1667"/>
      <x:c r="F1667"/>
      <x:c r="G1667"/>
    </x:row>
    <x:row r="1668">
      <x:c r="A1668"/>
      <x:c r="B1668"/>
      <x:c r="C1668"/>
      <x:c r="D1668"/>
      <x:c r="E1668"/>
      <x:c r="F1668"/>
      <x:c r="G1668"/>
    </x:row>
    <x:row r="1669">
      <x:c r="A1669"/>
      <x:c r="B1669"/>
      <x:c r="C1669"/>
      <x:c r="D1669"/>
      <x:c r="E1669"/>
      <x:c r="F1669"/>
      <x:c r="G1669"/>
    </x:row>
    <x:row r="1670">
      <x:c r="A1670"/>
      <x:c r="B1670"/>
      <x:c r="C1670"/>
      <x:c r="D1670"/>
      <x:c r="E1670"/>
      <x:c r="F1670"/>
      <x:c r="G1670"/>
    </x:row>
    <x:row r="1671">
      <x:c r="A1671"/>
      <x:c r="B1671"/>
      <x:c r="C1671"/>
      <x:c r="D1671"/>
      <x:c r="E1671"/>
      <x:c r="F1671"/>
      <x:c r="G1671"/>
    </x:row>
    <x:row r="1672">
      <x:c r="A1672"/>
      <x:c r="B1672"/>
      <x:c r="C1672"/>
      <x:c r="D1672"/>
      <x:c r="E1672"/>
      <x:c r="F1672"/>
      <x:c r="G1672"/>
    </x:row>
    <x:row r="1673">
      <x:c r="A1673"/>
      <x:c r="B1673"/>
      <x:c r="C1673"/>
      <x:c r="D1673"/>
      <x:c r="E1673"/>
      <x:c r="F1673"/>
      <x:c r="G1673"/>
    </x:row>
    <x:row r="1674">
      <x:c r="A1674"/>
      <x:c r="B1674"/>
      <x:c r="C1674"/>
      <x:c r="D1674"/>
      <x:c r="E1674"/>
      <x:c r="F1674"/>
      <x:c r="G1674"/>
    </x:row>
    <x:row r="1675">
      <x:c r="A1675"/>
      <x:c r="B1675"/>
      <x:c r="C1675"/>
      <x:c r="D1675"/>
      <x:c r="E1675"/>
      <x:c r="F1675"/>
      <x:c r="G1675"/>
    </x:row>
    <x:row r="1676">
      <x:c r="A1676"/>
      <x:c r="B1676"/>
      <x:c r="C1676"/>
      <x:c r="D1676"/>
      <x:c r="E1676"/>
      <x:c r="F1676"/>
      <x:c r="G1676"/>
    </x:row>
    <x:row r="1677">
      <x:c r="A1677"/>
      <x:c r="B1677"/>
      <x:c r="C1677"/>
      <x:c r="D1677"/>
      <x:c r="E1677"/>
      <x:c r="F1677"/>
      <x:c r="G1677"/>
    </x:row>
    <x:row r="1678">
      <x:c r="A1678"/>
      <x:c r="B1678"/>
      <x:c r="C1678"/>
      <x:c r="D1678"/>
      <x:c r="E1678"/>
      <x:c r="F1678"/>
      <x:c r="G1678"/>
    </x:row>
    <x:row r="1679">
      <x:c r="A1679"/>
      <x:c r="B1679"/>
      <x:c r="C1679"/>
      <x:c r="D1679"/>
      <x:c r="E1679"/>
      <x:c r="F1679"/>
      <x:c r="G1679"/>
    </x:row>
    <x:row r="1680">
      <x:c r="A1680"/>
      <x:c r="B1680"/>
      <x:c r="C1680"/>
      <x:c r="D1680"/>
      <x:c r="E1680"/>
      <x:c r="F1680"/>
      <x:c r="G1680"/>
    </x:row>
    <x:row r="1681">
      <x:c r="A1681"/>
      <x:c r="B1681"/>
      <x:c r="C1681"/>
      <x:c r="D1681"/>
      <x:c r="E1681"/>
      <x:c r="F1681"/>
      <x:c r="G1681"/>
    </x:row>
    <x:row r="1682">
      <x:c r="A1682"/>
      <x:c r="B1682"/>
      <x:c r="C1682"/>
      <x:c r="D1682"/>
      <x:c r="E1682"/>
      <x:c r="F1682"/>
      <x:c r="G1682"/>
    </x:row>
    <x:row r="1683">
      <x:c r="A1683"/>
      <x:c r="B1683"/>
      <x:c r="C1683"/>
      <x:c r="D1683"/>
      <x:c r="E1683"/>
      <x:c r="F1683"/>
      <x:c r="G1683"/>
    </x:row>
    <x:row r="1684">
      <x:c r="A1684"/>
      <x:c r="B1684"/>
      <x:c r="C1684"/>
      <x:c r="D1684"/>
      <x:c r="E1684"/>
      <x:c r="F1684"/>
      <x:c r="G1684"/>
    </x:row>
    <x:row r="1685">
      <x:c r="A1685"/>
      <x:c r="B1685"/>
      <x:c r="C1685"/>
      <x:c r="D1685"/>
      <x:c r="E1685"/>
      <x:c r="F1685"/>
      <x:c r="G1685"/>
    </x:row>
    <x:row r="1686">
      <x:c r="A1686"/>
      <x:c r="B1686"/>
      <x:c r="C1686"/>
      <x:c r="D1686"/>
      <x:c r="E1686"/>
      <x:c r="F1686"/>
      <x:c r="G1686"/>
    </x:row>
    <x:row r="1687">
      <x:c r="A1687"/>
      <x:c r="B1687"/>
      <x:c r="C1687"/>
      <x:c r="D1687"/>
      <x:c r="E1687"/>
      <x:c r="F1687"/>
      <x:c r="G1687"/>
    </x:row>
    <x:row r="1688">
      <x:c r="A1688"/>
      <x:c r="B1688"/>
      <x:c r="C1688"/>
      <x:c r="D1688"/>
      <x:c r="E1688"/>
      <x:c r="F1688"/>
      <x:c r="G1688"/>
    </x:row>
    <x:row r="1689">
      <x:c r="A1689"/>
      <x:c r="B1689"/>
      <x:c r="C1689"/>
      <x:c r="D1689"/>
      <x:c r="E1689"/>
      <x:c r="F1689"/>
      <x:c r="G1689"/>
    </x:row>
    <x:row r="1690">
      <x:c r="A1690"/>
      <x:c r="B1690"/>
      <x:c r="C1690"/>
      <x:c r="D1690"/>
      <x:c r="E1690"/>
      <x:c r="F1690"/>
      <x:c r="G1690"/>
    </x:row>
    <x:row r="1691">
      <x:c r="A1691"/>
      <x:c r="B1691"/>
      <x:c r="C1691"/>
      <x:c r="D1691"/>
      <x:c r="E1691"/>
      <x:c r="F1691"/>
      <x:c r="G1691"/>
    </x:row>
    <x:row r="1692">
      <x:c r="A1692"/>
      <x:c r="B1692"/>
      <x:c r="C1692"/>
      <x:c r="D1692"/>
      <x:c r="E1692"/>
      <x:c r="F1692"/>
      <x:c r="G1692"/>
    </x:row>
    <x:row r="1693">
      <x:c r="A1693"/>
      <x:c r="B1693"/>
      <x:c r="C1693"/>
      <x:c r="D1693"/>
      <x:c r="E1693"/>
      <x:c r="F1693"/>
      <x:c r="G1693"/>
    </x:row>
    <x:row r="1694">
      <x:c r="A1694"/>
      <x:c r="B1694"/>
      <x:c r="C1694"/>
      <x:c r="D1694"/>
      <x:c r="E1694"/>
      <x:c r="F1694"/>
      <x:c r="G1694"/>
    </x:row>
    <x:row r="1695">
      <x:c r="A1695"/>
      <x:c r="B1695"/>
      <x:c r="C1695"/>
      <x:c r="D1695"/>
      <x:c r="E1695"/>
      <x:c r="F1695"/>
      <x:c r="G1695"/>
    </x:row>
    <x:row r="1696">
      <x:c r="A1696"/>
      <x:c r="B1696"/>
      <x:c r="C1696"/>
      <x:c r="D1696"/>
      <x:c r="E1696"/>
      <x:c r="F1696"/>
      <x:c r="G1696"/>
    </x:row>
    <x:row r="1697">
      <x:c r="A1697"/>
      <x:c r="B1697"/>
      <x:c r="C1697"/>
      <x:c r="D1697"/>
      <x:c r="E1697"/>
      <x:c r="F1697"/>
      <x:c r="G1697"/>
    </x:row>
    <x:row r="1698">
      <x:c r="A1698"/>
      <x:c r="B1698"/>
      <x:c r="C1698"/>
      <x:c r="D1698"/>
      <x:c r="E1698"/>
      <x:c r="F1698"/>
      <x:c r="G1698"/>
    </x:row>
    <x:row r="1699">
      <x:c r="A1699"/>
      <x:c r="B1699"/>
      <x:c r="C1699"/>
      <x:c r="D1699"/>
      <x:c r="E1699"/>
      <x:c r="F1699"/>
      <x:c r="G1699"/>
    </x:row>
    <x:row r="1700">
      <x:c r="A1700"/>
      <x:c r="B1700"/>
      <x:c r="C1700"/>
      <x:c r="D1700"/>
      <x:c r="E1700"/>
      <x:c r="F1700"/>
      <x:c r="G1700"/>
    </x:row>
    <x:row r="1701">
      <x:c r="A1701"/>
      <x:c r="B1701"/>
      <x:c r="C1701"/>
      <x:c r="D1701"/>
      <x:c r="E1701"/>
      <x:c r="F1701"/>
      <x:c r="G1701"/>
    </x:row>
    <x:row r="1702">
      <x:c r="A1702"/>
      <x:c r="B1702"/>
      <x:c r="C1702"/>
      <x:c r="D1702"/>
      <x:c r="E1702"/>
      <x:c r="F1702"/>
      <x:c r="G1702"/>
    </x:row>
    <x:row r="1703">
      <x:c r="A1703"/>
      <x:c r="B1703"/>
      <x:c r="C1703"/>
      <x:c r="D1703"/>
      <x:c r="E1703"/>
      <x:c r="F1703"/>
      <x:c r="G1703"/>
    </x:row>
    <x:row r="1704">
      <x:c r="A1704"/>
      <x:c r="B1704"/>
      <x:c r="C1704"/>
      <x:c r="D1704"/>
      <x:c r="E1704"/>
      <x:c r="F1704"/>
      <x:c r="G1704"/>
    </x:row>
    <x:row r="1705">
      <x:c r="A1705"/>
      <x:c r="B1705"/>
      <x:c r="C1705"/>
      <x:c r="D1705"/>
      <x:c r="E1705"/>
      <x:c r="F1705"/>
      <x:c r="G1705"/>
    </x:row>
    <x:row r="1706">
      <x:c r="A1706"/>
      <x:c r="B1706"/>
      <x:c r="C1706"/>
      <x:c r="D1706"/>
      <x:c r="E1706"/>
      <x:c r="F1706"/>
      <x:c r="G1706"/>
    </x:row>
    <x:row r="1707">
      <x:c r="A1707"/>
      <x:c r="B1707"/>
      <x:c r="C1707"/>
      <x:c r="D1707"/>
      <x:c r="E1707"/>
      <x:c r="F1707"/>
      <x:c r="G1707"/>
    </x:row>
    <x:row r="1708">
      <x:c r="A1708"/>
      <x:c r="B1708"/>
      <x:c r="C1708"/>
      <x:c r="D1708"/>
      <x:c r="E1708"/>
      <x:c r="F1708"/>
      <x:c r="G1708"/>
    </x:row>
    <x:row r="1709">
      <x:c r="A1709"/>
      <x:c r="B1709"/>
      <x:c r="C1709"/>
      <x:c r="D1709"/>
      <x:c r="E1709"/>
      <x:c r="F1709"/>
      <x:c r="G1709"/>
    </x:row>
    <x:row r="1710">
      <x:c r="A1710"/>
      <x:c r="B1710"/>
      <x:c r="C1710"/>
      <x:c r="D1710"/>
      <x:c r="E1710"/>
      <x:c r="F1710"/>
      <x:c r="G1710"/>
    </x:row>
    <x:row r="1711">
      <x:c r="A1711"/>
      <x:c r="B1711"/>
      <x:c r="C1711"/>
      <x:c r="D1711"/>
      <x:c r="E1711"/>
      <x:c r="F1711"/>
      <x:c r="G1711"/>
    </x:row>
    <x:row r="1712">
      <x:c r="A1712"/>
      <x:c r="B1712"/>
      <x:c r="C1712"/>
      <x:c r="D1712"/>
      <x:c r="E1712"/>
      <x:c r="F1712"/>
      <x:c r="G1712"/>
    </x:row>
    <x:row r="1713">
      <x:c r="A1713"/>
      <x:c r="B1713"/>
      <x:c r="C1713"/>
      <x:c r="D1713"/>
      <x:c r="E1713"/>
      <x:c r="F1713"/>
      <x:c r="G1713"/>
    </x:row>
    <x:row r="1714">
      <x:c r="A1714"/>
      <x:c r="B1714"/>
      <x:c r="C1714"/>
      <x:c r="D1714"/>
      <x:c r="E1714"/>
      <x:c r="F1714"/>
      <x:c r="G1714"/>
    </x:row>
    <x:row r="1715">
      <x:c r="A1715"/>
      <x:c r="B1715"/>
      <x:c r="C1715"/>
      <x:c r="D1715"/>
      <x:c r="E1715"/>
      <x:c r="F1715"/>
      <x:c r="G1715"/>
    </x:row>
    <x:row r="1716">
      <x:c r="A1716"/>
      <x:c r="B1716"/>
      <x:c r="C1716"/>
      <x:c r="D1716"/>
      <x:c r="E1716"/>
      <x:c r="F1716"/>
      <x:c r="G1716"/>
    </x:row>
    <x:row r="1717">
      <x:c r="A1717"/>
      <x:c r="B1717"/>
      <x:c r="C1717"/>
      <x:c r="D1717"/>
      <x:c r="E1717"/>
      <x:c r="F1717"/>
      <x:c r="G1717"/>
    </x:row>
    <x:row r="1718">
      <x:c r="A1718"/>
      <x:c r="B1718"/>
      <x:c r="C1718"/>
      <x:c r="D1718"/>
      <x:c r="E1718"/>
      <x:c r="F1718"/>
      <x:c r="G1718"/>
    </x:row>
    <x:row r="1719">
      <x:c r="A1719"/>
      <x:c r="B1719"/>
      <x:c r="C1719"/>
      <x:c r="D1719"/>
      <x:c r="E1719"/>
      <x:c r="F1719"/>
      <x:c r="G1719"/>
    </x:row>
    <x:row r="1720">
      <x:c r="A1720"/>
      <x:c r="B1720"/>
      <x:c r="C1720"/>
      <x:c r="D1720"/>
      <x:c r="E1720"/>
      <x:c r="F1720"/>
      <x:c r="G1720"/>
    </x:row>
    <x:row r="1721">
      <x:c r="A1721"/>
      <x:c r="B1721"/>
      <x:c r="C1721"/>
      <x:c r="D1721"/>
      <x:c r="E1721"/>
      <x:c r="F1721"/>
      <x:c r="G1721"/>
    </x:row>
    <x:row r="1722">
      <x:c r="A1722"/>
      <x:c r="B1722"/>
      <x:c r="C1722"/>
      <x:c r="D1722"/>
      <x:c r="E1722"/>
      <x:c r="F1722"/>
      <x:c r="G1722"/>
    </x:row>
    <x:row r="1723">
      <x:c r="A1723"/>
      <x:c r="B1723"/>
      <x:c r="C1723"/>
      <x:c r="D1723"/>
      <x:c r="E1723"/>
      <x:c r="F1723"/>
      <x:c r="G1723"/>
    </x:row>
    <x:row r="1724">
      <x:c r="A1724"/>
      <x:c r="B1724"/>
      <x:c r="C1724"/>
      <x:c r="D1724"/>
      <x:c r="E1724"/>
      <x:c r="F1724"/>
      <x:c r="G1724"/>
    </x:row>
    <x:row r="1725">
      <x:c r="A1725"/>
      <x:c r="B1725"/>
      <x:c r="C1725"/>
      <x:c r="D1725"/>
      <x:c r="E1725"/>
      <x:c r="F1725"/>
      <x:c r="G1725"/>
    </x:row>
    <x:row r="1726">
      <x:c r="A1726"/>
      <x:c r="B1726"/>
      <x:c r="C1726"/>
      <x:c r="D1726"/>
      <x:c r="E1726"/>
      <x:c r="F1726"/>
      <x:c r="G1726"/>
    </x:row>
    <x:row r="1727">
      <x:c r="A1727"/>
      <x:c r="B1727"/>
      <x:c r="C1727"/>
      <x:c r="D1727"/>
      <x:c r="E1727"/>
      <x:c r="F1727"/>
      <x:c r="G1727"/>
    </x:row>
    <x:row r="1728">
      <x:c r="A1728"/>
      <x:c r="B1728"/>
      <x:c r="C1728"/>
      <x:c r="D1728"/>
      <x:c r="E1728"/>
      <x:c r="F1728"/>
      <x:c r="G1728"/>
    </x:row>
    <x:row r="1729">
      <x:c r="A1729"/>
      <x:c r="B1729"/>
      <x:c r="C1729"/>
      <x:c r="D1729"/>
      <x:c r="E1729"/>
      <x:c r="F1729"/>
      <x:c r="G1729"/>
    </x:row>
    <x:row r="1730">
      <x:c r="A1730"/>
      <x:c r="B1730"/>
      <x:c r="C1730"/>
      <x:c r="D1730"/>
      <x:c r="E1730"/>
      <x:c r="F1730"/>
      <x:c r="G1730"/>
    </x:row>
    <x:row r="1731">
      <x:c r="A1731"/>
      <x:c r="B1731"/>
      <x:c r="C1731"/>
      <x:c r="D1731"/>
      <x:c r="E1731"/>
      <x:c r="F1731"/>
      <x:c r="G1731"/>
    </x:row>
    <x:row r="1732">
      <x:c r="A1732"/>
      <x:c r="B1732"/>
      <x:c r="C1732"/>
      <x:c r="D1732"/>
      <x:c r="E1732"/>
      <x:c r="F1732"/>
      <x:c r="G1732"/>
    </x:row>
    <x:row r="1733">
      <x:c r="A1733"/>
      <x:c r="B1733"/>
      <x:c r="C1733"/>
      <x:c r="D1733"/>
      <x:c r="E1733"/>
      <x:c r="F1733"/>
      <x:c r="G1733"/>
    </x:row>
    <x:row r="1734">
      <x:c r="A1734"/>
      <x:c r="B1734"/>
      <x:c r="C1734"/>
      <x:c r="D1734"/>
      <x:c r="E1734"/>
      <x:c r="F1734"/>
      <x:c r="G1734"/>
    </x:row>
    <x:row r="1735">
      <x:c r="A1735"/>
      <x:c r="B1735"/>
      <x:c r="C1735"/>
      <x:c r="D1735"/>
      <x:c r="E1735"/>
      <x:c r="F1735"/>
      <x:c r="G1735"/>
    </x:row>
    <x:row r="1736">
      <x:c r="A1736"/>
      <x:c r="B1736"/>
      <x:c r="C1736"/>
      <x:c r="D1736"/>
      <x:c r="E1736"/>
      <x:c r="F1736"/>
      <x:c r="G1736"/>
    </x:row>
    <x:row r="1737">
      <x:c r="A1737"/>
      <x:c r="B1737"/>
      <x:c r="C1737"/>
      <x:c r="D1737"/>
      <x:c r="E1737"/>
      <x:c r="F1737"/>
      <x:c r="G1737"/>
    </x:row>
    <x:row r="1738">
      <x:c r="A1738"/>
      <x:c r="B1738"/>
      <x:c r="C1738"/>
      <x:c r="D1738"/>
      <x:c r="E1738"/>
      <x:c r="F1738"/>
      <x:c r="G1738"/>
    </x:row>
    <x:row r="1739">
      <x:c r="A1739"/>
      <x:c r="B1739"/>
      <x:c r="C1739"/>
      <x:c r="D1739"/>
      <x:c r="E1739"/>
      <x:c r="F1739"/>
      <x:c r="G1739"/>
    </x:row>
    <x:row r="1740">
      <x:c r="A1740"/>
      <x:c r="B1740"/>
      <x:c r="C1740"/>
      <x:c r="D1740"/>
      <x:c r="E1740"/>
      <x:c r="F1740"/>
      <x:c r="G1740"/>
    </x:row>
    <x:row r="1741">
      <x:c r="A1741"/>
      <x:c r="B1741"/>
      <x:c r="C1741"/>
      <x:c r="D1741"/>
      <x:c r="E1741"/>
      <x:c r="F1741"/>
      <x:c r="G1741"/>
    </x:row>
    <x:row r="1742">
      <x:c r="A1742"/>
      <x:c r="B1742"/>
      <x:c r="C1742"/>
      <x:c r="D1742"/>
      <x:c r="E1742"/>
      <x:c r="F1742"/>
      <x:c r="G1742"/>
    </x:row>
    <x:row r="1743">
      <x:c r="A1743"/>
      <x:c r="B1743"/>
      <x:c r="C1743"/>
      <x:c r="D1743"/>
      <x:c r="E1743"/>
      <x:c r="F1743"/>
      <x:c r="G1743"/>
    </x:row>
    <x:row r="1744">
      <x:c r="A1744"/>
      <x:c r="B1744"/>
      <x:c r="C1744"/>
      <x:c r="D1744"/>
      <x:c r="E1744"/>
      <x:c r="F1744"/>
      <x:c r="G1744"/>
    </x:row>
    <x:row r="1745">
      <x:c r="A1745"/>
      <x:c r="B1745"/>
      <x:c r="C1745"/>
      <x:c r="D1745"/>
      <x:c r="E1745"/>
      <x:c r="F1745"/>
      <x:c r="G1745"/>
    </x:row>
    <x:row r="1746">
      <x:c r="A1746"/>
      <x:c r="B1746"/>
      <x:c r="C1746"/>
      <x:c r="D1746"/>
      <x:c r="E1746"/>
      <x:c r="F1746"/>
      <x:c r="G1746"/>
    </x:row>
    <x:row r="1747">
      <x:c r="A1747"/>
      <x:c r="B1747"/>
      <x:c r="C1747"/>
      <x:c r="D1747"/>
      <x:c r="E1747"/>
      <x:c r="F1747"/>
      <x:c r="G1747"/>
    </x:row>
    <x:row r="1748">
      <x:c r="A1748"/>
      <x:c r="B1748"/>
      <x:c r="C1748"/>
      <x:c r="D1748"/>
      <x:c r="E1748"/>
      <x:c r="F1748"/>
      <x:c r="G1748"/>
    </x:row>
    <x:row r="1749">
      <x:c r="A1749"/>
      <x:c r="B1749"/>
      <x:c r="C1749"/>
      <x:c r="D1749"/>
      <x:c r="E1749"/>
      <x:c r="F1749"/>
      <x:c r="G1749"/>
    </x:row>
    <x:row r="1750">
      <x:c r="A1750"/>
      <x:c r="B1750"/>
      <x:c r="C1750"/>
      <x:c r="D1750"/>
      <x:c r="E1750"/>
      <x:c r="F1750"/>
      <x:c r="G1750"/>
    </x:row>
    <x:row r="1751">
      <x:c r="A1751"/>
      <x:c r="B1751"/>
      <x:c r="C1751"/>
      <x:c r="D1751"/>
      <x:c r="E1751"/>
      <x:c r="F1751"/>
      <x:c r="G1751"/>
    </x:row>
    <x:row r="1752">
      <x:c r="A1752"/>
      <x:c r="B1752"/>
      <x:c r="C1752"/>
      <x:c r="D1752"/>
      <x:c r="E1752"/>
      <x:c r="F1752"/>
      <x:c r="G1752"/>
    </x:row>
    <x:row r="1753">
      <x:c r="A1753"/>
      <x:c r="B1753"/>
      <x:c r="C1753"/>
      <x:c r="D1753"/>
      <x:c r="E1753"/>
      <x:c r="F1753"/>
      <x:c r="G1753"/>
    </x:row>
    <x:row r="1754">
      <x:c r="A1754"/>
      <x:c r="B1754"/>
      <x:c r="C1754"/>
      <x:c r="D1754"/>
      <x:c r="E1754"/>
      <x:c r="F1754"/>
      <x:c r="G1754"/>
    </x:row>
    <x:row r="1755">
      <x:c r="A1755"/>
      <x:c r="B1755"/>
      <x:c r="C1755"/>
      <x:c r="D1755"/>
      <x:c r="E1755"/>
      <x:c r="F1755"/>
      <x:c r="G1755"/>
    </x:row>
    <x:row r="1756">
      <x:c r="A1756"/>
      <x:c r="B1756"/>
      <x:c r="C1756"/>
      <x:c r="D1756"/>
      <x:c r="E1756"/>
      <x:c r="F1756"/>
      <x:c r="G1756"/>
    </x:row>
    <x:row r="1757">
      <x:c r="A1757"/>
      <x:c r="B1757"/>
      <x:c r="C1757"/>
      <x:c r="D1757"/>
      <x:c r="E1757"/>
      <x:c r="F1757"/>
      <x:c r="G1757"/>
    </x:row>
    <x:row r="1758">
      <x:c r="A1758"/>
      <x:c r="B1758"/>
      <x:c r="C1758"/>
      <x:c r="D1758"/>
      <x:c r="E1758"/>
      <x:c r="F1758"/>
      <x:c r="G1758"/>
    </x:row>
    <x:row r="1759">
      <x:c r="A1759"/>
      <x:c r="B1759"/>
      <x:c r="C1759"/>
      <x:c r="D1759"/>
      <x:c r="E1759"/>
      <x:c r="F1759"/>
      <x:c r="G1759"/>
    </x:row>
    <x:row r="1760">
      <x:c r="A1760"/>
      <x:c r="B1760"/>
      <x:c r="C1760"/>
      <x:c r="D1760"/>
      <x:c r="E1760"/>
      <x:c r="F1760"/>
      <x:c r="G1760"/>
    </x:row>
    <x:row r="1761">
      <x:c r="A1761"/>
      <x:c r="B1761"/>
      <x:c r="C1761"/>
      <x:c r="D1761"/>
      <x:c r="E1761"/>
      <x:c r="F1761"/>
      <x:c r="G1761"/>
    </x:row>
    <x:row r="1762">
      <x:c r="A1762"/>
      <x:c r="B1762"/>
      <x:c r="C1762"/>
      <x:c r="D1762"/>
      <x:c r="E1762"/>
      <x:c r="F1762"/>
      <x:c r="G1762"/>
    </x:row>
    <x:row r="1763">
      <x:c r="A1763"/>
      <x:c r="B1763"/>
      <x:c r="C1763"/>
      <x:c r="D1763"/>
      <x:c r="E1763"/>
      <x:c r="F1763"/>
      <x:c r="G1763"/>
    </x:row>
    <x:row r="1764">
      <x:c r="A1764"/>
      <x:c r="B1764"/>
      <x:c r="C1764"/>
      <x:c r="D1764"/>
      <x:c r="E1764"/>
      <x:c r="F1764"/>
      <x:c r="G1764"/>
    </x:row>
    <x:row r="1765">
      <x:c r="A1765"/>
      <x:c r="B1765"/>
      <x:c r="C1765"/>
      <x:c r="D1765"/>
      <x:c r="E1765"/>
      <x:c r="F1765"/>
      <x:c r="G1765"/>
    </x:row>
    <x:row r="1766">
      <x:c r="A1766"/>
      <x:c r="B1766"/>
      <x:c r="C1766"/>
      <x:c r="D1766"/>
      <x:c r="E1766"/>
      <x:c r="F1766"/>
      <x:c r="G1766"/>
    </x:row>
    <x:row r="1767">
      <x:c r="A1767"/>
      <x:c r="B1767"/>
      <x:c r="C1767"/>
      <x:c r="D1767"/>
      <x:c r="E1767"/>
      <x:c r="F1767"/>
      <x:c r="G1767"/>
    </x:row>
    <x:row r="1768">
      <x:c r="A1768"/>
      <x:c r="B1768"/>
      <x:c r="C1768"/>
      <x:c r="D1768"/>
      <x:c r="E1768"/>
      <x:c r="F1768"/>
      <x:c r="G1768"/>
    </x:row>
    <x:row r="1769">
      <x:c r="A1769"/>
      <x:c r="B1769"/>
      <x:c r="C1769"/>
      <x:c r="D1769"/>
      <x:c r="E1769"/>
      <x:c r="F1769"/>
      <x:c r="G1769"/>
    </x:row>
    <x:row r="1770">
      <x:c r="A1770"/>
      <x:c r="B1770"/>
      <x:c r="C1770"/>
      <x:c r="D1770"/>
      <x:c r="E1770"/>
      <x:c r="F1770"/>
      <x:c r="G1770"/>
    </x:row>
    <x:row r="1771">
      <x:c r="A1771"/>
      <x:c r="B1771"/>
      <x:c r="C1771"/>
      <x:c r="D1771"/>
      <x:c r="E1771"/>
      <x:c r="F1771"/>
      <x:c r="G1771"/>
    </x:row>
    <x:row r="1772">
      <x:c r="A1772"/>
      <x:c r="B1772"/>
      <x:c r="C1772"/>
      <x:c r="D1772"/>
      <x:c r="E1772"/>
      <x:c r="F1772"/>
      <x:c r="G1772"/>
    </x:row>
    <x:row r="1773">
      <x:c r="A1773"/>
      <x:c r="B1773"/>
      <x:c r="C1773"/>
      <x:c r="D1773"/>
      <x:c r="E1773"/>
      <x:c r="F1773"/>
      <x:c r="G1773"/>
    </x:row>
    <x:row r="1774">
      <x:c r="A1774"/>
      <x:c r="B1774"/>
      <x:c r="C1774"/>
      <x:c r="D1774"/>
      <x:c r="E1774"/>
      <x:c r="F1774"/>
      <x:c r="G1774"/>
    </x:row>
    <x:row r="1775">
      <x:c r="A1775"/>
      <x:c r="B1775"/>
      <x:c r="C1775"/>
      <x:c r="D1775"/>
      <x:c r="E1775"/>
      <x:c r="F1775"/>
      <x:c r="G1775"/>
    </x:row>
    <x:row r="1776">
      <x:c r="A1776"/>
      <x:c r="B1776"/>
      <x:c r="C1776"/>
      <x:c r="D1776"/>
      <x:c r="E1776"/>
      <x:c r="F1776"/>
      <x:c r="G1776"/>
    </x:row>
    <x:row r="1777">
      <x:c r="A1777"/>
      <x:c r="B1777"/>
      <x:c r="C1777"/>
      <x:c r="D1777"/>
      <x:c r="E1777"/>
      <x:c r="F1777"/>
      <x:c r="G1777"/>
    </x:row>
    <x:row r="1778">
      <x:c r="A1778"/>
      <x:c r="B1778"/>
      <x:c r="C1778"/>
      <x:c r="D1778"/>
      <x:c r="E1778"/>
      <x:c r="F1778"/>
      <x:c r="G1778"/>
    </x:row>
    <x:row r="1779">
      <x:c r="A1779"/>
      <x:c r="B1779"/>
      <x:c r="C1779"/>
      <x:c r="D1779"/>
      <x:c r="E1779"/>
      <x:c r="F1779"/>
      <x:c r="G1779"/>
    </x:row>
    <x:row r="1780">
      <x:c r="A1780"/>
      <x:c r="B1780"/>
      <x:c r="C1780"/>
      <x:c r="D1780"/>
      <x:c r="E1780"/>
      <x:c r="F1780"/>
      <x:c r="G1780"/>
    </x:row>
    <x:row r="1781">
      <x:c r="A1781"/>
      <x:c r="B1781"/>
      <x:c r="C1781"/>
      <x:c r="D1781"/>
      <x:c r="E1781"/>
      <x:c r="F1781"/>
      <x:c r="G1781"/>
    </x:row>
    <x:row r="1782">
      <x:c r="A1782"/>
      <x:c r="B1782"/>
      <x:c r="C1782"/>
      <x:c r="D1782"/>
      <x:c r="E1782"/>
      <x:c r="F1782"/>
      <x:c r="G1782"/>
    </x:row>
    <x:row r="1783">
      <x:c r="A1783"/>
      <x:c r="B1783"/>
      <x:c r="C1783"/>
      <x:c r="D1783"/>
      <x:c r="E1783"/>
      <x:c r="F1783"/>
      <x:c r="G1783"/>
    </x:row>
    <x:row r="1784">
      <x:c r="A1784"/>
      <x:c r="B1784"/>
      <x:c r="C1784"/>
      <x:c r="D1784"/>
      <x:c r="E1784"/>
      <x:c r="F1784"/>
      <x:c r="G1784"/>
    </x:row>
    <x:row r="1785">
      <x:c r="A1785"/>
      <x:c r="B1785"/>
      <x:c r="C1785"/>
      <x:c r="D1785"/>
      <x:c r="E1785"/>
      <x:c r="F1785"/>
      <x:c r="G1785"/>
    </x:row>
    <x:row r="1786">
      <x:c r="A1786"/>
      <x:c r="B1786"/>
      <x:c r="C1786"/>
      <x:c r="D1786"/>
      <x:c r="E1786"/>
      <x:c r="F1786"/>
      <x:c r="G1786"/>
    </x:row>
    <x:row r="1787">
      <x:c r="A1787"/>
      <x:c r="B1787"/>
      <x:c r="C1787"/>
      <x:c r="D1787"/>
      <x:c r="E1787"/>
      <x:c r="F1787"/>
      <x:c r="G1787"/>
    </x:row>
    <x:row r="1788">
      <x:c r="A1788"/>
      <x:c r="B1788"/>
      <x:c r="C1788"/>
      <x:c r="D1788"/>
      <x:c r="E1788"/>
      <x:c r="F1788"/>
      <x:c r="G1788"/>
    </x:row>
    <x:row r="1789">
      <x:c r="A1789"/>
      <x:c r="B1789"/>
      <x:c r="C1789"/>
      <x:c r="D1789"/>
      <x:c r="E1789"/>
      <x:c r="F1789"/>
      <x:c r="G1789"/>
    </x:row>
    <x:row r="1790">
      <x:c r="A1790"/>
      <x:c r="B1790"/>
      <x:c r="C1790"/>
      <x:c r="D1790"/>
      <x:c r="E1790"/>
      <x:c r="F1790"/>
      <x:c r="G1790"/>
    </x:row>
    <x:row r="1791">
      <x:c r="A1791"/>
      <x:c r="B1791"/>
      <x:c r="C1791"/>
      <x:c r="D1791"/>
      <x:c r="E1791"/>
      <x:c r="F1791"/>
      <x:c r="G1791"/>
    </x:row>
    <x:row r="1792">
      <x:c r="A1792"/>
      <x:c r="B1792"/>
      <x:c r="C1792"/>
      <x:c r="D1792"/>
      <x:c r="E1792"/>
      <x:c r="F1792"/>
      <x:c r="G1792"/>
    </x:row>
    <x:row r="1793">
      <x:c r="A1793"/>
      <x:c r="B1793"/>
      <x:c r="C1793"/>
      <x:c r="D1793"/>
      <x:c r="E1793"/>
      <x:c r="F1793"/>
      <x:c r="G1793"/>
    </x:row>
    <x:row r="1794">
      <x:c r="A1794"/>
      <x:c r="B1794"/>
      <x:c r="C1794"/>
      <x:c r="D1794"/>
      <x:c r="E1794"/>
      <x:c r="F1794"/>
      <x:c r="G1794"/>
    </x:row>
    <x:row r="1795">
      <x:c r="A1795"/>
      <x:c r="B1795"/>
      <x:c r="C1795"/>
      <x:c r="D1795"/>
      <x:c r="E1795"/>
      <x:c r="F1795"/>
      <x:c r="G1795"/>
    </x:row>
    <x:row r="1796">
      <x:c r="A1796"/>
      <x:c r="B1796"/>
      <x:c r="C1796"/>
      <x:c r="D1796"/>
      <x:c r="E1796"/>
      <x:c r="F1796"/>
      <x:c r="G1796"/>
    </x:row>
    <x:row r="1797">
      <x:c r="A1797"/>
      <x:c r="B1797"/>
      <x:c r="C1797"/>
      <x:c r="D1797"/>
      <x:c r="E1797"/>
      <x:c r="F1797"/>
      <x:c r="G1797"/>
    </x:row>
    <x:row r="1798">
      <x:c r="A1798"/>
      <x:c r="B1798"/>
      <x:c r="C1798"/>
      <x:c r="D1798"/>
      <x:c r="E1798"/>
      <x:c r="F1798"/>
      <x:c r="G1798"/>
    </x:row>
    <x:row r="1799">
      <x:c r="A1799"/>
      <x:c r="B1799"/>
      <x:c r="C1799"/>
      <x:c r="D1799"/>
      <x:c r="E1799"/>
      <x:c r="F1799"/>
      <x:c r="G1799"/>
    </x:row>
    <x:row r="1800">
      <x:c r="A1800"/>
      <x:c r="B1800"/>
      <x:c r="C1800"/>
      <x:c r="D1800"/>
      <x:c r="E1800"/>
      <x:c r="F1800"/>
      <x:c r="G1800"/>
    </x:row>
    <x:row r="1801">
      <x:c r="A1801"/>
      <x:c r="B1801"/>
      <x:c r="C1801"/>
      <x:c r="D1801"/>
      <x:c r="E1801"/>
      <x:c r="F1801"/>
      <x:c r="G1801"/>
    </x:row>
    <x:row r="1802">
      <x:c r="A1802"/>
      <x:c r="B1802"/>
      <x:c r="C1802"/>
      <x:c r="D1802"/>
      <x:c r="E1802"/>
      <x:c r="F1802"/>
      <x:c r="G1802"/>
    </x:row>
    <x:row r="1803">
      <x:c r="A1803"/>
      <x:c r="B1803"/>
      <x:c r="C1803"/>
      <x:c r="D1803"/>
      <x:c r="E1803"/>
      <x:c r="F1803"/>
      <x:c r="G1803"/>
    </x:row>
    <x:row r="1804">
      <x:c r="A1804"/>
      <x:c r="B1804"/>
      <x:c r="C1804"/>
      <x:c r="D1804"/>
      <x:c r="E1804"/>
      <x:c r="F1804"/>
      <x:c r="G1804"/>
    </x:row>
    <x:row r="1805">
      <x:c r="A1805"/>
      <x:c r="B1805"/>
      <x:c r="C1805"/>
      <x:c r="D1805"/>
      <x:c r="E1805"/>
      <x:c r="F1805"/>
      <x:c r="G1805"/>
    </x:row>
    <x:row r="1806">
      <x:c r="A1806"/>
      <x:c r="B1806"/>
      <x:c r="C1806"/>
      <x:c r="D1806"/>
      <x:c r="E1806"/>
      <x:c r="F1806"/>
      <x:c r="G1806"/>
    </x:row>
    <x:row r="1807">
      <x:c r="A1807"/>
      <x:c r="B1807"/>
      <x:c r="C1807"/>
      <x:c r="D1807"/>
      <x:c r="E1807"/>
      <x:c r="F1807"/>
      <x:c r="G1807"/>
    </x:row>
    <x:row r="1808">
      <x:c r="A1808"/>
      <x:c r="B1808"/>
      <x:c r="C1808"/>
      <x:c r="D1808"/>
      <x:c r="E1808"/>
      <x:c r="F1808"/>
      <x:c r="G1808"/>
    </x:row>
    <x:row r="1809">
      <x:c r="A1809"/>
      <x:c r="B1809"/>
      <x:c r="C1809"/>
      <x:c r="D1809"/>
      <x:c r="E1809"/>
      <x:c r="F1809"/>
      <x:c r="G1809"/>
    </x:row>
    <x:row r="1810">
      <x:c r="A1810"/>
      <x:c r="B1810"/>
      <x:c r="C1810"/>
      <x:c r="D1810"/>
      <x:c r="E1810"/>
      <x:c r="F1810"/>
      <x:c r="G1810"/>
    </x:row>
    <x:row r="1811">
      <x:c r="A1811"/>
      <x:c r="B1811"/>
      <x:c r="C1811"/>
      <x:c r="D1811"/>
      <x:c r="E1811"/>
      <x:c r="F1811"/>
      <x:c r="G1811"/>
    </x:row>
    <x:row r="1812">
      <x:c r="A1812"/>
      <x:c r="B1812"/>
      <x:c r="C1812"/>
      <x:c r="D1812"/>
      <x:c r="E1812"/>
      <x:c r="F1812"/>
      <x:c r="G1812"/>
    </x:row>
    <x:row r="1813">
      <x:c r="A1813"/>
      <x:c r="B1813"/>
      <x:c r="C1813"/>
      <x:c r="D1813"/>
      <x:c r="E1813"/>
      <x:c r="F1813"/>
      <x:c r="G1813"/>
    </x:row>
    <x:row r="1814">
      <x:c r="A1814"/>
      <x:c r="B1814"/>
      <x:c r="C1814"/>
      <x:c r="D1814"/>
      <x:c r="E1814"/>
      <x:c r="F1814"/>
      <x:c r="G1814"/>
    </x:row>
    <x:row r="1815">
      <x:c r="A1815"/>
      <x:c r="B1815"/>
      <x:c r="C1815"/>
      <x:c r="D1815"/>
      <x:c r="E1815"/>
      <x:c r="F1815"/>
      <x:c r="G1815"/>
    </x:row>
    <x:row r="1816">
      <x:c r="A1816"/>
      <x:c r="B1816"/>
      <x:c r="C1816"/>
      <x:c r="D1816"/>
      <x:c r="E1816"/>
      <x:c r="F1816"/>
      <x:c r="G1816"/>
    </x:row>
    <x:row r="1817">
      <x:c r="A1817"/>
      <x:c r="B1817"/>
      <x:c r="C1817"/>
      <x:c r="D1817"/>
      <x:c r="E1817"/>
      <x:c r="F1817"/>
      <x:c r="G1817"/>
    </x:row>
    <x:row r="1818">
      <x:c r="A1818"/>
      <x:c r="B1818"/>
      <x:c r="C1818"/>
      <x:c r="D1818"/>
      <x:c r="E1818"/>
      <x:c r="F1818"/>
      <x:c r="G1818"/>
    </x:row>
    <x:row r="1819">
      <x:c r="A1819"/>
      <x:c r="B1819"/>
      <x:c r="C1819"/>
      <x:c r="D1819"/>
      <x:c r="E1819"/>
      <x:c r="F1819"/>
      <x:c r="G1819"/>
    </x:row>
    <x:row r="1820">
      <x:c r="A1820"/>
      <x:c r="B1820"/>
      <x:c r="C1820"/>
      <x:c r="D1820"/>
      <x:c r="E1820"/>
      <x:c r="F1820"/>
      <x:c r="G1820"/>
    </x:row>
    <x:row r="1821">
      <x:c r="A1821"/>
      <x:c r="B1821"/>
      <x:c r="C1821"/>
      <x:c r="D1821"/>
      <x:c r="E1821"/>
      <x:c r="F1821"/>
      <x:c r="G1821"/>
    </x:row>
    <x:row r="1822">
      <x:c r="A1822"/>
      <x:c r="B1822"/>
      <x:c r="C1822"/>
      <x:c r="D1822"/>
      <x:c r="E1822"/>
      <x:c r="F1822"/>
      <x:c r="G1822"/>
    </x:row>
    <x:row r="1823">
      <x:c r="A1823"/>
      <x:c r="B1823"/>
      <x:c r="C1823"/>
      <x:c r="D1823"/>
      <x:c r="E1823"/>
      <x:c r="F1823"/>
      <x:c r="G1823"/>
    </x:row>
    <x:row r="1824">
      <x:c r="A1824"/>
      <x:c r="B1824"/>
      <x:c r="C1824"/>
      <x:c r="D1824"/>
      <x:c r="E1824"/>
      <x:c r="F1824"/>
      <x:c r="G1824"/>
    </x:row>
    <x:row r="1825">
      <x:c r="A1825"/>
      <x:c r="B1825"/>
      <x:c r="C1825"/>
      <x:c r="D1825"/>
      <x:c r="E1825"/>
      <x:c r="F1825"/>
      <x:c r="G1825"/>
    </x:row>
    <x:row r="1826">
      <x:c r="A1826"/>
      <x:c r="B1826"/>
      <x:c r="C1826"/>
      <x:c r="D1826"/>
      <x:c r="E1826"/>
      <x:c r="F1826"/>
      <x:c r="G1826"/>
    </x:row>
    <x:row r="1827">
      <x:c r="A1827"/>
      <x:c r="B1827"/>
      <x:c r="C1827"/>
      <x:c r="D1827"/>
      <x:c r="E1827"/>
      <x:c r="F1827"/>
      <x:c r="G1827"/>
    </x:row>
    <x:row r="1828">
      <x:c r="A1828"/>
      <x:c r="B1828"/>
      <x:c r="C1828"/>
      <x:c r="D1828"/>
      <x:c r="E1828"/>
      <x:c r="F1828"/>
      <x:c r="G1828"/>
    </x:row>
    <x:row r="1829">
      <x:c r="A1829"/>
      <x:c r="B1829"/>
      <x:c r="C1829"/>
      <x:c r="D1829"/>
      <x:c r="E1829"/>
      <x:c r="F1829"/>
      <x:c r="G1829"/>
    </x:row>
    <x:row r="1830">
      <x:c r="A1830"/>
      <x:c r="B1830"/>
      <x:c r="C1830"/>
      <x:c r="D1830"/>
      <x:c r="E1830"/>
      <x:c r="F1830"/>
      <x:c r="G1830"/>
    </x:row>
    <x:row r="1831">
      <x:c r="A1831"/>
      <x:c r="B1831"/>
      <x:c r="C1831"/>
      <x:c r="D1831"/>
      <x:c r="E1831"/>
      <x:c r="F1831"/>
      <x:c r="G1831"/>
    </x:row>
    <x:row r="1832">
      <x:c r="A1832"/>
      <x:c r="B1832"/>
      <x:c r="C1832"/>
      <x:c r="D1832"/>
      <x:c r="E1832"/>
      <x:c r="F1832"/>
      <x:c r="G1832"/>
    </x:row>
    <x:row r="1833">
      <x:c r="A1833"/>
      <x:c r="B1833"/>
      <x:c r="C1833"/>
      <x:c r="D1833"/>
      <x:c r="E1833"/>
      <x:c r="F1833"/>
      <x:c r="G1833"/>
    </x:row>
    <x:row r="1834">
      <x:c r="A1834"/>
      <x:c r="B1834"/>
      <x:c r="C1834"/>
      <x:c r="D1834"/>
      <x:c r="E1834"/>
      <x:c r="F1834"/>
      <x:c r="G1834"/>
    </x:row>
    <x:row r="1835">
      <x:c r="A1835"/>
      <x:c r="B1835"/>
      <x:c r="C1835"/>
      <x:c r="D1835"/>
      <x:c r="E1835"/>
      <x:c r="F1835"/>
      <x:c r="G1835"/>
    </x:row>
    <x:row r="1836">
      <x:c r="A1836"/>
      <x:c r="B1836"/>
      <x:c r="C1836"/>
      <x:c r="D1836"/>
      <x:c r="E1836"/>
      <x:c r="F1836"/>
      <x:c r="G1836"/>
    </x:row>
    <x:row r="1837">
      <x:c r="A1837"/>
      <x:c r="B1837"/>
      <x:c r="C1837"/>
      <x:c r="D1837"/>
      <x:c r="E1837"/>
      <x:c r="F1837"/>
      <x:c r="G1837"/>
    </x:row>
    <x:row r="1838">
      <x:c r="A1838"/>
      <x:c r="B1838"/>
      <x:c r="C1838"/>
      <x:c r="D1838"/>
      <x:c r="E1838"/>
      <x:c r="F1838"/>
      <x:c r="G1838"/>
    </x:row>
    <x:row r="1839">
      <x:c r="A1839"/>
      <x:c r="B1839"/>
      <x:c r="C1839"/>
      <x:c r="D1839"/>
      <x:c r="E1839"/>
      <x:c r="F1839"/>
      <x:c r="G1839"/>
    </x:row>
    <x:row r="1840">
      <x:c r="A1840"/>
      <x:c r="B1840"/>
      <x:c r="C1840"/>
      <x:c r="D1840"/>
      <x:c r="E1840"/>
      <x:c r="F1840"/>
      <x:c r="G1840"/>
    </x:row>
    <x:row r="1841">
      <x:c r="A1841"/>
      <x:c r="B1841"/>
      <x:c r="C1841"/>
      <x:c r="D1841"/>
      <x:c r="E1841"/>
      <x:c r="F1841"/>
      <x:c r="G1841"/>
    </x:row>
    <x:row r="1842">
      <x:c r="A1842"/>
      <x:c r="B1842"/>
      <x:c r="C1842"/>
      <x:c r="D1842"/>
      <x:c r="E1842"/>
      <x:c r="F1842"/>
      <x:c r="G1842"/>
    </x:row>
    <x:row r="1843">
      <x:c r="A1843"/>
      <x:c r="B1843"/>
      <x:c r="C1843"/>
      <x:c r="D1843"/>
      <x:c r="E1843"/>
      <x:c r="F1843"/>
      <x:c r="G1843"/>
    </x:row>
    <x:row r="1844">
      <x:c r="A1844"/>
      <x:c r="B1844"/>
      <x:c r="C1844"/>
      <x:c r="D1844"/>
      <x:c r="E1844"/>
      <x:c r="F1844"/>
      <x:c r="G1844"/>
    </x:row>
    <x:row r="1845">
      <x:c r="A1845"/>
      <x:c r="B1845"/>
      <x:c r="C1845"/>
      <x:c r="D1845"/>
      <x:c r="E1845"/>
      <x:c r="F1845"/>
      <x:c r="G1845"/>
    </x:row>
    <x:row r="1846">
      <x:c r="A1846"/>
      <x:c r="B1846"/>
      <x:c r="C1846"/>
      <x:c r="D1846"/>
      <x:c r="E1846"/>
      <x:c r="F1846"/>
      <x:c r="G1846"/>
    </x:row>
    <x:row r="1847">
      <x:c r="A1847"/>
      <x:c r="B1847"/>
      <x:c r="C1847"/>
      <x:c r="D1847"/>
      <x:c r="E1847"/>
      <x:c r="F1847"/>
      <x:c r="G1847"/>
    </x:row>
    <x:row r="1848">
      <x:c r="A1848"/>
      <x:c r="B1848"/>
      <x:c r="C1848"/>
      <x:c r="D1848"/>
      <x:c r="E1848"/>
      <x:c r="F1848"/>
      <x:c r="G1848"/>
    </x:row>
    <x:row r="1849">
      <x:c r="A1849"/>
      <x:c r="B1849"/>
      <x:c r="C1849"/>
      <x:c r="D1849"/>
      <x:c r="E1849"/>
      <x:c r="F1849"/>
      <x:c r="G1849"/>
    </x:row>
    <x:row r="1850">
      <x:c r="A1850"/>
      <x:c r="B1850"/>
      <x:c r="C1850"/>
      <x:c r="D1850"/>
      <x:c r="E1850"/>
      <x:c r="F1850"/>
      <x:c r="G1850"/>
    </x:row>
    <x:row r="1851">
      <x:c r="A1851"/>
      <x:c r="B1851"/>
      <x:c r="C1851"/>
      <x:c r="D1851"/>
      <x:c r="E1851"/>
      <x:c r="F1851"/>
      <x:c r="G1851"/>
    </x:row>
    <x:row r="1852">
      <x:c r="A1852"/>
      <x:c r="B1852"/>
      <x:c r="C1852"/>
      <x:c r="D1852"/>
      <x:c r="E1852"/>
      <x:c r="F1852"/>
      <x:c r="G1852"/>
    </x:row>
    <x:row r="1853">
      <x:c r="A1853"/>
      <x:c r="B1853"/>
      <x:c r="C1853"/>
      <x:c r="D1853"/>
      <x:c r="E1853"/>
      <x:c r="F1853"/>
      <x:c r="G1853"/>
    </x:row>
    <x:row r="1854">
      <x:c r="A1854"/>
      <x:c r="B1854"/>
      <x:c r="C1854"/>
      <x:c r="D1854"/>
      <x:c r="E1854"/>
      <x:c r="F1854"/>
      <x:c r="G1854"/>
    </x:row>
    <x:row r="1855">
      <x:c r="A1855"/>
      <x:c r="B1855"/>
      <x:c r="C1855"/>
      <x:c r="D1855"/>
      <x:c r="E1855"/>
      <x:c r="F1855"/>
      <x:c r="G1855"/>
    </x:row>
    <x:row r="1856">
      <x:c r="A1856"/>
      <x:c r="B1856"/>
      <x:c r="C1856"/>
      <x:c r="D1856"/>
      <x:c r="E1856"/>
      <x:c r="F1856"/>
      <x:c r="G1856"/>
    </x:row>
    <x:row r="1857">
      <x:c r="A1857"/>
      <x:c r="B1857"/>
      <x:c r="C1857"/>
      <x:c r="D1857"/>
      <x:c r="E1857"/>
      <x:c r="F1857"/>
      <x:c r="G1857"/>
    </x:row>
    <x:row r="1858">
      <x:c r="A1858"/>
      <x:c r="B1858"/>
      <x:c r="C1858"/>
      <x:c r="D1858"/>
      <x:c r="E1858"/>
      <x:c r="F1858"/>
      <x:c r="G1858"/>
    </x:row>
    <x:row r="1859">
      <x:c r="A1859"/>
      <x:c r="B1859"/>
      <x:c r="C1859"/>
      <x:c r="D1859"/>
      <x:c r="E1859"/>
      <x:c r="F1859"/>
      <x:c r="G1859"/>
    </x:row>
    <x:row r="1860">
      <x:c r="A1860"/>
      <x:c r="B1860"/>
      <x:c r="C1860"/>
      <x:c r="D1860"/>
      <x:c r="E1860"/>
      <x:c r="F1860"/>
      <x:c r="G1860"/>
    </x:row>
    <x:row r="1861">
      <x:c r="A1861"/>
      <x:c r="B1861"/>
      <x:c r="C1861"/>
      <x:c r="D1861"/>
      <x:c r="E1861"/>
      <x:c r="F1861"/>
      <x:c r="G1861"/>
    </x:row>
    <x:row r="1862">
      <x:c r="A1862"/>
      <x:c r="B1862"/>
      <x:c r="C1862"/>
      <x:c r="D1862"/>
      <x:c r="E1862"/>
      <x:c r="F1862"/>
      <x:c r="G1862"/>
    </x:row>
    <x:row r="1863">
      <x:c r="A1863"/>
      <x:c r="B1863"/>
      <x:c r="C1863"/>
      <x:c r="D1863"/>
      <x:c r="E1863"/>
      <x:c r="F1863"/>
      <x:c r="G1863"/>
    </x:row>
    <x:row r="1864">
      <x:c r="A1864"/>
      <x:c r="B1864"/>
      <x:c r="C1864"/>
      <x:c r="D1864"/>
      <x:c r="E1864"/>
      <x:c r="F1864"/>
      <x:c r="G1864"/>
    </x:row>
    <x:row r="1865">
      <x:c r="A1865"/>
      <x:c r="B1865"/>
      <x:c r="C1865"/>
      <x:c r="D1865"/>
      <x:c r="E1865"/>
      <x:c r="F1865"/>
      <x:c r="G1865"/>
    </x:row>
    <x:row r="1866">
      <x:c r="A1866"/>
      <x:c r="B1866"/>
      <x:c r="C1866"/>
      <x:c r="D1866"/>
      <x:c r="E1866"/>
      <x:c r="F1866"/>
      <x:c r="G1866"/>
    </x:row>
    <x:row r="1867">
      <x:c r="A1867"/>
      <x:c r="B1867"/>
      <x:c r="C1867"/>
      <x:c r="D1867"/>
      <x:c r="E1867"/>
      <x:c r="F1867"/>
      <x:c r="G1867"/>
    </x:row>
    <x:row r="1868">
      <x:c r="A1868"/>
      <x:c r="B1868"/>
      <x:c r="C1868"/>
      <x:c r="D1868"/>
      <x:c r="E1868"/>
      <x:c r="F1868"/>
      <x:c r="G1868"/>
    </x:row>
    <x:row r="1869">
      <x:c r="A1869"/>
      <x:c r="B1869"/>
      <x:c r="C1869"/>
      <x:c r="D1869"/>
      <x:c r="E1869"/>
      <x:c r="F1869"/>
      <x:c r="G1869"/>
    </x:row>
    <x:row r="1870">
      <x:c r="A1870"/>
      <x:c r="B1870"/>
      <x:c r="C1870"/>
      <x:c r="D1870"/>
      <x:c r="E1870"/>
      <x:c r="F1870"/>
      <x:c r="G1870"/>
    </x:row>
    <x:row r="1871">
      <x:c r="A1871"/>
      <x:c r="B1871"/>
      <x:c r="C1871"/>
      <x:c r="D1871"/>
      <x:c r="E1871"/>
      <x:c r="F1871"/>
      <x:c r="G1871"/>
    </x:row>
    <x:row r="1872">
      <x:c r="A1872"/>
      <x:c r="B1872"/>
      <x:c r="C1872"/>
      <x:c r="D1872"/>
      <x:c r="E1872"/>
      <x:c r="F1872"/>
      <x:c r="G1872"/>
    </x:row>
    <x:row r="1873">
      <x:c r="A1873"/>
      <x:c r="B1873"/>
      <x:c r="C1873"/>
      <x:c r="D1873"/>
      <x:c r="E1873"/>
      <x:c r="F1873"/>
      <x:c r="G1873"/>
    </x:row>
    <x:row r="1874">
      <x:c r="A1874"/>
      <x:c r="B1874"/>
      <x:c r="C1874"/>
      <x:c r="D1874"/>
      <x:c r="E1874"/>
      <x:c r="F1874"/>
      <x:c r="G1874"/>
    </x:row>
    <x:row r="1875">
      <x:c r="A1875"/>
      <x:c r="B1875"/>
      <x:c r="C1875"/>
      <x:c r="D1875"/>
      <x:c r="E1875"/>
      <x:c r="F1875"/>
      <x:c r="G1875"/>
    </x:row>
    <x:row r="1876">
      <x:c r="A1876"/>
      <x:c r="B1876"/>
      <x:c r="C1876"/>
      <x:c r="D1876"/>
      <x:c r="E1876"/>
      <x:c r="F1876"/>
      <x:c r="G1876"/>
    </x:row>
    <x:row r="1877">
      <x:c r="A1877"/>
      <x:c r="B1877"/>
      <x:c r="C1877"/>
      <x:c r="D1877"/>
      <x:c r="E1877"/>
      <x:c r="F1877"/>
      <x:c r="G1877"/>
    </x:row>
    <x:row r="1878">
      <x:c r="A1878"/>
      <x:c r="B1878"/>
      <x:c r="C1878"/>
      <x:c r="D1878"/>
      <x:c r="E1878"/>
      <x:c r="F1878"/>
      <x:c r="G1878"/>
    </x:row>
    <x:row r="1879">
      <x:c r="A1879"/>
      <x:c r="B1879"/>
      <x:c r="C1879"/>
      <x:c r="D1879"/>
      <x:c r="E1879"/>
      <x:c r="F1879"/>
      <x:c r="G1879"/>
    </x:row>
    <x:row r="1880">
      <x:c r="A1880"/>
      <x:c r="B1880"/>
      <x:c r="C1880"/>
      <x:c r="D1880"/>
      <x:c r="E1880"/>
      <x:c r="F1880"/>
      <x:c r="G1880"/>
    </x:row>
    <x:row r="1881">
      <x:c r="A1881"/>
      <x:c r="B1881"/>
      <x:c r="C1881"/>
      <x:c r="D1881"/>
      <x:c r="E1881"/>
      <x:c r="F1881"/>
      <x:c r="G1881"/>
    </x:row>
    <x:row r="1882">
      <x:c r="A1882"/>
      <x:c r="B1882"/>
      <x:c r="C1882"/>
      <x:c r="D1882"/>
      <x:c r="E1882"/>
      <x:c r="F1882"/>
      <x:c r="G1882"/>
    </x:row>
    <x:row r="1883">
      <x:c r="A1883"/>
      <x:c r="B1883"/>
      <x:c r="C1883"/>
      <x:c r="D1883"/>
      <x:c r="E1883"/>
      <x:c r="F1883"/>
      <x:c r="G1883"/>
    </x:row>
    <x:row r="1884">
      <x:c r="A1884"/>
      <x:c r="B1884"/>
      <x:c r="C1884"/>
      <x:c r="D1884"/>
      <x:c r="E1884"/>
      <x:c r="F1884"/>
      <x:c r="G1884"/>
    </x:row>
    <x:row r="1885">
      <x:c r="A1885"/>
      <x:c r="B1885"/>
      <x:c r="C1885"/>
      <x:c r="D1885"/>
      <x:c r="E1885"/>
      <x:c r="F1885"/>
      <x:c r="G1885"/>
    </x:row>
    <x:row r="1886">
      <x:c r="A1886"/>
      <x:c r="B1886"/>
      <x:c r="C1886"/>
      <x:c r="D1886"/>
      <x:c r="E1886"/>
      <x:c r="F1886"/>
      <x:c r="G1886"/>
    </x:row>
    <x:row r="1887">
      <x:c r="A1887"/>
      <x:c r="B1887"/>
      <x:c r="C1887"/>
      <x:c r="D1887"/>
      <x:c r="E1887"/>
      <x:c r="F1887"/>
      <x:c r="G1887"/>
    </x:row>
    <x:row r="1888">
      <x:c r="A1888"/>
      <x:c r="B1888"/>
      <x:c r="C1888"/>
      <x:c r="D1888"/>
      <x:c r="E1888"/>
      <x:c r="F1888"/>
      <x:c r="G1888"/>
    </x:row>
    <x:row r="1889">
      <x:c r="A1889"/>
      <x:c r="B1889"/>
      <x:c r="C1889"/>
      <x:c r="D1889"/>
      <x:c r="E1889"/>
      <x:c r="F1889"/>
      <x:c r="G1889"/>
    </x:row>
    <x:row r="1890">
      <x:c r="A1890"/>
      <x:c r="B1890"/>
      <x:c r="C1890"/>
      <x:c r="D1890"/>
      <x:c r="E1890"/>
      <x:c r="F1890"/>
      <x:c r="G1890"/>
    </x:row>
    <x:row r="1891">
      <x:c r="A1891"/>
      <x:c r="B1891"/>
      <x:c r="C1891"/>
      <x:c r="D1891"/>
      <x:c r="E1891"/>
      <x:c r="F1891"/>
      <x:c r="G1891"/>
    </x:row>
    <x:row r="1892">
      <x:c r="A1892"/>
      <x:c r="B1892"/>
      <x:c r="C1892"/>
      <x:c r="D1892"/>
      <x:c r="E1892"/>
      <x:c r="F1892"/>
      <x:c r="G1892"/>
    </x:row>
    <x:row r="1893">
      <x:c r="A1893"/>
      <x:c r="B1893"/>
      <x:c r="C1893"/>
      <x:c r="D1893"/>
      <x:c r="E1893"/>
      <x:c r="F1893"/>
      <x:c r="G1893"/>
    </x:row>
    <x:row r="1894">
      <x:c r="A1894"/>
      <x:c r="B1894"/>
      <x:c r="C1894"/>
      <x:c r="D1894"/>
      <x:c r="E1894"/>
      <x:c r="F1894"/>
      <x:c r="G1894"/>
    </x:row>
    <x:row r="1895">
      <x:c r="A1895"/>
      <x:c r="B1895"/>
      <x:c r="C1895"/>
      <x:c r="D1895"/>
      <x:c r="E1895"/>
      <x:c r="F1895"/>
      <x:c r="G1895"/>
    </x:row>
    <x:row r="1896">
      <x:c r="A1896"/>
      <x:c r="B1896"/>
      <x:c r="C1896"/>
      <x:c r="D1896"/>
      <x:c r="E1896"/>
      <x:c r="F1896"/>
      <x:c r="G1896"/>
    </x:row>
    <x:row r="1897">
      <x:c r="A1897"/>
      <x:c r="B1897"/>
      <x:c r="C1897"/>
      <x:c r="D1897"/>
      <x:c r="E1897"/>
      <x:c r="F1897"/>
      <x:c r="G1897"/>
    </x:row>
    <x:row r="1898">
      <x:c r="A1898"/>
      <x:c r="B1898"/>
      <x:c r="C1898"/>
      <x:c r="D1898"/>
      <x:c r="E1898"/>
      <x:c r="F1898"/>
      <x:c r="G1898"/>
    </x:row>
    <x:row r="1899">
      <x:c r="A1899"/>
      <x:c r="B1899"/>
      <x:c r="C1899"/>
      <x:c r="D1899"/>
      <x:c r="E1899"/>
      <x:c r="F1899"/>
      <x:c r="G1899"/>
    </x:row>
    <x:row r="1900">
      <x:c r="A1900"/>
      <x:c r="B1900"/>
      <x:c r="C1900"/>
      <x:c r="D1900"/>
      <x:c r="E1900"/>
      <x:c r="F1900"/>
      <x:c r="G1900"/>
    </x:row>
    <x:row r="1901">
      <x:c r="A1901"/>
      <x:c r="B1901"/>
      <x:c r="C1901"/>
      <x:c r="D1901"/>
      <x:c r="E1901"/>
      <x:c r="F1901"/>
      <x:c r="G1901"/>
    </x:row>
    <x:row r="1902">
      <x:c r="A1902"/>
      <x:c r="B1902"/>
      <x:c r="C1902"/>
      <x:c r="D1902"/>
      <x:c r="E1902"/>
      <x:c r="F1902"/>
      <x:c r="G1902"/>
    </x:row>
    <x:row r="1903">
      <x:c r="A1903"/>
      <x:c r="B1903"/>
      <x:c r="C1903"/>
      <x:c r="D1903"/>
      <x:c r="E1903"/>
      <x:c r="F1903"/>
      <x:c r="G1903"/>
    </x:row>
    <x:row r="1904">
      <x:c r="A1904"/>
      <x:c r="B1904"/>
      <x:c r="C1904"/>
      <x:c r="D1904"/>
      <x:c r="E1904"/>
      <x:c r="F1904"/>
      <x:c r="G1904"/>
    </x:row>
    <x:row r="1905">
      <x:c r="A1905"/>
      <x:c r="B1905"/>
      <x:c r="C1905"/>
      <x:c r="D1905"/>
      <x:c r="E1905"/>
      <x:c r="F1905"/>
      <x:c r="G1905"/>
    </x:row>
    <x:row r="1906">
      <x:c r="A1906"/>
      <x:c r="B1906"/>
      <x:c r="C1906"/>
      <x:c r="D1906"/>
      <x:c r="E1906"/>
      <x:c r="F1906"/>
      <x:c r="G1906"/>
    </x:row>
    <x:row r="1907">
      <x:c r="A1907"/>
      <x:c r="B1907"/>
      <x:c r="C1907"/>
      <x:c r="D1907"/>
      <x:c r="E1907"/>
      <x:c r="F1907"/>
      <x:c r="G1907"/>
    </x:row>
    <x:row r="1908">
      <x:c r="A1908"/>
      <x:c r="B1908"/>
      <x:c r="C1908"/>
      <x:c r="D1908"/>
      <x:c r="E1908"/>
      <x:c r="F1908"/>
      <x:c r="G1908"/>
    </x:row>
    <x:row r="1909">
      <x:c r="A1909"/>
      <x:c r="B1909"/>
      <x:c r="C1909"/>
      <x:c r="D1909"/>
      <x:c r="E1909"/>
      <x:c r="F1909"/>
      <x:c r="G1909"/>
    </x:row>
    <x:row r="1910">
      <x:c r="A1910"/>
      <x:c r="B1910"/>
      <x:c r="C1910"/>
      <x:c r="D1910"/>
      <x:c r="E1910"/>
      <x:c r="F1910"/>
      <x:c r="G1910"/>
    </x:row>
    <x:row r="1911">
      <x:c r="A1911"/>
      <x:c r="B1911"/>
      <x:c r="C1911"/>
      <x:c r="D1911"/>
      <x:c r="E1911"/>
      <x:c r="F1911"/>
      <x:c r="G1911"/>
    </x:row>
    <x:row r="1912">
      <x:c r="A1912"/>
      <x:c r="B1912"/>
      <x:c r="C1912"/>
      <x:c r="D1912"/>
      <x:c r="E1912"/>
      <x:c r="F1912"/>
      <x:c r="G1912"/>
    </x:row>
    <x:row r="1913">
      <x:c r="A1913"/>
      <x:c r="B1913"/>
      <x:c r="C1913"/>
      <x:c r="D1913"/>
      <x:c r="E1913"/>
      <x:c r="F1913"/>
      <x:c r="G1913"/>
    </x:row>
    <x:row r="1914">
      <x:c r="A1914"/>
      <x:c r="B1914"/>
      <x:c r="C1914"/>
      <x:c r="D1914"/>
      <x:c r="E1914"/>
      <x:c r="F1914"/>
      <x:c r="G1914"/>
    </x:row>
    <x:row r="1915">
      <x:c r="A1915"/>
      <x:c r="B1915"/>
      <x:c r="C1915"/>
      <x:c r="D1915"/>
      <x:c r="E1915"/>
      <x:c r="F1915"/>
      <x:c r="G1915"/>
    </x:row>
    <x:row r="1916">
      <x:c r="A1916"/>
      <x:c r="B1916"/>
      <x:c r="C1916"/>
      <x:c r="D1916"/>
      <x:c r="E1916"/>
      <x:c r="F1916"/>
      <x:c r="G1916"/>
    </x:row>
    <x:row r="1917">
      <x:c r="A1917"/>
      <x:c r="B1917"/>
      <x:c r="C1917"/>
      <x:c r="D1917"/>
      <x:c r="E1917"/>
      <x:c r="F1917"/>
      <x:c r="G1917"/>
    </x:row>
    <x:row r="1918">
      <x:c r="A1918"/>
      <x:c r="B1918"/>
      <x:c r="C1918"/>
      <x:c r="D1918"/>
      <x:c r="E1918"/>
      <x:c r="F1918"/>
      <x:c r="G1918"/>
    </x:row>
    <x:row r="1919">
      <x:c r="A1919"/>
      <x:c r="B1919"/>
      <x:c r="C1919"/>
      <x:c r="D1919"/>
      <x:c r="E1919"/>
      <x:c r="F1919"/>
      <x:c r="G1919"/>
    </x:row>
    <x:row r="1920">
      <x:c r="A1920"/>
      <x:c r="B1920"/>
      <x:c r="C1920"/>
      <x:c r="D1920"/>
      <x:c r="E1920"/>
      <x:c r="F1920"/>
      <x:c r="G1920"/>
    </x:row>
    <x:row r="1921">
      <x:c r="A1921"/>
      <x:c r="B1921"/>
      <x:c r="C1921"/>
      <x:c r="D1921"/>
      <x:c r="E1921"/>
      <x:c r="F1921"/>
      <x:c r="G1921"/>
    </x:row>
    <x:row r="1922">
      <x:c r="A1922"/>
      <x:c r="B1922"/>
      <x:c r="C1922"/>
      <x:c r="D1922"/>
      <x:c r="E1922"/>
      <x:c r="F1922"/>
      <x:c r="G1922"/>
    </x:row>
    <x:row r="1923">
      <x:c r="A1923"/>
      <x:c r="B1923"/>
      <x:c r="C1923"/>
      <x:c r="D1923"/>
      <x:c r="E1923"/>
      <x:c r="F1923"/>
      <x:c r="G1923"/>
    </x:row>
    <x:row r="1924">
      <x:c r="A1924"/>
      <x:c r="B1924"/>
      <x:c r="C1924"/>
      <x:c r="D1924"/>
      <x:c r="E1924"/>
      <x:c r="F1924"/>
      <x:c r="G1924"/>
    </x:row>
    <x:row r="1925">
      <x:c r="A1925"/>
      <x:c r="B1925"/>
      <x:c r="C1925"/>
      <x:c r="D1925"/>
      <x:c r="E1925"/>
      <x:c r="F1925"/>
      <x:c r="G1925"/>
    </x:row>
    <x:row r="1926">
      <x:c r="A1926"/>
      <x:c r="B1926"/>
      <x:c r="C1926"/>
      <x:c r="D1926"/>
      <x:c r="E1926"/>
      <x:c r="F1926"/>
      <x:c r="G1926"/>
    </x:row>
    <x:row r="1927">
      <x:c r="A1927"/>
      <x:c r="B1927"/>
      <x:c r="C1927"/>
      <x:c r="D1927"/>
      <x:c r="E1927"/>
      <x:c r="F1927"/>
      <x:c r="G1927"/>
    </x:row>
    <x:row r="1928">
      <x:c r="A1928"/>
      <x:c r="B1928"/>
      <x:c r="C1928"/>
      <x:c r="D1928"/>
      <x:c r="E1928"/>
      <x:c r="F1928"/>
      <x:c r="G1928"/>
    </x:row>
    <x:row r="1929">
      <x:c r="A1929"/>
      <x:c r="B1929"/>
      <x:c r="C1929"/>
      <x:c r="D1929"/>
      <x:c r="E1929"/>
      <x:c r="F1929"/>
      <x:c r="G1929"/>
    </x:row>
    <x:row r="1930">
      <x:c r="A1930"/>
      <x:c r="B1930"/>
      <x:c r="C1930"/>
      <x:c r="D1930"/>
      <x:c r="E1930"/>
      <x:c r="F1930"/>
      <x:c r="G1930"/>
    </x:row>
    <x:row r="1931">
      <x:c r="A1931"/>
      <x:c r="B1931"/>
      <x:c r="C1931"/>
      <x:c r="D1931"/>
      <x:c r="E1931"/>
      <x:c r="F1931"/>
      <x:c r="G1931"/>
    </x:row>
    <x:row r="1932">
      <x:c r="A1932"/>
      <x:c r="B1932"/>
      <x:c r="C1932"/>
      <x:c r="D1932"/>
      <x:c r="E1932"/>
      <x:c r="F1932"/>
      <x:c r="G1932"/>
    </x:row>
    <x:row r="1933">
      <x:c r="A1933"/>
      <x:c r="B1933"/>
      <x:c r="C1933"/>
      <x:c r="D1933"/>
      <x:c r="E1933"/>
      <x:c r="F1933"/>
      <x:c r="G1933"/>
    </x:row>
    <x:row r="1934">
      <x:c r="A1934"/>
      <x:c r="B1934"/>
      <x:c r="C1934"/>
      <x:c r="D1934"/>
      <x:c r="E1934"/>
      <x:c r="F1934"/>
      <x:c r="G1934"/>
    </x:row>
    <x:row r="1935">
      <x:c r="A1935"/>
      <x:c r="B1935"/>
      <x:c r="C1935"/>
      <x:c r="D1935"/>
      <x:c r="E1935"/>
      <x:c r="F1935"/>
      <x:c r="G1935"/>
    </x:row>
    <x:row r="1936">
      <x:c r="A1936"/>
      <x:c r="B1936"/>
      <x:c r="C1936"/>
      <x:c r="D1936"/>
      <x:c r="E1936"/>
      <x:c r="F1936"/>
      <x:c r="G1936"/>
    </x:row>
    <x:row r="1937">
      <x:c r="A1937"/>
      <x:c r="B1937"/>
      <x:c r="C1937"/>
      <x:c r="D1937"/>
      <x:c r="E1937"/>
      <x:c r="F1937"/>
      <x:c r="G1937"/>
    </x:row>
    <x:row r="1938">
      <x:c r="A1938"/>
      <x:c r="B1938"/>
      <x:c r="C1938"/>
      <x:c r="D1938"/>
      <x:c r="E1938"/>
      <x:c r="F1938"/>
      <x:c r="G1938"/>
    </x:row>
    <x:row r="1939">
      <x:c r="A1939"/>
      <x:c r="B1939"/>
      <x:c r="C1939"/>
      <x:c r="D1939"/>
      <x:c r="E1939"/>
      <x:c r="F1939"/>
      <x:c r="G1939"/>
    </x:row>
    <x:row r="1940">
      <x:c r="A1940"/>
      <x:c r="B1940"/>
      <x:c r="C1940"/>
      <x:c r="D1940"/>
      <x:c r="E1940"/>
      <x:c r="F1940"/>
      <x:c r="G1940"/>
    </x:row>
    <x:row r="1941">
      <x:c r="A1941"/>
      <x:c r="B1941"/>
      <x:c r="C1941"/>
      <x:c r="D1941"/>
      <x:c r="E1941"/>
      <x:c r="F1941"/>
      <x:c r="G1941"/>
    </x:row>
    <x:row r="1942">
      <x:c r="A1942"/>
      <x:c r="B1942"/>
      <x:c r="C1942"/>
      <x:c r="D1942"/>
      <x:c r="E1942"/>
      <x:c r="F1942"/>
      <x:c r="G1942"/>
    </x:row>
    <x:row r="1943">
      <x:c r="A1943"/>
      <x:c r="B1943"/>
      <x:c r="C1943"/>
      <x:c r="D1943"/>
      <x:c r="E1943"/>
      <x:c r="F1943"/>
      <x:c r="G1943"/>
    </x:row>
    <x:row r="1944">
      <x:c r="A1944"/>
      <x:c r="B1944"/>
      <x:c r="C1944"/>
      <x:c r="D1944"/>
      <x:c r="E1944"/>
      <x:c r="F1944"/>
      <x:c r="G1944"/>
    </x:row>
    <x:row r="1945">
      <x:c r="A1945"/>
      <x:c r="B1945"/>
      <x:c r="C1945"/>
      <x:c r="D1945"/>
      <x:c r="E1945"/>
      <x:c r="F1945"/>
      <x:c r="G1945"/>
    </x:row>
    <x:row r="1946">
      <x:c r="A1946"/>
      <x:c r="B1946"/>
      <x:c r="C1946"/>
      <x:c r="D1946"/>
      <x:c r="E1946"/>
      <x:c r="F1946"/>
      <x:c r="G1946"/>
    </x:row>
    <x:row r="1947">
      <x:c r="A1947"/>
      <x:c r="B1947"/>
      <x:c r="C1947"/>
      <x:c r="D1947"/>
      <x:c r="E1947"/>
      <x:c r="F1947"/>
      <x:c r="G1947"/>
    </x:row>
    <x:row r="1948">
      <x:c r="A1948"/>
      <x:c r="B1948"/>
      <x:c r="C1948"/>
      <x:c r="D1948"/>
      <x:c r="E1948"/>
      <x:c r="F1948"/>
      <x:c r="G1948"/>
    </x:row>
    <x:row r="1949">
      <x:c r="A1949"/>
      <x:c r="B1949"/>
      <x:c r="C1949"/>
      <x:c r="D1949"/>
      <x:c r="E1949"/>
      <x:c r="F1949"/>
      <x:c r="G1949"/>
    </x:row>
    <x:row r="1950">
      <x:c r="A1950"/>
      <x:c r="B1950"/>
      <x:c r="C1950"/>
      <x:c r="D1950"/>
      <x:c r="E1950"/>
      <x:c r="F1950"/>
      <x:c r="G1950"/>
    </x:row>
    <x:row r="1951">
      <x:c r="A1951"/>
      <x:c r="B1951"/>
      <x:c r="C1951"/>
      <x:c r="D1951"/>
      <x:c r="E1951"/>
      <x:c r="F1951"/>
      <x:c r="G1951"/>
    </x:row>
    <x:row r="1952">
      <x:c r="A1952"/>
      <x:c r="B1952"/>
      <x:c r="C1952"/>
      <x:c r="D1952"/>
      <x:c r="E1952"/>
      <x:c r="F1952"/>
      <x:c r="G1952"/>
    </x:row>
    <x:row r="1953">
      <x:c r="A1953"/>
      <x:c r="B1953"/>
      <x:c r="C1953"/>
      <x:c r="D1953"/>
      <x:c r="E1953"/>
      <x:c r="F1953"/>
      <x:c r="G1953"/>
    </x:row>
    <x:row r="1954">
      <x:c r="A1954"/>
      <x:c r="B1954"/>
      <x:c r="C1954"/>
      <x:c r="D1954"/>
      <x:c r="E1954"/>
      <x:c r="F1954"/>
      <x:c r="G1954"/>
    </x:row>
    <x:row r="1955">
      <x:c r="A1955"/>
      <x:c r="B1955"/>
      <x:c r="C1955"/>
      <x:c r="D1955"/>
      <x:c r="E1955"/>
      <x:c r="F1955"/>
      <x:c r="G1955"/>
    </x:row>
    <x:row r="1956">
      <x:c r="A1956"/>
      <x:c r="B1956"/>
      <x:c r="C1956"/>
      <x:c r="D1956"/>
      <x:c r="E1956"/>
      <x:c r="F1956"/>
      <x:c r="G1956"/>
    </x:row>
    <x:row r="1957">
      <x:c r="A1957"/>
      <x:c r="B1957"/>
      <x:c r="C1957"/>
      <x:c r="D1957"/>
      <x:c r="E1957"/>
      <x:c r="F1957"/>
      <x:c r="G1957"/>
    </x:row>
    <x:row r="1958">
      <x:c r="A1958"/>
      <x:c r="B1958"/>
      <x:c r="C1958"/>
      <x:c r="D1958"/>
      <x:c r="E1958"/>
      <x:c r="F1958"/>
      <x:c r="G1958"/>
    </x:row>
    <x:row r="1959">
      <x:c r="A1959"/>
      <x:c r="B1959"/>
      <x:c r="C1959"/>
      <x:c r="D1959"/>
      <x:c r="E1959"/>
      <x:c r="F1959"/>
      <x:c r="G1959"/>
    </x:row>
    <x:row r="1960">
      <x:c r="A1960"/>
      <x:c r="B1960"/>
      <x:c r="C1960"/>
      <x:c r="D1960"/>
      <x:c r="E1960"/>
      <x:c r="F1960"/>
      <x:c r="G1960"/>
    </x:row>
    <x:row r="1961">
      <x:c r="A1961"/>
      <x:c r="B1961"/>
      <x:c r="C1961"/>
      <x:c r="D1961"/>
      <x:c r="E1961"/>
      <x:c r="F1961"/>
      <x:c r="G1961"/>
    </x:row>
    <x:row r="1962">
      <x:c r="A1962"/>
      <x:c r="B1962"/>
      <x:c r="C1962"/>
      <x:c r="D1962"/>
      <x:c r="E1962"/>
      <x:c r="F1962"/>
      <x:c r="G1962"/>
    </x:row>
    <x:row r="1963">
      <x:c r="A1963"/>
      <x:c r="B1963"/>
      <x:c r="C1963"/>
      <x:c r="D1963"/>
      <x:c r="E1963"/>
      <x:c r="F1963"/>
      <x:c r="G1963"/>
    </x:row>
    <x:row r="1964">
      <x:c r="A1964"/>
      <x:c r="B1964"/>
      <x:c r="C1964"/>
      <x:c r="D1964"/>
      <x:c r="E1964"/>
      <x:c r="F1964"/>
      <x:c r="G1964"/>
    </x:row>
    <x:row r="1965">
      <x:c r="A1965"/>
      <x:c r="B1965"/>
      <x:c r="C1965"/>
      <x:c r="D1965"/>
      <x:c r="E1965"/>
      <x:c r="F1965"/>
      <x:c r="G1965"/>
    </x:row>
    <x:row r="1966">
      <x:c r="A1966"/>
      <x:c r="B1966"/>
      <x:c r="C1966"/>
      <x:c r="D1966"/>
      <x:c r="E1966"/>
      <x:c r="F1966"/>
      <x:c r="G1966"/>
    </x:row>
    <x:row r="1967">
      <x:c r="A1967"/>
      <x:c r="B1967"/>
      <x:c r="C1967"/>
      <x:c r="D1967"/>
      <x:c r="E1967"/>
      <x:c r="F1967"/>
      <x:c r="G1967"/>
    </x:row>
    <x:row r="1968">
      <x:c r="A1968"/>
      <x:c r="B1968"/>
      <x:c r="C1968"/>
      <x:c r="D1968"/>
      <x:c r="E1968"/>
      <x:c r="F1968"/>
      <x:c r="G1968"/>
    </x:row>
    <x:row r="1969">
      <x:c r="A1969"/>
      <x:c r="B1969"/>
      <x:c r="C1969"/>
      <x:c r="D1969"/>
      <x:c r="E1969"/>
      <x:c r="F1969"/>
      <x:c r="G1969"/>
    </x:row>
    <x:row r="1970">
      <x:c r="A1970"/>
      <x:c r="B1970"/>
      <x:c r="C1970"/>
      <x:c r="D1970"/>
      <x:c r="E1970"/>
      <x:c r="F1970"/>
      <x:c r="G1970"/>
    </x:row>
    <x:row r="1971">
      <x:c r="A1971"/>
      <x:c r="B1971"/>
      <x:c r="C1971"/>
      <x:c r="D1971"/>
      <x:c r="E1971"/>
      <x:c r="F1971"/>
      <x:c r="G1971"/>
    </x:row>
    <x:row r="1972">
      <x:c r="A1972"/>
      <x:c r="B1972"/>
      <x:c r="C1972"/>
      <x:c r="D1972"/>
      <x:c r="E1972"/>
      <x:c r="F1972"/>
      <x:c r="G1972"/>
    </x:row>
    <x:row r="1973">
      <x:c r="A1973"/>
      <x:c r="B1973"/>
      <x:c r="C1973"/>
      <x:c r="D1973"/>
      <x:c r="E1973"/>
      <x:c r="F1973"/>
      <x:c r="G1973"/>
    </x:row>
    <x:row r="1974">
      <x:c r="A1974"/>
      <x:c r="B1974"/>
      <x:c r="C1974"/>
      <x:c r="D1974"/>
      <x:c r="E1974"/>
      <x:c r="F1974"/>
      <x:c r="G1974"/>
    </x:row>
    <x:row r="1975">
      <x:c r="A1975"/>
      <x:c r="B1975"/>
      <x:c r="C1975"/>
      <x:c r="D1975"/>
      <x:c r="E1975"/>
      <x:c r="F1975"/>
      <x:c r="G1975"/>
    </x:row>
    <x:row r="1976">
      <x:c r="A1976"/>
      <x:c r="B1976"/>
      <x:c r="C1976"/>
      <x:c r="D1976"/>
      <x:c r="E1976"/>
      <x:c r="F1976"/>
      <x:c r="G1976"/>
    </x:row>
    <x:row r="1977">
      <x:c r="A1977"/>
      <x:c r="B1977"/>
      <x:c r="C1977"/>
      <x:c r="D1977"/>
      <x:c r="E1977"/>
      <x:c r="F1977"/>
      <x:c r="G1977"/>
    </x:row>
    <x:row r="1978">
      <x:c r="A1978"/>
      <x:c r="B1978"/>
      <x:c r="C1978"/>
      <x:c r="D1978"/>
      <x:c r="E1978"/>
      <x:c r="F1978"/>
      <x:c r="G1978"/>
    </x:row>
    <x:row r="1979">
      <x:c r="A1979"/>
      <x:c r="B1979"/>
      <x:c r="C1979"/>
      <x:c r="D1979"/>
      <x:c r="E1979"/>
      <x:c r="F1979"/>
      <x:c r="G1979"/>
    </x:row>
    <x:row r="1980">
      <x:c r="A1980"/>
      <x:c r="B1980"/>
      <x:c r="C1980"/>
      <x:c r="D1980"/>
      <x:c r="E1980"/>
      <x:c r="F1980"/>
      <x:c r="G1980"/>
    </x:row>
    <x:row r="1981">
      <x:c r="A1981"/>
      <x:c r="B1981"/>
      <x:c r="C1981"/>
      <x:c r="D1981"/>
      <x:c r="E1981"/>
      <x:c r="F1981"/>
      <x:c r="G1981"/>
    </x:row>
    <x:row r="1982">
      <x:c r="A1982"/>
      <x:c r="B1982"/>
      <x:c r="C1982"/>
      <x:c r="D1982"/>
      <x:c r="E1982"/>
      <x:c r="F1982"/>
      <x:c r="G1982"/>
    </x:row>
    <x:row r="1983">
      <x:c r="A1983"/>
      <x:c r="B1983"/>
      <x:c r="C1983"/>
      <x:c r="D1983"/>
      <x:c r="E1983"/>
      <x:c r="F1983"/>
      <x:c r="G1983"/>
    </x:row>
    <x:row r="1984">
      <x:c r="A1984"/>
      <x:c r="B1984"/>
      <x:c r="C1984"/>
      <x:c r="D1984"/>
      <x:c r="E1984"/>
      <x:c r="F1984"/>
      <x:c r="G1984"/>
    </x:row>
    <x:row r="1985">
      <x:c r="A1985"/>
      <x:c r="B1985"/>
      <x:c r="C1985"/>
      <x:c r="D1985"/>
      <x:c r="E1985"/>
      <x:c r="F1985"/>
      <x:c r="G1985"/>
    </x:row>
    <x:row r="1986">
      <x:c r="A1986"/>
      <x:c r="B1986"/>
      <x:c r="C1986"/>
      <x:c r="D1986"/>
      <x:c r="E1986"/>
      <x:c r="F1986"/>
      <x:c r="G1986"/>
    </x:row>
    <x:row r="1987">
      <x:c r="A1987"/>
      <x:c r="B1987"/>
      <x:c r="C1987"/>
      <x:c r="D1987"/>
      <x:c r="E1987"/>
      <x:c r="F1987"/>
      <x:c r="G1987"/>
    </x:row>
    <x:row r="1988">
      <x:c r="A1988"/>
      <x:c r="B1988"/>
      <x:c r="C1988"/>
      <x:c r="D1988"/>
      <x:c r="E1988"/>
      <x:c r="F1988"/>
      <x:c r="G1988"/>
    </x:row>
    <x:row r="1989">
      <x:c r="A1989"/>
      <x:c r="B1989"/>
      <x:c r="C1989"/>
      <x:c r="D1989"/>
      <x:c r="E1989"/>
      <x:c r="F1989"/>
      <x:c r="G1989"/>
    </x:row>
    <x:row r="1990">
      <x:c r="A1990"/>
      <x:c r="B1990"/>
      <x:c r="C1990"/>
      <x:c r="D1990"/>
      <x:c r="E1990"/>
      <x:c r="F1990"/>
      <x:c r="G1990"/>
    </x:row>
    <x:row r="1991">
      <x:c r="A1991"/>
      <x:c r="B1991"/>
      <x:c r="C1991"/>
      <x:c r="D1991"/>
      <x:c r="E1991"/>
      <x:c r="F1991"/>
      <x:c r="G1991"/>
    </x:row>
    <x:row r="1992">
      <x:c r="A1992"/>
      <x:c r="B1992"/>
      <x:c r="C1992"/>
      <x:c r="D1992"/>
      <x:c r="E1992"/>
      <x:c r="F1992"/>
      <x:c r="G1992"/>
    </x:row>
    <x:row r="1993">
      <x:c r="A1993"/>
      <x:c r="B1993"/>
      <x:c r="C1993"/>
      <x:c r="D1993"/>
      <x:c r="E1993"/>
      <x:c r="F1993"/>
      <x:c r="G1993"/>
    </x:row>
    <x:row r="1994">
      <x:c r="A1994"/>
      <x:c r="B1994"/>
      <x:c r="C1994"/>
      <x:c r="D1994"/>
      <x:c r="E1994"/>
      <x:c r="F1994"/>
      <x:c r="G1994"/>
    </x:row>
    <x:row r="1995">
      <x:c r="A1995"/>
      <x:c r="B1995"/>
      <x:c r="C1995"/>
      <x:c r="D1995"/>
      <x:c r="E1995"/>
      <x:c r="F1995"/>
      <x:c r="G1995"/>
    </x:row>
    <x:row r="1996">
      <x:c r="A1996"/>
      <x:c r="B1996"/>
      <x:c r="C1996"/>
      <x:c r="D1996"/>
      <x:c r="E1996"/>
      <x:c r="F1996"/>
      <x:c r="G1996"/>
    </x:row>
    <x:row r="1997">
      <x:c r="A1997"/>
      <x:c r="B1997"/>
      <x:c r="C1997"/>
      <x:c r="D1997"/>
      <x:c r="E1997"/>
      <x:c r="F1997"/>
      <x:c r="G1997"/>
    </x:row>
    <x:row r="1998">
      <x:c r="A1998"/>
      <x:c r="B1998"/>
      <x:c r="C1998"/>
      <x:c r="D1998"/>
      <x:c r="E1998"/>
      <x:c r="F1998"/>
      <x:c r="G1998"/>
    </x:row>
    <x:row r="1999">
      <x:c r="A1999"/>
      <x:c r="B1999"/>
      <x:c r="C1999"/>
      <x:c r="D1999"/>
      <x:c r="E1999"/>
      <x:c r="F1999"/>
      <x:c r="G1999"/>
    </x:row>
    <x:row r="2000">
      <x:c r="A2000"/>
      <x:c r="B2000"/>
      <x:c r="C2000"/>
      <x:c r="D2000"/>
      <x:c r="E2000"/>
      <x:c r="F2000"/>
      <x:c r="G2000"/>
    </x:row>
    <x:row r="2001">
      <x:c r="A2001"/>
      <x:c r="B2001"/>
      <x:c r="C2001"/>
      <x:c r="D2001"/>
      <x:c r="E2001"/>
      <x:c r="F2001"/>
      <x:c r="G2001"/>
    </x:row>
    <x:row r="2002">
      <x:c r="A2002"/>
      <x:c r="B2002"/>
      <x:c r="C2002"/>
      <x:c r="D2002"/>
      <x:c r="E2002"/>
      <x:c r="F2002"/>
      <x:c r="G2002"/>
    </x:row>
    <x:row r="2003">
      <x:c r="A2003"/>
      <x:c r="B2003"/>
      <x:c r="C2003"/>
      <x:c r="D2003"/>
      <x:c r="E2003"/>
      <x:c r="F2003"/>
      <x:c r="G2003"/>
    </x:row>
    <x:row r="2004">
      <x:c r="A2004"/>
      <x:c r="B2004"/>
      <x:c r="C2004"/>
      <x:c r="D2004"/>
      <x:c r="E2004"/>
      <x:c r="F2004"/>
      <x:c r="G2004"/>
    </x:row>
    <x:row r="2005">
      <x:c r="A2005"/>
      <x:c r="B2005"/>
      <x:c r="C2005"/>
      <x:c r="D2005"/>
      <x:c r="E2005"/>
      <x:c r="F2005"/>
      <x:c r="G2005"/>
    </x:row>
    <x:row r="2006">
      <x:c r="A2006"/>
      <x:c r="B2006"/>
      <x:c r="C2006"/>
      <x:c r="D2006"/>
      <x:c r="E2006"/>
      <x:c r="F2006"/>
      <x:c r="G2006"/>
    </x:row>
    <x:row r="2007">
      <x:c r="A2007"/>
      <x:c r="B2007"/>
      <x:c r="C2007"/>
      <x:c r="D2007"/>
      <x:c r="E2007"/>
      <x:c r="F2007"/>
      <x:c r="G2007"/>
    </x:row>
    <x:row r="2008">
      <x:c r="A2008"/>
      <x:c r="B2008"/>
      <x:c r="C2008"/>
      <x:c r="D2008"/>
      <x:c r="E2008"/>
      <x:c r="F2008"/>
      <x:c r="G2008"/>
    </x:row>
    <x:row r="2009">
      <x:c r="A2009"/>
      <x:c r="B2009"/>
      <x:c r="C2009"/>
      <x:c r="D2009"/>
      <x:c r="E2009"/>
      <x:c r="F2009"/>
      <x:c r="G2009"/>
    </x:row>
    <x:row r="2010">
      <x:c r="A2010"/>
      <x:c r="B2010"/>
      <x:c r="C2010"/>
      <x:c r="D2010"/>
      <x:c r="E2010"/>
      <x:c r="F2010"/>
      <x:c r="G2010"/>
    </x:row>
    <x:row r="2011">
      <x:c r="A2011"/>
      <x:c r="B2011"/>
      <x:c r="C2011"/>
      <x:c r="D2011"/>
      <x:c r="E2011"/>
      <x:c r="F2011"/>
      <x:c r="G2011"/>
    </x:row>
    <x:row r="2012">
      <x:c r="A2012"/>
      <x:c r="B2012"/>
      <x:c r="C2012"/>
      <x:c r="D2012"/>
      <x:c r="E2012"/>
      <x:c r="F2012"/>
      <x:c r="G2012"/>
    </x:row>
    <x:row r="2013">
      <x:c r="A2013"/>
      <x:c r="B2013"/>
      <x:c r="C2013"/>
      <x:c r="D2013"/>
      <x:c r="E2013"/>
      <x:c r="F2013"/>
      <x:c r="G2013"/>
    </x:row>
    <x:row r="2014">
      <x:c r="A2014"/>
      <x:c r="B2014"/>
      <x:c r="C2014"/>
      <x:c r="D2014"/>
      <x:c r="E2014"/>
      <x:c r="F2014"/>
      <x:c r="G2014"/>
    </x:row>
    <x:row r="2015">
      <x:c r="A2015"/>
      <x:c r="B2015"/>
      <x:c r="C2015"/>
      <x:c r="D2015"/>
      <x:c r="E2015"/>
      <x:c r="F2015"/>
      <x:c r="G2015"/>
    </x:row>
    <x:row r="2016">
      <x:c r="A2016"/>
      <x:c r="B2016"/>
      <x:c r="C2016"/>
      <x:c r="D2016"/>
      <x:c r="E2016"/>
      <x:c r="F2016"/>
      <x:c r="G2016"/>
    </x:row>
    <x:row r="2017">
      <x:c r="A2017"/>
      <x:c r="B2017"/>
      <x:c r="C2017"/>
      <x:c r="D2017"/>
      <x:c r="E2017"/>
      <x:c r="F2017"/>
      <x:c r="G2017"/>
    </x:row>
    <x:row r="2018">
      <x:c r="A2018"/>
      <x:c r="B2018"/>
      <x:c r="C2018"/>
      <x:c r="D2018"/>
      <x:c r="E2018"/>
      <x:c r="F2018"/>
      <x:c r="G2018"/>
    </x:row>
    <x:row r="2019">
      <x:c r="A2019"/>
      <x:c r="B2019"/>
      <x:c r="C2019"/>
      <x:c r="D2019"/>
      <x:c r="E2019"/>
      <x:c r="F2019"/>
      <x:c r="G2019"/>
    </x:row>
    <x:row r="2020">
      <x:c r="A2020"/>
      <x:c r="B2020"/>
      <x:c r="C2020"/>
      <x:c r="D2020"/>
      <x:c r="E2020"/>
      <x:c r="F2020"/>
      <x:c r="G2020"/>
    </x:row>
    <x:row r="2021">
      <x:c r="A2021"/>
      <x:c r="B2021"/>
      <x:c r="C2021"/>
      <x:c r="D2021"/>
      <x:c r="E2021"/>
      <x:c r="F2021"/>
      <x:c r="G2021"/>
    </x:row>
    <x:row r="2022">
      <x:c r="A2022"/>
      <x:c r="B2022"/>
      <x:c r="C2022"/>
      <x:c r="D2022"/>
      <x:c r="E2022"/>
      <x:c r="F2022"/>
      <x:c r="G2022"/>
    </x:row>
    <x:row r="2023">
      <x:c r="A2023"/>
      <x:c r="B2023"/>
      <x:c r="C2023"/>
      <x:c r="D2023"/>
      <x:c r="E2023"/>
      <x:c r="F2023"/>
      <x:c r="G2023"/>
    </x:row>
    <x:row r="2024">
      <x:c r="A2024"/>
      <x:c r="B2024"/>
      <x:c r="C2024"/>
      <x:c r="D2024"/>
      <x:c r="E2024"/>
      <x:c r="F2024"/>
      <x:c r="G2024"/>
    </x:row>
    <x:row r="2025">
      <x:c r="A2025"/>
      <x:c r="B2025"/>
      <x:c r="C2025"/>
      <x:c r="D2025"/>
      <x:c r="E2025"/>
      <x:c r="F2025"/>
      <x:c r="G2025"/>
    </x:row>
    <x:row r="2026">
      <x:c r="A2026"/>
      <x:c r="B2026"/>
      <x:c r="C2026"/>
      <x:c r="D2026"/>
      <x:c r="E2026"/>
      <x:c r="F2026"/>
      <x:c r="G2026"/>
    </x:row>
    <x:row r="2027">
      <x:c r="A2027"/>
      <x:c r="B2027"/>
      <x:c r="C2027"/>
      <x:c r="D2027"/>
      <x:c r="E2027"/>
      <x:c r="F2027"/>
      <x:c r="G2027"/>
    </x:row>
    <x:row r="2028">
      <x:c r="A2028"/>
      <x:c r="B2028"/>
      <x:c r="C2028"/>
      <x:c r="D2028"/>
      <x:c r="E2028"/>
      <x:c r="F2028"/>
      <x:c r="G2028"/>
    </x:row>
    <x:row r="2029">
      <x:c r="A2029"/>
      <x:c r="B2029"/>
      <x:c r="C2029"/>
      <x:c r="D2029"/>
      <x:c r="E2029"/>
      <x:c r="F2029"/>
      <x:c r="G2029"/>
    </x:row>
    <x:row r="2030">
      <x:c r="A2030"/>
      <x:c r="B2030"/>
      <x:c r="C2030"/>
      <x:c r="D2030"/>
      <x:c r="E2030"/>
      <x:c r="F2030"/>
      <x:c r="G2030"/>
    </x:row>
    <x:row r="2031">
      <x:c r="A2031"/>
      <x:c r="B2031"/>
      <x:c r="C2031"/>
      <x:c r="D2031"/>
      <x:c r="E2031"/>
      <x:c r="F2031"/>
      <x:c r="G2031"/>
    </x:row>
    <x:row r="2032">
      <x:c r="A2032"/>
      <x:c r="B2032"/>
      <x:c r="C2032"/>
      <x:c r="D2032"/>
      <x:c r="E2032"/>
      <x:c r="F2032"/>
      <x:c r="G2032"/>
    </x:row>
    <x:row r="2033">
      <x:c r="A2033"/>
      <x:c r="B2033"/>
      <x:c r="C2033"/>
      <x:c r="D2033"/>
      <x:c r="E2033"/>
      <x:c r="F2033"/>
      <x:c r="G2033"/>
    </x:row>
    <x:row r="2034">
      <x:c r="A2034"/>
      <x:c r="B2034"/>
      <x:c r="C2034"/>
      <x:c r="D2034"/>
      <x:c r="E2034"/>
      <x:c r="F2034"/>
      <x:c r="G2034"/>
    </x:row>
    <x:row r="2035">
      <x:c r="A2035"/>
      <x:c r="B2035"/>
      <x:c r="C2035"/>
      <x:c r="D2035"/>
      <x:c r="E2035"/>
      <x:c r="F2035"/>
      <x:c r="G2035"/>
    </x:row>
    <x:row r="2036">
      <x:c r="A2036"/>
      <x:c r="B2036"/>
      <x:c r="C2036"/>
      <x:c r="D2036"/>
      <x:c r="E2036"/>
      <x:c r="F2036"/>
      <x:c r="G2036"/>
    </x:row>
    <x:row r="2037">
      <x:c r="A2037"/>
      <x:c r="B2037"/>
      <x:c r="C2037"/>
      <x:c r="D2037"/>
      <x:c r="E2037"/>
      <x:c r="F2037"/>
      <x:c r="G2037"/>
    </x:row>
    <x:row r="2038">
      <x:c r="A2038"/>
      <x:c r="B2038"/>
      <x:c r="C2038"/>
      <x:c r="D2038"/>
      <x:c r="E2038"/>
      <x:c r="F2038"/>
      <x:c r="G2038"/>
    </x:row>
    <x:row r="2039">
      <x:c r="A2039"/>
      <x:c r="B2039"/>
      <x:c r="C2039"/>
      <x:c r="D2039"/>
      <x:c r="E2039"/>
      <x:c r="F2039"/>
      <x:c r="G2039"/>
    </x:row>
    <x:row r="2040">
      <x:c r="A2040"/>
      <x:c r="B2040"/>
      <x:c r="C2040"/>
      <x:c r="D2040"/>
      <x:c r="E2040"/>
      <x:c r="F2040"/>
      <x:c r="G2040"/>
    </x:row>
    <x:row r="2041">
      <x:c r="A2041"/>
      <x:c r="B2041"/>
      <x:c r="C2041"/>
      <x:c r="D2041"/>
      <x:c r="E2041"/>
      <x:c r="F2041"/>
      <x:c r="G2041"/>
    </x:row>
    <x:row r="2042">
      <x:c r="A2042"/>
      <x:c r="B2042"/>
      <x:c r="C2042"/>
      <x:c r="D2042"/>
      <x:c r="E2042"/>
      <x:c r="F2042"/>
      <x:c r="G2042"/>
    </x:row>
    <x:row r="2043">
      <x:c r="A2043"/>
      <x:c r="B2043"/>
      <x:c r="C2043"/>
      <x:c r="D2043"/>
      <x:c r="E2043"/>
      <x:c r="F2043"/>
      <x:c r="G2043"/>
    </x:row>
    <x:row r="2044">
      <x:c r="A2044"/>
      <x:c r="B2044"/>
      <x:c r="C2044"/>
      <x:c r="D2044"/>
      <x:c r="E2044"/>
      <x:c r="F2044"/>
      <x:c r="G2044"/>
    </x:row>
    <x:row r="2045">
      <x:c r="A2045"/>
      <x:c r="B2045"/>
      <x:c r="C2045"/>
      <x:c r="D2045"/>
      <x:c r="E2045"/>
      <x:c r="F2045"/>
      <x:c r="G2045"/>
    </x:row>
    <x:row r="2046">
      <x:c r="A2046"/>
      <x:c r="B2046"/>
      <x:c r="C2046"/>
      <x:c r="D2046"/>
      <x:c r="E2046"/>
      <x:c r="F2046"/>
      <x:c r="G2046"/>
    </x:row>
    <x:row r="2047">
      <x:c r="A2047"/>
      <x:c r="B2047"/>
      <x:c r="C2047"/>
      <x:c r="D2047"/>
      <x:c r="E2047"/>
      <x:c r="F2047"/>
      <x:c r="G2047"/>
    </x:row>
    <x:row r="2048">
      <x:c r="A2048"/>
      <x:c r="B2048"/>
      <x:c r="C2048"/>
      <x:c r="D2048"/>
      <x:c r="E2048"/>
      <x:c r="F2048"/>
      <x:c r="G2048"/>
    </x:row>
    <x:row r="2049">
      <x:c r="A2049"/>
      <x:c r="B2049"/>
      <x:c r="C2049"/>
      <x:c r="D2049"/>
      <x:c r="E2049"/>
      <x:c r="F2049"/>
      <x:c r="G2049"/>
    </x:row>
    <x:row r="2050">
      <x:c r="A2050"/>
      <x:c r="B2050"/>
      <x:c r="C2050"/>
      <x:c r="D2050"/>
      <x:c r="E2050"/>
      <x:c r="F2050"/>
      <x:c r="G2050"/>
    </x:row>
    <x:row r="2051">
      <x:c r="A2051"/>
      <x:c r="B2051"/>
      <x:c r="C2051"/>
      <x:c r="D2051"/>
      <x:c r="E2051"/>
      <x:c r="F2051"/>
      <x:c r="G2051"/>
    </x:row>
    <x:row r="2052">
      <x:c r="A2052"/>
      <x:c r="B2052"/>
      <x:c r="C2052"/>
      <x:c r="D2052"/>
      <x:c r="E2052"/>
      <x:c r="F2052"/>
      <x:c r="G2052"/>
    </x:row>
    <x:row r="2053">
      <x:c r="A2053"/>
      <x:c r="B2053"/>
      <x:c r="C2053"/>
      <x:c r="D2053"/>
      <x:c r="E2053"/>
      <x:c r="F2053"/>
      <x:c r="G2053"/>
    </x:row>
    <x:row r="2054">
      <x:c r="A2054"/>
      <x:c r="B2054"/>
      <x:c r="C2054"/>
      <x:c r="D2054"/>
      <x:c r="E2054"/>
      <x:c r="F2054"/>
      <x:c r="G2054"/>
    </x:row>
    <x:row r="2055">
      <x:c r="A2055"/>
      <x:c r="B2055"/>
      <x:c r="C2055"/>
      <x:c r="D2055"/>
      <x:c r="E2055"/>
      <x:c r="F2055"/>
      <x:c r="G2055"/>
    </x:row>
    <x:row r="2056">
      <x:c r="A2056"/>
      <x:c r="B2056"/>
      <x:c r="C2056"/>
      <x:c r="D2056"/>
      <x:c r="E2056"/>
      <x:c r="F2056"/>
      <x:c r="G2056"/>
    </x:row>
    <x:row r="2057">
      <x:c r="A2057"/>
      <x:c r="B2057"/>
      <x:c r="C2057"/>
      <x:c r="D2057"/>
      <x:c r="E2057"/>
      <x:c r="F2057"/>
      <x:c r="G2057"/>
    </x:row>
    <x:row r="2058">
      <x:c r="A2058"/>
      <x:c r="B2058"/>
      <x:c r="C2058"/>
      <x:c r="D2058"/>
      <x:c r="E2058"/>
      <x:c r="F2058"/>
      <x:c r="G2058"/>
    </x:row>
    <x:row r="2059">
      <x:c r="A2059"/>
      <x:c r="B2059"/>
      <x:c r="C2059"/>
      <x:c r="D2059"/>
      <x:c r="E2059"/>
      <x:c r="F2059"/>
      <x:c r="G2059"/>
    </x:row>
    <x:row r="2060">
      <x:c r="A2060"/>
      <x:c r="B2060"/>
      <x:c r="C2060"/>
      <x:c r="D2060"/>
      <x:c r="E2060"/>
      <x:c r="F2060"/>
      <x:c r="G2060"/>
    </x:row>
    <x:row r="2061">
      <x:c r="A2061"/>
      <x:c r="B2061"/>
      <x:c r="C2061"/>
      <x:c r="D2061"/>
      <x:c r="E2061"/>
      <x:c r="F2061"/>
      <x:c r="G2061"/>
    </x:row>
    <x:row r="2062">
      <x:c r="A2062"/>
      <x:c r="B2062"/>
      <x:c r="C2062"/>
      <x:c r="D2062"/>
      <x:c r="E2062"/>
      <x:c r="F2062"/>
      <x:c r="G2062"/>
    </x:row>
    <x:row r="2063">
      <x:c r="A2063"/>
      <x:c r="B2063"/>
      <x:c r="C2063"/>
      <x:c r="D2063"/>
      <x:c r="E2063"/>
      <x:c r="F2063"/>
      <x:c r="G2063"/>
    </x:row>
    <x:row r="2064">
      <x:c r="A2064"/>
      <x:c r="B2064"/>
      <x:c r="C2064"/>
      <x:c r="D2064"/>
      <x:c r="E2064"/>
      <x:c r="F2064"/>
      <x:c r="G2064"/>
    </x:row>
    <x:row r="2065">
      <x:c r="A2065"/>
      <x:c r="B2065"/>
      <x:c r="C2065"/>
      <x:c r="D2065"/>
      <x:c r="E2065"/>
      <x:c r="F2065"/>
      <x:c r="G2065"/>
    </x:row>
    <x:row r="2066">
      <x:c r="A2066"/>
      <x:c r="B2066"/>
      <x:c r="C2066"/>
      <x:c r="D2066"/>
      <x:c r="E2066"/>
      <x:c r="F2066"/>
      <x:c r="G2066"/>
    </x:row>
    <x:row r="2067">
      <x:c r="A2067"/>
      <x:c r="B2067"/>
      <x:c r="C2067"/>
      <x:c r="D2067"/>
      <x:c r="E2067"/>
      <x:c r="F2067"/>
      <x:c r="G2067"/>
    </x:row>
    <x:row r="2068">
      <x:c r="A2068"/>
      <x:c r="B2068"/>
      <x:c r="C2068"/>
      <x:c r="D2068"/>
      <x:c r="E2068"/>
      <x:c r="F2068"/>
      <x:c r="G2068"/>
    </x:row>
    <x:row r="2069">
      <x:c r="A2069"/>
      <x:c r="B2069"/>
      <x:c r="C2069"/>
      <x:c r="D2069"/>
      <x:c r="E2069"/>
      <x:c r="F2069"/>
      <x:c r="G2069"/>
    </x:row>
    <x:row r="2070">
      <x:c r="A2070"/>
      <x:c r="B2070"/>
      <x:c r="C2070"/>
      <x:c r="D2070"/>
      <x:c r="E2070"/>
      <x:c r="F2070"/>
      <x:c r="G2070"/>
    </x:row>
    <x:row r="2071">
      <x:c r="A2071"/>
      <x:c r="B2071"/>
      <x:c r="C2071"/>
      <x:c r="D2071"/>
      <x:c r="E2071"/>
      <x:c r="F2071"/>
      <x:c r="G2071"/>
    </x:row>
    <x:row r="2072">
      <x:c r="A2072"/>
      <x:c r="B2072"/>
      <x:c r="C2072"/>
      <x:c r="D2072"/>
      <x:c r="E2072"/>
      <x:c r="F2072"/>
      <x:c r="G2072"/>
    </x:row>
    <x:row r="2073">
      <x:c r="A2073"/>
      <x:c r="B2073"/>
      <x:c r="C2073"/>
      <x:c r="D2073"/>
      <x:c r="E2073"/>
      <x:c r="F2073"/>
      <x:c r="G2073"/>
    </x:row>
    <x:row r="2074">
      <x:c r="A2074"/>
      <x:c r="B2074"/>
      <x:c r="C2074"/>
      <x:c r="D2074"/>
      <x:c r="E2074"/>
      <x:c r="F2074"/>
      <x:c r="G2074"/>
    </x:row>
    <x:row r="2075">
      <x:c r="A2075"/>
      <x:c r="B2075"/>
      <x:c r="C2075"/>
      <x:c r="D2075"/>
      <x:c r="E2075"/>
      <x:c r="F2075"/>
      <x:c r="G2075"/>
    </x:row>
    <x:row r="2076">
      <x:c r="A2076"/>
      <x:c r="B2076"/>
      <x:c r="C2076"/>
      <x:c r="D2076"/>
      <x:c r="E2076"/>
      <x:c r="F2076"/>
      <x:c r="G2076"/>
    </x:row>
    <x:row r="2077">
      <x:c r="A2077"/>
      <x:c r="B2077"/>
      <x:c r="C2077"/>
      <x:c r="D2077"/>
      <x:c r="E2077"/>
      <x:c r="F2077"/>
      <x:c r="G2077"/>
    </x:row>
    <x:row r="2078">
      <x:c r="A2078"/>
      <x:c r="B2078"/>
      <x:c r="C2078"/>
      <x:c r="D2078"/>
      <x:c r="E2078"/>
      <x:c r="F2078"/>
      <x:c r="G2078"/>
    </x:row>
    <x:row r="2079">
      <x:c r="A2079"/>
      <x:c r="B2079"/>
      <x:c r="C2079"/>
      <x:c r="D2079"/>
      <x:c r="E2079"/>
      <x:c r="F2079"/>
      <x:c r="G2079"/>
    </x:row>
    <x:row r="2080">
      <x:c r="A2080"/>
      <x:c r="B2080"/>
      <x:c r="C2080"/>
      <x:c r="D2080"/>
      <x:c r="E2080"/>
      <x:c r="F2080"/>
      <x:c r="G2080"/>
    </x:row>
    <x:row r="2081">
      <x:c r="A2081"/>
      <x:c r="B2081"/>
      <x:c r="C2081"/>
      <x:c r="D2081"/>
      <x:c r="E2081"/>
      <x:c r="F2081"/>
      <x:c r="G2081"/>
    </x:row>
    <x:row r="2082">
      <x:c r="A2082"/>
      <x:c r="B2082"/>
      <x:c r="C2082"/>
      <x:c r="D2082"/>
      <x:c r="E2082"/>
      <x:c r="F2082"/>
      <x:c r="G2082"/>
    </x:row>
    <x:row r="2083">
      <x:c r="A2083"/>
      <x:c r="B2083"/>
      <x:c r="C2083"/>
      <x:c r="D2083"/>
      <x:c r="E2083"/>
      <x:c r="F2083"/>
      <x:c r="G2083"/>
    </x:row>
    <x:row r="2084">
      <x:c r="A2084"/>
      <x:c r="B2084"/>
      <x:c r="C2084"/>
      <x:c r="D2084"/>
      <x:c r="E2084"/>
      <x:c r="F2084"/>
      <x:c r="G2084"/>
    </x:row>
    <x:row r="2085">
      <x:c r="A2085"/>
      <x:c r="B2085"/>
      <x:c r="C2085"/>
      <x:c r="D2085"/>
      <x:c r="E2085"/>
      <x:c r="F2085"/>
      <x:c r="G2085"/>
    </x:row>
    <x:row r="2086">
      <x:c r="A2086"/>
      <x:c r="B2086"/>
      <x:c r="C2086"/>
      <x:c r="D2086"/>
      <x:c r="E2086"/>
      <x:c r="F2086"/>
      <x:c r="G2086"/>
    </x:row>
    <x:row r="2087">
      <x:c r="A2087"/>
      <x:c r="B2087"/>
      <x:c r="C2087"/>
      <x:c r="D2087"/>
      <x:c r="E2087"/>
      <x:c r="F2087"/>
      <x:c r="G2087"/>
    </x:row>
    <x:row r="2088">
      <x:c r="A2088"/>
      <x:c r="B2088"/>
      <x:c r="C2088"/>
      <x:c r="D2088"/>
      <x:c r="E2088"/>
      <x:c r="F2088"/>
      <x:c r="G2088"/>
    </x:row>
    <x:row r="2089">
      <x:c r="A2089"/>
      <x:c r="B2089"/>
      <x:c r="C2089"/>
      <x:c r="D2089"/>
      <x:c r="E2089"/>
      <x:c r="F2089"/>
      <x:c r="G2089"/>
    </x:row>
    <x:row r="2090">
      <x:c r="A2090"/>
      <x:c r="B2090"/>
      <x:c r="C2090"/>
      <x:c r="D2090"/>
      <x:c r="E2090"/>
      <x:c r="F2090"/>
      <x:c r="G2090"/>
    </x:row>
    <x:row r="2091">
      <x:c r="A2091"/>
      <x:c r="B2091"/>
      <x:c r="C2091"/>
      <x:c r="D2091"/>
      <x:c r="E2091"/>
      <x:c r="F2091"/>
      <x:c r="G2091"/>
    </x:row>
    <x:row r="2092">
      <x:c r="A2092"/>
      <x:c r="B2092"/>
      <x:c r="C2092"/>
      <x:c r="D2092"/>
      <x:c r="E2092"/>
      <x:c r="F2092"/>
      <x:c r="G2092"/>
    </x:row>
    <x:row r="2093">
      <x:c r="A2093"/>
      <x:c r="B2093"/>
      <x:c r="C2093"/>
      <x:c r="D2093"/>
      <x:c r="E2093"/>
      <x:c r="F2093"/>
      <x:c r="G2093"/>
    </x:row>
    <x:row r="2094">
      <x:c r="A2094"/>
      <x:c r="B2094"/>
      <x:c r="C2094"/>
      <x:c r="D2094"/>
      <x:c r="E2094"/>
      <x:c r="F2094"/>
      <x:c r="G2094"/>
    </x:row>
    <x:row r="2095">
      <x:c r="A2095"/>
      <x:c r="B2095"/>
      <x:c r="C2095"/>
      <x:c r="D2095"/>
      <x:c r="E2095"/>
      <x:c r="F2095"/>
      <x:c r="G2095"/>
    </x:row>
    <x:row r="2096">
      <x:c r="A2096"/>
      <x:c r="B2096"/>
      <x:c r="C2096"/>
      <x:c r="D2096"/>
      <x:c r="E2096"/>
      <x:c r="F2096"/>
      <x:c r="G2096"/>
    </x:row>
    <x:row r="2097">
      <x:c r="A2097"/>
      <x:c r="B2097"/>
      <x:c r="C2097"/>
      <x:c r="D2097"/>
      <x:c r="E2097"/>
      <x:c r="F2097"/>
      <x:c r="G2097"/>
    </x:row>
    <x:row r="2098">
      <x:c r="A2098"/>
      <x:c r="B2098"/>
      <x:c r="C2098"/>
      <x:c r="D2098"/>
      <x:c r="E2098"/>
      <x:c r="F2098"/>
      <x:c r="G2098"/>
    </x:row>
    <x:row r="2099">
      <x:c r="A2099"/>
      <x:c r="B2099"/>
      <x:c r="C2099"/>
      <x:c r="D2099"/>
      <x:c r="E2099"/>
      <x:c r="F2099"/>
      <x:c r="G2099"/>
    </x:row>
    <x:row r="2100">
      <x:c r="A2100"/>
      <x:c r="B2100"/>
      <x:c r="C2100"/>
      <x:c r="D2100"/>
      <x:c r="E2100"/>
      <x:c r="F2100"/>
      <x:c r="G2100"/>
    </x:row>
    <x:row r="2101">
      <x:c r="A2101"/>
      <x:c r="B2101"/>
      <x:c r="C2101"/>
      <x:c r="D2101"/>
      <x:c r="E2101"/>
      <x:c r="F2101"/>
      <x:c r="G2101"/>
    </x:row>
    <x:row r="2102">
      <x:c r="A2102"/>
      <x:c r="B2102"/>
      <x:c r="C2102"/>
      <x:c r="D2102"/>
      <x:c r="E2102"/>
      <x:c r="F2102"/>
      <x:c r="G2102"/>
    </x:row>
    <x:row r="2103">
      <x:c r="A2103"/>
      <x:c r="B2103"/>
      <x:c r="C2103"/>
      <x:c r="D2103"/>
      <x:c r="E2103"/>
      <x:c r="F2103"/>
      <x:c r="G2103"/>
    </x:row>
    <x:row r="2104">
      <x:c r="A2104"/>
      <x:c r="B2104"/>
      <x:c r="C2104"/>
      <x:c r="D2104"/>
      <x:c r="E2104"/>
      <x:c r="F2104"/>
      <x:c r="G2104"/>
    </x:row>
    <x:row r="2105">
      <x:c r="A2105"/>
      <x:c r="B2105"/>
      <x:c r="C2105"/>
      <x:c r="D2105"/>
      <x:c r="E2105"/>
      <x:c r="F2105"/>
      <x:c r="G2105"/>
    </x:row>
    <x:row r="2106">
      <x:c r="A2106"/>
      <x:c r="B2106"/>
      <x:c r="C2106"/>
      <x:c r="D2106"/>
      <x:c r="E2106"/>
      <x:c r="F2106"/>
      <x:c r="G2106"/>
    </x:row>
    <x:row r="2107">
      <x:c r="A2107"/>
      <x:c r="B2107"/>
      <x:c r="C2107"/>
      <x:c r="D2107"/>
      <x:c r="E2107"/>
      <x:c r="F2107"/>
      <x:c r="G2107"/>
    </x:row>
    <x:row r="2108">
      <x:c r="A2108"/>
      <x:c r="B2108"/>
      <x:c r="C2108"/>
      <x:c r="D2108"/>
      <x:c r="E2108"/>
      <x:c r="F2108"/>
      <x:c r="G2108"/>
    </x:row>
    <x:row r="2109">
      <x:c r="A2109"/>
      <x:c r="B2109"/>
      <x:c r="C2109"/>
      <x:c r="D2109"/>
      <x:c r="E2109"/>
      <x:c r="F2109"/>
      <x:c r="G2109"/>
    </x:row>
    <x:row r="2110">
      <x:c r="A2110"/>
      <x:c r="B2110"/>
      <x:c r="C2110"/>
      <x:c r="D2110"/>
      <x:c r="E2110"/>
      <x:c r="F2110"/>
      <x:c r="G2110"/>
    </x:row>
    <x:row r="2111">
      <x:c r="A2111"/>
      <x:c r="B2111"/>
      <x:c r="C2111"/>
      <x:c r="D2111"/>
      <x:c r="E2111"/>
      <x:c r="F2111"/>
      <x:c r="G2111"/>
    </x:row>
    <x:row r="2112">
      <x:c r="A2112"/>
      <x:c r="B2112"/>
      <x:c r="C2112"/>
      <x:c r="D2112"/>
      <x:c r="E2112"/>
      <x:c r="F2112"/>
      <x:c r="G2112"/>
    </x:row>
    <x:row r="2113">
      <x:c r="A2113"/>
      <x:c r="B2113"/>
      <x:c r="C2113"/>
      <x:c r="D2113"/>
      <x:c r="E2113"/>
      <x:c r="F2113"/>
      <x:c r="G2113"/>
    </x:row>
    <x:row r="2114">
      <x:c r="A2114"/>
      <x:c r="B2114"/>
      <x:c r="C2114"/>
      <x:c r="D2114"/>
      <x:c r="E2114"/>
      <x:c r="F2114"/>
      <x:c r="G2114"/>
    </x:row>
    <x:row r="2115">
      <x:c r="A2115"/>
      <x:c r="B2115"/>
      <x:c r="C2115"/>
      <x:c r="D2115"/>
      <x:c r="E2115"/>
      <x:c r="F2115"/>
      <x:c r="G2115"/>
    </x:row>
    <x:row r="2116">
      <x:c r="A2116"/>
      <x:c r="B2116"/>
      <x:c r="C2116"/>
      <x:c r="D2116"/>
      <x:c r="E2116"/>
      <x:c r="F2116"/>
      <x:c r="G2116"/>
    </x:row>
    <x:row r="2117">
      <x:c r="A2117"/>
      <x:c r="B2117"/>
      <x:c r="C2117"/>
      <x:c r="D2117"/>
      <x:c r="E2117"/>
      <x:c r="F2117"/>
      <x:c r="G2117"/>
    </x:row>
    <x:row r="2118">
      <x:c r="A2118"/>
      <x:c r="B2118"/>
      <x:c r="C2118"/>
      <x:c r="D2118"/>
      <x:c r="E2118"/>
      <x:c r="F2118"/>
      <x:c r="G2118"/>
    </x:row>
    <x:row r="2119">
      <x:c r="A2119"/>
      <x:c r="B2119"/>
      <x:c r="C2119"/>
      <x:c r="D2119"/>
      <x:c r="E2119"/>
      <x:c r="F2119"/>
      <x:c r="G2119"/>
    </x:row>
    <x:row r="2120">
      <x:c r="A2120"/>
      <x:c r="B2120"/>
      <x:c r="C2120"/>
      <x:c r="D2120"/>
      <x:c r="E2120"/>
      <x:c r="F2120"/>
      <x:c r="G2120"/>
    </x:row>
    <x:row r="2121">
      <x:c r="A2121"/>
      <x:c r="B2121"/>
      <x:c r="C2121"/>
      <x:c r="D2121"/>
      <x:c r="E2121"/>
      <x:c r="F2121"/>
      <x:c r="G2121"/>
    </x:row>
    <x:row r="2122">
      <x:c r="A2122"/>
      <x:c r="B2122"/>
      <x:c r="C2122"/>
      <x:c r="D2122"/>
      <x:c r="E2122"/>
      <x:c r="F2122"/>
      <x:c r="G2122"/>
    </x:row>
    <x:row r="2123">
      <x:c r="A2123"/>
      <x:c r="B2123"/>
      <x:c r="C2123"/>
      <x:c r="D2123"/>
      <x:c r="E2123"/>
      <x:c r="F2123"/>
      <x:c r="G2123"/>
    </x:row>
    <x:row r="2124">
      <x:c r="A2124"/>
      <x:c r="B2124"/>
      <x:c r="C2124"/>
      <x:c r="D2124"/>
      <x:c r="E2124"/>
      <x:c r="F2124"/>
      <x:c r="G2124"/>
    </x:row>
    <x:row r="2125">
      <x:c r="A2125"/>
      <x:c r="B2125"/>
      <x:c r="C2125"/>
      <x:c r="D2125"/>
      <x:c r="E2125"/>
      <x:c r="F2125"/>
      <x:c r="G2125"/>
    </x:row>
    <x:row r="2126">
      <x:c r="A2126"/>
      <x:c r="B2126"/>
      <x:c r="C2126"/>
      <x:c r="D2126"/>
      <x:c r="E2126"/>
      <x:c r="F2126"/>
      <x:c r="G2126"/>
    </x:row>
    <x:row r="2127">
      <x:c r="A2127"/>
      <x:c r="B2127"/>
      <x:c r="C2127"/>
      <x:c r="D2127"/>
      <x:c r="E2127"/>
      <x:c r="F2127"/>
      <x:c r="G2127"/>
    </x:row>
    <x:row r="2128">
      <x:c r="A2128"/>
      <x:c r="B2128"/>
      <x:c r="C2128"/>
      <x:c r="D2128"/>
      <x:c r="E2128"/>
      <x:c r="F2128"/>
      <x:c r="G2128"/>
    </x:row>
    <x:row r="2129">
      <x:c r="A2129"/>
      <x:c r="B2129"/>
      <x:c r="C2129"/>
      <x:c r="D2129"/>
      <x:c r="E2129"/>
      <x:c r="F2129"/>
      <x:c r="G2129"/>
    </x:row>
    <x:row r="2130">
      <x:c r="A2130"/>
      <x:c r="B2130"/>
      <x:c r="C2130"/>
      <x:c r="D2130"/>
      <x:c r="E2130"/>
      <x:c r="F2130"/>
      <x:c r="G2130"/>
    </x:row>
    <x:row r="2131">
      <x:c r="A2131"/>
      <x:c r="B2131"/>
      <x:c r="C2131"/>
      <x:c r="D2131"/>
      <x:c r="E2131"/>
      <x:c r="F2131"/>
      <x:c r="G2131"/>
    </x:row>
    <x:row r="2132">
      <x:c r="A2132"/>
      <x:c r="B2132"/>
      <x:c r="C2132"/>
      <x:c r="D2132"/>
      <x:c r="E2132"/>
      <x:c r="F2132"/>
      <x:c r="G2132"/>
    </x:row>
    <x:row r="2133">
      <x:c r="A2133"/>
      <x:c r="B2133"/>
      <x:c r="C2133"/>
      <x:c r="D2133"/>
      <x:c r="E2133"/>
      <x:c r="F2133"/>
      <x:c r="G2133"/>
    </x:row>
    <x:row r="2134">
      <x:c r="A2134"/>
      <x:c r="B2134"/>
      <x:c r="C2134"/>
      <x:c r="D2134"/>
      <x:c r="E2134"/>
      <x:c r="F2134"/>
      <x:c r="G2134"/>
    </x:row>
    <x:row r="2135">
      <x:c r="A2135"/>
      <x:c r="B2135"/>
      <x:c r="C2135"/>
      <x:c r="D2135"/>
      <x:c r="E2135"/>
      <x:c r="F2135"/>
      <x:c r="G2135"/>
    </x:row>
    <x:row r="2136">
      <x:c r="A2136"/>
      <x:c r="B2136"/>
      <x:c r="C2136"/>
      <x:c r="D2136"/>
      <x:c r="E2136"/>
      <x:c r="F2136"/>
      <x:c r="G2136"/>
    </x:row>
    <x:row r="2137">
      <x:c r="A2137"/>
      <x:c r="B2137"/>
      <x:c r="C2137"/>
      <x:c r="D2137"/>
      <x:c r="E2137"/>
      <x:c r="F2137"/>
      <x:c r="G2137"/>
    </x:row>
    <x:row r="2138">
      <x:c r="A2138"/>
      <x:c r="B2138"/>
      <x:c r="C2138"/>
      <x:c r="D2138"/>
      <x:c r="E2138"/>
      <x:c r="F2138"/>
      <x:c r="G2138"/>
    </x:row>
    <x:row r="2139">
      <x:c r="A2139"/>
      <x:c r="B2139"/>
      <x:c r="C2139"/>
      <x:c r="D2139"/>
      <x:c r="E2139"/>
      <x:c r="F2139"/>
      <x:c r="G2139"/>
    </x:row>
    <x:row r="2140">
      <x:c r="A2140"/>
      <x:c r="B2140"/>
      <x:c r="C2140"/>
      <x:c r="D2140"/>
      <x:c r="E2140"/>
      <x:c r="F2140"/>
      <x:c r="G2140"/>
    </x:row>
    <x:row r="2141">
      <x:c r="A2141"/>
      <x:c r="B2141"/>
      <x:c r="C2141"/>
      <x:c r="D2141"/>
      <x:c r="E2141"/>
      <x:c r="F2141"/>
      <x:c r="G2141"/>
    </x:row>
    <x:row r="2142">
      <x:c r="A2142"/>
      <x:c r="B2142"/>
      <x:c r="C2142"/>
      <x:c r="D2142"/>
      <x:c r="E2142"/>
      <x:c r="F2142"/>
      <x:c r="G2142"/>
    </x:row>
    <x:row r="2143">
      <x:c r="A2143"/>
      <x:c r="B2143"/>
      <x:c r="C2143"/>
      <x:c r="D2143"/>
      <x:c r="E2143"/>
      <x:c r="F2143"/>
      <x:c r="G2143"/>
    </x:row>
    <x:row r="2144">
      <x:c r="A2144"/>
      <x:c r="B2144"/>
      <x:c r="C2144"/>
      <x:c r="D2144"/>
      <x:c r="E2144"/>
      <x:c r="F2144"/>
      <x:c r="G2144"/>
    </x:row>
    <x:row r="2145">
      <x:c r="A2145"/>
      <x:c r="B2145"/>
      <x:c r="C2145"/>
      <x:c r="D2145"/>
      <x:c r="E2145"/>
      <x:c r="F2145"/>
      <x:c r="G2145"/>
    </x:row>
    <x:row r="2146">
      <x:c r="A2146"/>
      <x:c r="B2146"/>
      <x:c r="C2146"/>
      <x:c r="D2146"/>
      <x:c r="E2146"/>
      <x:c r="F2146"/>
      <x:c r="G2146"/>
    </x:row>
    <x:row r="2147">
      <x:c r="A2147"/>
      <x:c r="B2147"/>
      <x:c r="C2147"/>
      <x:c r="D2147"/>
      <x:c r="E2147"/>
      <x:c r="F2147"/>
      <x:c r="G2147"/>
    </x:row>
    <x:row r="2148">
      <x:c r="A2148"/>
      <x:c r="B2148"/>
      <x:c r="C2148"/>
      <x:c r="D2148"/>
      <x:c r="E2148"/>
      <x:c r="F2148"/>
      <x:c r="G2148"/>
    </x:row>
    <x:row r="2149">
      <x:c r="A2149"/>
      <x:c r="B2149"/>
      <x:c r="C2149"/>
      <x:c r="D2149"/>
      <x:c r="E2149"/>
      <x:c r="F2149"/>
      <x:c r="G2149"/>
    </x:row>
    <x:row r="2150">
      <x:c r="A2150"/>
      <x:c r="B2150"/>
      <x:c r="C2150"/>
      <x:c r="D2150"/>
      <x:c r="E2150"/>
      <x:c r="F2150"/>
      <x:c r="G2150"/>
    </x:row>
    <x:row r="2151">
      <x:c r="A2151"/>
      <x:c r="B2151"/>
      <x:c r="C2151"/>
      <x:c r="D2151"/>
      <x:c r="E2151"/>
      <x:c r="F2151"/>
      <x:c r="G2151"/>
    </x:row>
    <x:row r="2152">
      <x:c r="A2152"/>
      <x:c r="B2152"/>
      <x:c r="C2152"/>
      <x:c r="D2152"/>
      <x:c r="E2152"/>
      <x:c r="F2152"/>
      <x:c r="G2152"/>
    </x:row>
    <x:row r="2153">
      <x:c r="A2153"/>
      <x:c r="B2153"/>
      <x:c r="C2153"/>
      <x:c r="D2153"/>
      <x:c r="E2153"/>
      <x:c r="F2153"/>
      <x:c r="G2153"/>
    </x:row>
    <x:row r="2154">
      <x:c r="A2154"/>
      <x:c r="B2154"/>
      <x:c r="C2154"/>
      <x:c r="D2154"/>
      <x:c r="E2154"/>
      <x:c r="F2154"/>
      <x:c r="G2154"/>
    </x:row>
    <x:row r="2155">
      <x:c r="A2155"/>
      <x:c r="B2155"/>
      <x:c r="C2155"/>
      <x:c r="D2155"/>
      <x:c r="E2155"/>
      <x:c r="F2155"/>
      <x:c r="G2155"/>
    </x:row>
    <x:row r="2156">
      <x:c r="A2156"/>
      <x:c r="B2156"/>
      <x:c r="C2156"/>
      <x:c r="D2156"/>
      <x:c r="E2156"/>
      <x:c r="F2156"/>
      <x:c r="G2156"/>
    </x:row>
    <x:row r="2157">
      <x:c r="A2157"/>
      <x:c r="B2157"/>
      <x:c r="C2157"/>
      <x:c r="D2157"/>
      <x:c r="E2157"/>
      <x:c r="F2157"/>
      <x:c r="G2157"/>
    </x:row>
    <x:row r="2158">
      <x:c r="A2158"/>
      <x:c r="B2158"/>
      <x:c r="C2158"/>
      <x:c r="D2158"/>
      <x:c r="E2158"/>
      <x:c r="F2158"/>
      <x:c r="G2158"/>
    </x:row>
    <x:row r="2159">
      <x:c r="A2159"/>
      <x:c r="B2159"/>
      <x:c r="C2159"/>
      <x:c r="D2159"/>
      <x:c r="E2159"/>
      <x:c r="F2159"/>
      <x:c r="G2159"/>
    </x:row>
    <x:row r="2160">
      <x:c r="A2160"/>
      <x:c r="B2160"/>
      <x:c r="C2160"/>
      <x:c r="D2160"/>
      <x:c r="E2160"/>
      <x:c r="F2160"/>
      <x:c r="G2160"/>
    </x:row>
    <x:row r="2161">
      <x:c r="A2161"/>
      <x:c r="B2161"/>
      <x:c r="C2161"/>
      <x:c r="D2161"/>
      <x:c r="E2161"/>
      <x:c r="F2161"/>
      <x:c r="G2161"/>
    </x:row>
    <x:row r="2162">
      <x:c r="A2162"/>
      <x:c r="B2162"/>
      <x:c r="C2162"/>
      <x:c r="D2162"/>
      <x:c r="E2162"/>
      <x:c r="F2162"/>
      <x:c r="G2162"/>
    </x:row>
    <x:row r="2163">
      <x:c r="A2163"/>
      <x:c r="B2163"/>
      <x:c r="C2163"/>
      <x:c r="D2163"/>
      <x:c r="E2163"/>
      <x:c r="F2163"/>
      <x:c r="G2163"/>
    </x:row>
    <x:row r="2164">
      <x:c r="A2164"/>
      <x:c r="B2164"/>
      <x:c r="C2164"/>
      <x:c r="D2164"/>
      <x:c r="E2164"/>
      <x:c r="F2164"/>
      <x:c r="G2164"/>
    </x:row>
    <x:row r="2165">
      <x:c r="A2165"/>
      <x:c r="B2165"/>
      <x:c r="C2165"/>
      <x:c r="D2165"/>
      <x:c r="E2165"/>
      <x:c r="F2165"/>
      <x:c r="G2165"/>
    </x:row>
    <x:row r="2166">
      <x:c r="A2166"/>
      <x:c r="B2166"/>
      <x:c r="C2166"/>
      <x:c r="D2166"/>
      <x:c r="E2166"/>
      <x:c r="F2166"/>
      <x:c r="G2166"/>
    </x:row>
    <x:row r="2167">
      <x:c r="A2167"/>
      <x:c r="B2167"/>
      <x:c r="C2167"/>
      <x:c r="D2167"/>
      <x:c r="E2167"/>
      <x:c r="F2167"/>
      <x:c r="G2167"/>
    </x:row>
    <x:row r="2168">
      <x:c r="A2168"/>
      <x:c r="B2168"/>
      <x:c r="C2168"/>
      <x:c r="D2168"/>
      <x:c r="E2168"/>
      <x:c r="F2168"/>
      <x:c r="G2168"/>
    </x:row>
    <x:row r="2169">
      <x:c r="A2169"/>
      <x:c r="B2169"/>
      <x:c r="C2169"/>
      <x:c r="D2169"/>
      <x:c r="E2169"/>
      <x:c r="F2169"/>
      <x:c r="G2169"/>
    </x:row>
    <x:row r="2170">
      <x:c r="A2170"/>
      <x:c r="B2170"/>
      <x:c r="C2170"/>
      <x:c r="D2170"/>
      <x:c r="E2170"/>
      <x:c r="F2170"/>
      <x:c r="G2170"/>
    </x:row>
    <x:row r="2171">
      <x:c r="A2171"/>
      <x:c r="B2171"/>
      <x:c r="C2171"/>
      <x:c r="D2171"/>
      <x:c r="E2171"/>
      <x:c r="F2171"/>
      <x:c r="G2171"/>
    </x:row>
    <x:row r="2172">
      <x:c r="A2172"/>
      <x:c r="B2172"/>
      <x:c r="C2172"/>
      <x:c r="D2172"/>
      <x:c r="E2172"/>
      <x:c r="F2172"/>
      <x:c r="G2172"/>
    </x:row>
    <x:row r="2173">
      <x:c r="A2173"/>
      <x:c r="B2173"/>
      <x:c r="C2173"/>
      <x:c r="D2173"/>
      <x:c r="E2173"/>
      <x:c r="F2173"/>
      <x:c r="G2173"/>
    </x:row>
    <x:row r="2174">
      <x:c r="A2174"/>
      <x:c r="B2174"/>
      <x:c r="C2174"/>
      <x:c r="D2174"/>
      <x:c r="E2174"/>
      <x:c r="F2174"/>
      <x:c r="G2174"/>
    </x:row>
    <x:row r="2175">
      <x:c r="A2175"/>
      <x:c r="B2175"/>
      <x:c r="C2175"/>
      <x:c r="D2175"/>
      <x:c r="E2175"/>
      <x:c r="F2175"/>
      <x:c r="G2175"/>
    </x:row>
    <x:row r="2176">
      <x:c r="A2176"/>
      <x:c r="B2176"/>
      <x:c r="C2176"/>
      <x:c r="D2176"/>
      <x:c r="E2176"/>
      <x:c r="F2176"/>
      <x:c r="G2176"/>
    </x:row>
    <x:row r="2177">
      <x:c r="A2177"/>
      <x:c r="B2177"/>
      <x:c r="C2177"/>
      <x:c r="D2177"/>
      <x:c r="E2177"/>
      <x:c r="F2177"/>
      <x:c r="G2177"/>
    </x:row>
    <x:row r="2178">
      <x:c r="A2178"/>
      <x:c r="B2178"/>
      <x:c r="C2178"/>
      <x:c r="D2178"/>
      <x:c r="E2178"/>
      <x:c r="F2178"/>
      <x:c r="G2178"/>
    </x:row>
    <x:row r="2179">
      <x:c r="A2179"/>
      <x:c r="B2179"/>
      <x:c r="C2179"/>
      <x:c r="D2179"/>
      <x:c r="E2179"/>
      <x:c r="F2179"/>
      <x:c r="G2179"/>
    </x:row>
    <x:row r="2180">
      <x:c r="A2180"/>
      <x:c r="B2180"/>
      <x:c r="C2180"/>
      <x:c r="D2180"/>
      <x:c r="E2180"/>
      <x:c r="F2180"/>
      <x:c r="G2180"/>
    </x:row>
    <x:row r="2181">
      <x:c r="A2181"/>
      <x:c r="B2181"/>
      <x:c r="C2181"/>
      <x:c r="D2181"/>
      <x:c r="E2181"/>
      <x:c r="F2181"/>
      <x:c r="G2181"/>
    </x:row>
    <x:row r="2182">
      <x:c r="A2182"/>
      <x:c r="B2182"/>
      <x:c r="C2182"/>
      <x:c r="D2182"/>
      <x:c r="E2182"/>
      <x:c r="F2182"/>
      <x:c r="G2182"/>
    </x:row>
    <x:row r="2183">
      <x:c r="A2183"/>
      <x:c r="B2183"/>
      <x:c r="C2183"/>
      <x:c r="D2183"/>
      <x:c r="E2183"/>
      <x:c r="F2183"/>
      <x:c r="G2183"/>
    </x:row>
    <x:row r="2184">
      <x:c r="A2184"/>
      <x:c r="B2184"/>
      <x:c r="C2184"/>
      <x:c r="D2184"/>
      <x:c r="E2184"/>
      <x:c r="F2184"/>
      <x:c r="G2184"/>
    </x:row>
    <x:row r="2185">
      <x:c r="A2185"/>
      <x:c r="B2185"/>
      <x:c r="C2185"/>
      <x:c r="D2185"/>
      <x:c r="E2185"/>
      <x:c r="F2185"/>
      <x:c r="G2185"/>
    </x:row>
    <x:row r="2186">
      <x:c r="A2186"/>
      <x:c r="B2186"/>
      <x:c r="C2186"/>
      <x:c r="D2186"/>
      <x:c r="E2186"/>
      <x:c r="F2186"/>
      <x:c r="G2186"/>
    </x:row>
    <x:row r="2187">
      <x:c r="A2187"/>
      <x:c r="B2187"/>
      <x:c r="C2187"/>
      <x:c r="D2187"/>
      <x:c r="E2187"/>
      <x:c r="F2187"/>
      <x:c r="G2187"/>
    </x:row>
    <x:row r="2188">
      <x:c r="A2188"/>
      <x:c r="B2188"/>
      <x:c r="C2188"/>
      <x:c r="D2188"/>
      <x:c r="E2188"/>
      <x:c r="F2188"/>
      <x:c r="G2188"/>
    </x:row>
    <x:row r="2189">
      <x:c r="A2189"/>
      <x:c r="B2189"/>
      <x:c r="C2189"/>
      <x:c r="D2189"/>
      <x:c r="E2189"/>
      <x:c r="F2189"/>
      <x:c r="G2189"/>
    </x:row>
    <x:row r="2190">
      <x:c r="A2190"/>
      <x:c r="B2190"/>
      <x:c r="C2190"/>
      <x:c r="D2190"/>
      <x:c r="E2190"/>
      <x:c r="F2190"/>
      <x:c r="G2190"/>
    </x:row>
    <x:row r="2191">
      <x:c r="A2191"/>
      <x:c r="B2191"/>
      <x:c r="C2191"/>
      <x:c r="D2191"/>
      <x:c r="E2191"/>
      <x:c r="F2191"/>
      <x:c r="G2191"/>
    </x:row>
    <x:row r="2192">
      <x:c r="A2192"/>
      <x:c r="B2192"/>
      <x:c r="C2192"/>
      <x:c r="D2192"/>
      <x:c r="E2192"/>
      <x:c r="F2192"/>
      <x:c r="G2192"/>
    </x:row>
    <x:row r="2193">
      <x:c r="A2193"/>
      <x:c r="B2193"/>
      <x:c r="C2193"/>
      <x:c r="D2193"/>
      <x:c r="E2193"/>
      <x:c r="F2193"/>
      <x:c r="G2193"/>
    </x:row>
    <x:row r="2194">
      <x:c r="A2194"/>
      <x:c r="B2194"/>
      <x:c r="C2194"/>
      <x:c r="D2194"/>
      <x:c r="E2194"/>
      <x:c r="F2194"/>
      <x:c r="G2194"/>
    </x:row>
    <x:row r="2195">
      <x:c r="A2195"/>
      <x:c r="B2195"/>
      <x:c r="C2195"/>
      <x:c r="D2195"/>
      <x:c r="E2195"/>
      <x:c r="F2195"/>
      <x:c r="G2195"/>
    </x:row>
    <x:row r="2196">
      <x:c r="A2196"/>
      <x:c r="B2196"/>
      <x:c r="C2196"/>
      <x:c r="D2196"/>
      <x:c r="E2196"/>
      <x:c r="F2196"/>
      <x:c r="G2196"/>
    </x:row>
    <x:row r="2197">
      <x:c r="A2197"/>
      <x:c r="B2197"/>
      <x:c r="C2197"/>
      <x:c r="D2197"/>
      <x:c r="E2197"/>
      <x:c r="F2197"/>
      <x:c r="G2197"/>
    </x:row>
    <x:row r="2198">
      <x:c r="A2198"/>
      <x:c r="B2198"/>
      <x:c r="C2198"/>
      <x:c r="D2198"/>
      <x:c r="E2198"/>
      <x:c r="F2198"/>
      <x:c r="G2198"/>
    </x:row>
    <x:row r="2199">
      <x:c r="A2199"/>
      <x:c r="B2199"/>
      <x:c r="C2199"/>
      <x:c r="D2199"/>
      <x:c r="E2199"/>
      <x:c r="F2199"/>
      <x:c r="G2199"/>
    </x:row>
    <x:row r="2200">
      <x:c r="A2200"/>
      <x:c r="B2200"/>
      <x:c r="C2200"/>
      <x:c r="D2200"/>
      <x:c r="E2200"/>
      <x:c r="F2200"/>
      <x:c r="G2200"/>
    </x:row>
  </x:sheetData>
  <x:conditionalFormatting sqref="E2:E573">
    <x:cfRule type="expression" dxfId="423" priority="1">
      <x:formula>AND(ISNUMBER(E2),E2=100)</x:formula>
    </x:cfRule>
    <x:cfRule type="expression" dxfId="424" priority="2">
      <x:formula>AND(ISNUMBER(E2),E2&gt;=90,E2&lt;100)</x:formula>
    </x:cfRule>
    <x:cfRule type="expression" dxfId="425" priority="3">
      <x:formula>AND(ISNUMBER(E2),E2&gt;=80,E2&lt;90)</x:formula>
    </x:cfRule>
    <x:cfRule type="expression" dxfId="426" priority="4">
      <x:formula>AND(ISNUMBER(E2),E2&gt;=70,E2&lt;80)</x:formula>
    </x:cfRule>
    <x:cfRule type="expression" dxfId="427" priority="5">
      <x:formula>AND(ISNUMBER(E2),E2&gt;=60,E2&lt;70)</x:formula>
    </x:cfRule>
    <x:cfRule type="expression" dxfId="428" priority="6">
      <x:formula>AND(ISNUMBER(E2),E2&gt;=50,E2&lt;60)</x:formula>
    </x:cfRule>
    <x:cfRule type="expression" dxfId="429" priority="7">
      <x:formula>AND(ISNUMBER(E2),E2&gt;=40,E2&lt;50)</x:formula>
    </x:cfRule>
    <x:cfRule type="expression" dxfId="430" priority="8">
      <x:formula>AND(ISNUMBER(E2),E2&gt;=20,E2&lt;40)</x:formula>
    </x:cfRule>
    <x:cfRule type="expression" dxfId="431" priority="9">
      <x:formula>AND(ISNUMBER(E2),E2&lt;20)</x:formula>
    </x:cfRule>
  </x:conditionalFormatting>
  <x:conditionalFormatting sqref="F2:F573">
    <x:cfRule type="expression" dxfId="432" priority="10">
      <x:formula>OR(F2="КРИТИЧЕСКАЯ ОШИБКА",F2="СУЩЕСТВЕННО",F2="ПРОПУСК")</x:formula>
    </x:cfRule>
    <x:cfRule type="expression" dxfId="433" priority="11">
      <x:formula>F2="ЧАСТИЧНО"</x:formula>
    </x:cfRule>
  </x:conditionalFormatting>
  <x:conditionalFormatting sqref="E2:E584">
    <x:cfRule type="expression" dxfId="461" priority="12">
      <x:formula>AND(ISNUMBER(E2),E2=100)</x:formula>
    </x:cfRule>
    <x:cfRule type="expression" dxfId="462" priority="13">
      <x:formula>AND(ISNUMBER(E2),E2&gt;=90,E2&lt;100)</x:formula>
    </x:cfRule>
    <x:cfRule type="expression" dxfId="463" priority="14">
      <x:formula>AND(ISNUMBER(E2),E2&gt;=80,E2&lt;90)</x:formula>
    </x:cfRule>
    <x:cfRule type="expression" dxfId="464" priority="15">
      <x:formula>AND(ISNUMBER(E2),E2&gt;=70,E2&lt;80)</x:formula>
    </x:cfRule>
    <x:cfRule type="expression" dxfId="465" priority="16">
      <x:formula>AND(ISNUMBER(E2),E2&gt;=60,E2&lt;70)</x:formula>
    </x:cfRule>
    <x:cfRule type="expression" dxfId="466" priority="17">
      <x:formula>AND(ISNUMBER(E2),E2&gt;=50,E2&lt;60)</x:formula>
    </x:cfRule>
    <x:cfRule type="expression" dxfId="467" priority="18">
      <x:formula>AND(ISNUMBER(E2),E2&gt;=40,E2&lt;50)</x:formula>
    </x:cfRule>
    <x:cfRule type="expression" dxfId="468" priority="19">
      <x:formula>AND(ISNUMBER(E2),E2&gt;=20,E2&lt;40)</x:formula>
    </x:cfRule>
    <x:cfRule type="expression" dxfId="469" priority="20">
      <x:formula>AND(ISNUMBER(E2),E2&lt;20)</x:formula>
    </x:cfRule>
  </x:conditionalFormatting>
  <x:conditionalFormatting sqref="F2:F584">
    <x:cfRule type="expression" dxfId="470" priority="21">
      <x:formula>OR(F2="КРИТИЧЕСКАЯ ОШИБКА",F2="СУЩЕСТВЕННО",F2="ПРОПУСК")</x:formula>
    </x:cfRule>
    <x:cfRule type="expression" dxfId="471" priority="22">
      <x:formula>F2="ЧАСТИЧНО"</x:formula>
    </x:cfRule>
  </x:conditionalFormatting>
  <x:conditionalFormatting sqref="E2:E589">
    <x:cfRule type="expression" dxfId="517" priority="23">
      <x:formula>AND(ISNUMBER(E2),E2=100)</x:formula>
    </x:cfRule>
    <x:cfRule type="expression" dxfId="518" priority="24">
      <x:formula>AND(ISNUMBER(E2),E2&gt;=90,E2&lt;100)</x:formula>
    </x:cfRule>
    <x:cfRule type="expression" dxfId="519" priority="25">
      <x:formula>AND(ISNUMBER(E2),E2&gt;=80,E2&lt;90)</x:formula>
    </x:cfRule>
    <x:cfRule type="expression" dxfId="520" priority="26">
      <x:formula>AND(ISNUMBER(E2),E2&gt;=70,E2&lt;80)</x:formula>
    </x:cfRule>
    <x:cfRule type="expression" dxfId="521" priority="27">
      <x:formula>AND(ISNUMBER(E2),E2&gt;=60,E2&lt;70)</x:formula>
    </x:cfRule>
    <x:cfRule type="expression" dxfId="522" priority="28">
      <x:formula>AND(ISNUMBER(E2),E2&gt;=50,E2&lt;60)</x:formula>
    </x:cfRule>
    <x:cfRule type="expression" dxfId="523" priority="29">
      <x:formula>AND(ISNUMBER(E2),E2&gt;=40,E2&lt;50)</x:formula>
    </x:cfRule>
    <x:cfRule type="expression" dxfId="524" priority="30">
      <x:formula>AND(ISNUMBER(E2),E2&gt;=20,E2&lt;40)</x:formula>
    </x:cfRule>
    <x:cfRule type="expression" dxfId="525" priority="31">
      <x:formula>AND(ISNUMBER(E2),E2&lt;20)</x:formula>
    </x:cfRule>
  </x:conditionalFormatting>
  <x:conditionalFormatting sqref="E2:E643">
    <x:cfRule type="expression" dxfId="769" priority="32">
      <x:formula>AND(ISNUMBER(E2),E2=100)</x:formula>
    </x:cfRule>
    <x:cfRule type="expression" dxfId="770" priority="33">
      <x:formula>AND(ISNUMBER(E2),E2&gt;=90,E2&lt;100)</x:formula>
    </x:cfRule>
    <x:cfRule type="expression" dxfId="771" priority="34">
      <x:formula>AND(ISNUMBER(E2),E2&gt;=80,E2&lt;90)</x:formula>
    </x:cfRule>
    <x:cfRule type="expression" dxfId="772" priority="35">
      <x:formula>AND(ISNUMBER(E2),E2&gt;=70,E2&lt;80)</x:formula>
    </x:cfRule>
    <x:cfRule type="expression" dxfId="773" priority="36">
      <x:formula>AND(ISNUMBER(E2),E2&gt;=60,E2&lt;70)</x:formula>
    </x:cfRule>
    <x:cfRule type="expression" dxfId="774" priority="37">
      <x:formula>AND(ISNUMBER(E2),E2&gt;=50,E2&lt;60)</x:formula>
    </x:cfRule>
    <x:cfRule type="expression" dxfId="775" priority="38">
      <x:formula>AND(ISNUMBER(E2),E2&gt;=40,E2&lt;50)</x:formula>
    </x:cfRule>
    <x:cfRule type="expression" dxfId="776" priority="39">
      <x:formula>AND(ISNUMBER(E2),E2&gt;=20,E2&lt;40)</x:formula>
    </x:cfRule>
    <x:cfRule type="expression" dxfId="777" priority="40">
      <x:formula>AND(ISNUMBER(E2),E2&lt;20)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6" hidden="0" customWidth="1"/>
    <x:col min="3" max="3" width="15" hidden="0" customWidth="1"/>
    <x:col min="4" max="4" width="17" hidden="0" customWidth="1"/>
    <x:col min="5" max="5" width="22" hidden="0" customWidth="1"/>
    <x:col min="6" max="6" width="14" hidden="0" customWidth="1"/>
    <x:col min="7" max="7" width="58" hidden="0" customWidth="1"/>
    <x:col min="8" max="8" width="72" hidden="0" customWidth="1"/>
    <x:col min="9" max="9" width="13" hidden="0" customWidth="1"/>
  </x:cols>
  <x:sheetData>
    <x:row r="1" ht="42" customHeight="1">
      <x:c r="A1" s="13" t="str">
        <x:v>Место</x:v>
      </x:c>
      <x:c r="B1" s="14" t="str">
        <x:v>Модель</x:v>
      </x:c>
      <x:c r="C1" s="14" t="str">
        <x:v>Режим</x:v>
      </x:c>
      <x:c r="D1" s="14" t="str">
        <x:v>Полнота, %</x:v>
      </x:c>
      <x:c r="E1" s="14" t="str">
        <x:v>Качество отвеченных, 0–100</x:v>
      </x:c>
      <x:c r="F1" s="14" t="str">
        <x:v>Итог, 0–100</x:v>
      </x:c>
      <x:c r="G1" s="14" t="str">
        <x:v>Сильные стороны</x:v>
      </x:c>
      <x:c r="H1" s="14" t="str">
        <x:v>Слабые стороны</x:v>
      </x:c>
      <x:c r="I1" s="15" t="str">
        <x:v>Статус</x:v>
      </x:c>
    </x:row>
    <x:row r="2">
      <x:c r="A2" s="49" t="n">
        <x:f>RANK.EQ(F2,$F$2:$F$25,0)</x:f>
        <x:v>1</x:v>
      </x:c>
      <x:c r="B2" s="50" t="str">
        <x:v>GPT 5.6 Sol low</x:v>
      </x:c>
      <x:c r="C2" s="50"/>
      <x:c r="D2" s="389" t="n">
        <x:f>COUNT('Детальная оценка'!D2:D171)/170*100</x:f>
        <x:v>100</x:v>
      </x:c>
      <x:c r="E2" s="390" t="n">
        <x:f>IFERROR(AVERAGE('Детальная оценка'!D2:D171),"")</x:f>
        <x:v>99.6470588235294</x:v>
      </x:c>
      <x:c r="F2" s="391" t="n">
        <x:f>SUM('Детальная оценка'!D2:D171)/170</x:f>
        <x:v>99.6470588235294</x:v>
      </x:c>
      <x:c r="G2" s="50" t="str">
        <x:v>Полная выдача 170/170; практически безошибочные reasoning, C#/PHP/JS, БД, безопасность, shell, long-context и системный дизайн.</x:v>
      </x:c>
      <x:c r="H2" s="50" t="str">
        <x:v>Небольшие формальные потери: WEB-2 со статической ошибкой, DATA-1 в Markdown fence и использование средового инструмента в INST-4.</x:v>
      </x:c>
      <x:c r="I2" s="51" t="str">
        <x:v>Оценено</x:v>
      </x:c>
    </x:row>
    <x:row r="3">
      <x:c r="A3" s="52" t="n">
        <x:f>RANK.EQ(F3,$F$2:$F$25,0)</x:f>
        <x:v>2</x:v>
      </x:c>
      <x:c r="B3" s="53" t="str">
        <x:v>GPT 5.6 Sol medium</x:v>
      </x:c>
      <x:c r="C3" s="53"/>
      <x:c r="D3" s="389" t="n">
        <x:f>COUNT('Детальная оценка'!E2:E171)/170*100</x:f>
        <x:v>100</x:v>
      </x:c>
      <x:c r="E3" s="390" t="n">
        <x:f>IFERROR(AVERAGE('Детальная оценка'!E2:E171),"")</x:f>
        <x:v>99.52941176470588</x:v>
      </x:c>
      <x:c r="F3" s="391" t="n">
        <x:f>SUM('Детальная оценка'!E2:E171)/170</x:f>
        <x:v>99.52941176470588</x:v>
      </x:c>
      <x:c r="G3" s="53" t="str">
        <x:v>Полная выдача 170/170; очень сильные reasoning, техническая база, безопасность, long-context, диагностика и системный дизайн.</x:v>
      </x:c>
      <x:c r="H3" s="53" t="str">
        <x:v>Небольшие потери: WEB-2, неестественное «развёртывание было откачено» в LANG-2, DATA-1 в Markdown fence и формальное нарушение INST-4.</x:v>
      </x:c>
      <x:c r="I3" s="54" t="str">
        <x:v>Оценено</x:v>
      </x:c>
    </x:row>
    <x:row r="4">
      <x:c r="A4" s="52" t="n">
        <x:f>RANK.EQ(F4,$F$2:$F$25,0)</x:f>
        <x:v>3</x:v>
      </x:c>
      <x:c r="B4" s="53" t="str">
        <x:v>Qwen 3.8 max</x:v>
      </x:c>
      <x:c r="C4" s="53"/>
      <x:c r="D4" s="389" t="n">
        <x:f>COUNT('Детальная оценка'!F2:F171)/170*100</x:f>
        <x:v>100</x:v>
      </x:c>
      <x:c r="E4" s="390" t="n">
        <x:f>IFERROR(AVERAGE('Детальная оценка'!F2:F171),"")</x:f>
        <x:v>99.47058823529412</x:v>
      </x:c>
      <x:c r="F4" s="391" t="n">
        <x:f>SUM('Детальная оценка'!F2:F171)/170</x:f>
        <x:v>99.47058823529412</x:v>
      </x:c>
      <x:c r="G4" s="53" t="str">
        <x:v>Полная выдача 170/170; практически эталонные reasoning, знания, математика, C#/PHP/JS, БД, безопасность, диагностика и long-context.</x:v>
      </x:c>
      <x:c r="H4" s="53" t="str">
        <x:v>Небольшие потери: статическая accessibility-ошибка WEB-2, отсутствие max-4 в WEB-3, неестественный LANG-2 и минимальная неполнота SEC-1.</x:v>
      </x:c>
      <x:c r="I4" s="54" t="str">
        <x:v>Оценено</x:v>
      </x:c>
    </x:row>
    <x:row r="5">
      <x:c r="A5" s="52" t="n">
        <x:f>RANK.EQ(F5,$F$2:$F$25,0)</x:f>
        <x:v>4</x:v>
      </x:c>
      <x:c r="B5" s="53" t="str">
        <x:v>GPT 5.5 high</x:v>
      </x:c>
      <x:c r="C5" s="53"/>
      <x:c r="D5" s="389" t="n">
        <x:f>COUNT('Детальная оценка'!G2:G171)/170*100</x:f>
        <x:v>100</x:v>
      </x:c>
      <x:c r="E5" s="390" t="n">
        <x:f>IFERROR(AVERAGE('Детальная оценка'!G2:G171),"")</x:f>
        <x:v>99.3529411764706</x:v>
      </x:c>
      <x:c r="F5" s="391" t="n">
        <x:f>SUM('Детальная оценка'!G2:G171)/170</x:f>
        <x:v>99.3529411764706</x:v>
      </x:c>
      <x:c r="G5" s="53" t="str">
        <x:v>Полная выдача 170/170; очень сильные reasoning, знания, медицина, математика, C#/PHP/JS, БД, безопасность, диагностика, long-context и system design.</x:v>
      </x:c>
      <x:c r="H5" s="53" t="str">
        <x:v>Небольшие потери: Unicode fallback PHP-8, статическая ошибка WEB-2, формулировка LANG-2, race в CS-8 и два формальных instruction-following нюанса INST-2/INST-4.</x:v>
      </x:c>
      <x:c r="I5" s="54" t="str">
        <x:v>Оценено</x:v>
      </x:c>
    </x:row>
    <x:row r="6">
      <x:c r="A6" s="52" t="n">
        <x:f>RANK.EQ(F6,$F$2:$F$25,0)</x:f>
        <x:v>5</x:v>
      </x:c>
      <x:c r="B6" s="53" t="str">
        <x:v>GPT 5.6 Sol high</x:v>
      </x:c>
      <x:c r="C6" s="53"/>
      <x:c r="D6" s="389" t="n">
        <x:f>COUNT('Детальная оценка'!H2:H171)/170*100</x:f>
        <x:v>100</x:v>
      </x:c>
      <x:c r="E6" s="390" t="n">
        <x:f>IFERROR(AVERAGE('Детальная оценка'!H2:H171),"")</x:f>
        <x:v>99.11764705882354</x:v>
      </x:c>
      <x:c r="F6" s="391" t="n">
        <x:f>SUM('Детальная оценка'!H2:H171)/170</x:f>
        <x:v>99.11764705882354</x:v>
      </x:c>
      <x:c r="G6" s="53" t="str">
        <x:v>Практически эталонная полная выдача 170/170: знания, математика, C#/PHP/JS, БД, безопасность, long-context, диагностика и системный дизайн.</x:v>
      </x:c>
      <x:c r="H6" s="53" t="str">
        <x:v>Основной провал — R-6 из-за добавленного предположения о неполноте журнала; небольшие потери за accessibility WEB-2, формат DATA-1, естественность LANG-2 и формальное использование внешнего инструмента в INST-4.</x:v>
      </x:c>
      <x:c r="I6" s="54" t="str">
        <x:v>Оценено</x:v>
      </x:c>
    </x:row>
    <x:row r="7">
      <x:c r="A7" s="52" t="n">
        <x:f>RANK.EQ(F7,$F$2:$F$25,0)</x:f>
        <x:v>6</x:v>
      </x:c>
      <x:c r="B7" s="53" t="str">
        <x:v>DeepSeek chat</x:v>
      </x:c>
      <x:c r="C7" s="53"/>
      <x:c r="D7" s="389" t="n">
        <x:f>COUNT('Детальная оценка'!I2:I171)/170*100</x:f>
        <x:v>100</x:v>
      </x:c>
      <x:c r="E7" s="390" t="n">
        <x:f>IFERROR(AVERAGE('Детальная оценка'!I2:I171),"")</x:f>
        <x:v>98.79411764705883</x:v>
      </x:c>
      <x:c r="F7" s="391" t="n">
        <x:f>SUM('Детальная оценка'!I2:I171)/170</x:f>
        <x:v>98.79411764705883</x:v>
      </x:c>
      <x:c r="G7" s="53" t="str">
        <x:v>Полная выдача 170/170; сильные reasoning, знания, C#/PHP/JS, БД, безопасность, диагностика, long-context и system design.</x:v>
      </x:c>
      <x:c r="H7" s="53" t="str">
        <x:v>Потери в основном instruction-following/production edge cases: формат R-6, SSRF completeness, keyset tie-breaker, LANG-2, DATA-1 и несколько небольших диагностических/системных нюансов.</x:v>
      </x:c>
      <x:c r="I7" s="54" t="str">
        <x:v>Оценено</x:v>
      </x:c>
    </x:row>
    <x:row r="8">
      <x:c r="A8" s="52" t="n">
        <x:f>RANK.EQ(F8,$F$2:$F$25,0)</x:f>
        <x:v>7</x:v>
      </x:c>
      <x:c r="B8" s="53" t="str">
        <x:v>Qwen 3.8 27b</x:v>
      </x:c>
      <x:c r="C8" s="53" t="str">
        <x:v>thinking</x:v>
      </x:c>
      <x:c r="D8" s="389" t="n">
        <x:f>COUNT('Детальная оценка'!J2:J171)/170*100</x:f>
        <x:v>100</x:v>
      </x:c>
      <x:c r="E8" s="390" t="n">
        <x:f>IFERROR(AVERAGE('Детальная оценка'!J2:J171),"")</x:f>
        <x:v>98.70588235294117</x:v>
      </x:c>
      <x:c r="F8" s="391" t="n">
        <x:f>SUM('Детальная оценка'!J2:J171)/170</x:f>
        <x:v>98.70588235294117</x:v>
      </x:c>
      <x:c r="G8" s="53" t="str">
        <x:v>Лучшая на текущий момент полноформатная выдача: сильные reasoning, математика, C#/PHP/JS, БД, архитектура, безопасность, long-context и системная диагностика.</x:v>
      </x:c>
      <x:c r="H8" s="53" t="str">
        <x:v>Отдельные технические неточности в C#/OPS/Git; в INST-2 выбран AMB-3 вместо контрольного AMB-2.</x:v>
      </x:c>
      <x:c r="I8" s="54" t="str">
        <x:v>Оценено</x:v>
      </x:c>
    </x:row>
    <x:row r="9">
      <x:c r="A9" s="52" t="n">
        <x:f>RANK.EQ(F9,$F$2:$F$25,0)</x:f>
        <x:v>8</x:v>
      </x:c>
      <x:c r="B9" s="53" t="str">
        <x:v>Qwen 3.8 Flash Next</x:v>
      </x:c>
      <x:c r="C9" s="53" t="str">
        <x:v>thinking</x:v>
      </x:c>
      <x:c r="D9" s="389" t="n">
        <x:f>COUNT('Детальная оценка'!K2:K171)/170*100</x:f>
        <x:v>100</x:v>
      </x:c>
      <x:c r="E9" s="390" t="n">
        <x:f>IFERROR(AVERAGE('Детальная оценка'!K2:K171),"")</x:f>
        <x:v>98.6470588235294</x:v>
      </x:c>
      <x:c r="F9" s="391" t="n">
        <x:f>SUM('Детальная оценка'!K2:K171)/170</x:f>
        <x:v>98.6470588235294</x:v>
      </x:c>
      <x:c r="G9" s="53" t="str">
        <x:v>Очень сильная полная выдача 170/170: reasoning, математика, критические ловушки, C#/PHP/JS, БД, архитектура, безопасность, long-context и shell; thinking заметно улучшил Flash Next.</x:v>
      </x:c>
      <x:c r="H9" s="53" t="str">
        <x:v>Основные потери: GIT-5 восстанавливает stash на другой ветке, SYS-1 использует неверный upload endpoint, несколько средних нюансов C#/HTML/Docker/DNS и неверные 137 заданий в FINAL.</x:v>
      </x:c>
      <x:c r="I9" s="54" t="str">
        <x:v>Оценено</x:v>
      </x:c>
    </x:row>
    <x:row r="10">
      <x:c r="A10" s="52" t="n">
        <x:f>RANK.EQ(F10,$F$2:$F$25,0)</x:f>
        <x:v>8</x:v>
      </x:c>
      <x:c r="B10" s="53" t="str">
        <x:v>GPT 5.5 medium</x:v>
      </x:c>
      <x:c r="C10" s="53"/>
      <x:c r="D10" s="389" t="n">
        <x:f>COUNT('Детальная оценка'!L2:L171)/170*100</x:f>
        <x:v>100</x:v>
      </x:c>
      <x:c r="E10" s="390" t="n">
        <x:f>IFERROR(AVERAGE('Детальная оценка'!L2:L171),"")</x:f>
        <x:v>98.6470588235294</x:v>
      </x:c>
      <x:c r="F10" s="391" t="n">
        <x:f>SUM('Детальная оценка'!L2:L171)/170</x:f>
        <x:v>98.6470588235294</x:v>
      </x:c>
      <x:c r="G10" s="53" t="str">
        <x:v>Полная выдача 170/170; очень сильные знания, математика, C#/PHP/JS, БД, безопасность, long-context и system design.</x:v>
      </x:c>
      <x:c r="H10" s="53" t="str">
        <x:v>Главный провал — R-1: ошибочно объявлено отсутствие допустимого расписания. Остальные потери небольшие: WEB-2/3, LANG-2, CS-8 и INST-2/4.</x:v>
      </x:c>
      <x:c r="I10" s="54" t="str">
        <x:v>Оценено</x:v>
      </x:c>
    </x:row>
    <x:row r="11">
      <x:c r="A11" s="52" t="n">
        <x:f>RANK.EQ(F11,$F$2:$F$25,0)</x:f>
        <x:v>10</x:v>
      </x:c>
      <x:c r="B11" s="53" t="str">
        <x:v>Qwen 3.8 27b uncensored</x:v>
      </x:c>
      <x:c r="C11" s="53" t="str">
        <x:v>thinking</x:v>
      </x:c>
      <x:c r="D11" s="389" t="n">
        <x:f>COUNT('Детальная оценка'!M2:M171)/170*100</x:f>
        <x:v>100</x:v>
      </x:c>
      <x:c r="E11" s="390" t="n">
        <x:f>IFERROR(AVERAGE('Детальная оценка'!M2:M171),"")</x:f>
        <x:v>98.41176470588235</x:v>
      </x:c>
      <x:c r="F11" s="391" t="n">
        <x:f>SUM('Детальная оценка'!M2:M171)/170</x:f>
        <x:v>98.41176470588235</x:v>
      </x:c>
      <x:c r="G11" s="53" t="str">
        <x:v>Очень сильная полноформатная выдача 170/170: reasoning, математика, C#/PHP/JS, БД, архитектура, безопасность, long-context и системный дизайн; корректно прошёл почти все антигаллюцинационные ловушки.</x:v>
      </x:c>
      <x:c r="H11" s="53" t="str">
        <x:v>Крупнейшая ошибка — опасная трактовка `rm -rf $DIR/*`; также `throw ex;` ошибочно описан как создание нового exception, есть нюансы accessibility/Git/DNS и обязательный MODE внутри ответа указан как non-thinking.</x:v>
      </x:c>
      <x:c r="I11" s="54" t="str">
        <x:v>Оценено</x:v>
      </x:c>
    </x:row>
    <x:row r="12">
      <x:c r="A12" s="52" t="n">
        <x:f>RANK.EQ(F12,$F$2:$F$25,0)</x:f>
        <x:v>11</x:v>
      </x:c>
      <x:c r="B12" s="53" t="str">
        <x:v>GPT 5.5 — low</x:v>
      </x:c>
      <x:c r="C12" s="53"/>
      <x:c r="D12" s="389" t="n">
        <x:f>COUNT('Детальная оценка'!N2:N171)/170*100</x:f>
        <x:v>100</x:v>
      </x:c>
      <x:c r="E12" s="390" t="n">
        <x:f>IFERROR(AVERAGE('Детальная оценка'!N2:N171),"")</x:f>
        <x:v>96.61764705882354</x:v>
      </x:c>
      <x:c r="F12" s="391" t="n">
        <x:f>SUM('Детальная оценка'!N2:N171)/170</x:f>
        <x:v>96.61764705882354</x:v>
      </x:c>
      <x:c r="G12" s="53" t="str">
        <x:v>Полная выдача 170/170; сильные знания, математика, медицина, long-context и широкий технический охват.</x:v>
      </x:c>
      <x:c r="H12" s="53" t="str">
        <x:v>Главный провал — R-1. Также заметно теряет там, где вместо требуемого рабочего кода даны краткие рекомендации: CS-1/8, PHP-8, DB-6; есть WEB/SSRF/instruction-following нюансы.</x:v>
      </x:c>
      <x:c r="I12" s="54" t="str">
        <x:v>Оценено</x:v>
      </x:c>
    </x:row>
    <x:row r="13">
      <x:c r="A13" s="52" t="n">
        <x:f>RANK.EQ(F13,$F$2:$F$25,0)</x:f>
        <x:v>12</x:v>
      </x:c>
      <x:c r="B13" s="53" t="str">
        <x:v>Qwen 3.6 35b a3b mtp</x:v>
      </x:c>
      <x:c r="C13" s="53" t="str">
        <x:v>thinking</x:v>
      </x:c>
      <x:c r="D13" s="389" t="n">
        <x:f>COUNT('Детальная оценка'!O2:O171)/170*100</x:f>
        <x:v>100</x:v>
      </x:c>
      <x:c r="E13" s="390" t="n">
        <x:f>IFERROR(AVERAGE('Детальная оценка'!O2:O171),"")</x:f>
        <x:v>94.47058823529412</x:v>
      </x:c>
      <x:c r="F13" s="391" t="n">
        <x:f>SUM('Детальная оценка'!O2:O171)/170</x:f>
        <x:v>94.47058823529412</x:v>
      </x:c>
      <x:c r="G13" s="53" t="str">
        <x:v>Очень сильные знания, медицина, математика, антигаллюцинационные ловушки, PHP/БД/архитектура и полная выдача 170/170.</x:v>
      </x:c>
      <x:c r="H13" s="53" t="str">
        <x:v>Ошибки R-4, JS event loop/таймауте fetch, shell-краевых случаях и SYS-1; неверно указал собственный MODE и число выполненных заданий в FINAL.</x:v>
      </x:c>
      <x:c r="I13" s="54" t="str">
        <x:v>Оценено</x:v>
      </x:c>
    </x:row>
    <x:row r="14">
      <x:c r="A14" s="52" t="n">
        <x:f>RANK.EQ(F14,$F$2:$F$25,0)</x:f>
        <x:v>13</x:v>
      </x:c>
      <x:c r="B14" s="53" t="str">
        <x:v>Qwen 3.6 35b a3b mtp</x:v>
      </x:c>
      <x:c r="C14" s="53" t="str">
        <x:v>без thinking</x:v>
      </x:c>
      <x:c r="D14" s="389" t="n">
        <x:f>COUNT('Детальная оценка'!P2:P171)/170*100</x:f>
        <x:v>100</x:v>
      </x:c>
      <x:c r="E14" s="390" t="n">
        <x:f>IFERROR(AVERAGE('Детальная оценка'!P2:P171),"")</x:f>
        <x:v>94.23529411764706</x:v>
      </x:c>
      <x:c r="F14" s="391" t="n">
        <x:f>SUM('Детальная оценка'!P2:P171)/170</x:f>
        <x:v>94.23529411764706</x:v>
      </x:c>
      <x:c r="G14" s="53" t="str">
        <x:v>Очень сильные общие/научные/медицинские знания, математика, PHP, БД, Git и удержание длинного контекста; все 170 заданий отвечены.</x:v>
      </x:c>
      <x:c r="H14" s="53" t="str">
        <x:v>Слабее в JS event loop/таймауте fetch, shell-краевых случаях, части ops/SSRF и системном дизайне; reasoning местами чрезмерно мечется.</x:v>
      </x:c>
      <x:c r="I14" s="54" t="str">
        <x:v>Оценено</x:v>
      </x:c>
    </x:row>
    <x:row r="15">
      <x:c r="A15" s="52" t="n">
        <x:f>RANK.EQ(F15,$F$2:$F$25,0)</x:f>
        <x:v>14</x:v>
      </x:c>
      <x:c r="B15" s="53" t="str">
        <x:v>Qwen 3.6 35b a3b HauhauCS</x:v>
      </x:c>
      <x:c r="C15" s="53" t="str">
        <x:v>thinking</x:v>
      </x:c>
      <x:c r="D15" s="389" t="n">
        <x:f>COUNT('Детальная оценка'!Q2:Q171)/170*100</x:f>
        <x:v>99.41176470588235</x:v>
      </x:c>
      <x:c r="E15" s="390" t="n">
        <x:f>IFERROR(AVERAGE('Детальная оценка'!Q2:Q171),"")</x:f>
        <x:v>94.43786982248521</x:v>
      </x:c>
      <x:c r="F15" s="391" t="n">
        <x:f>SUM('Детальная оценка'!Q2:Q171)/170</x:f>
        <x:v>93.88235294117646</x:v>
      </x:c>
      <x:c r="G15" s="53" t="str">
        <x:v>Сильные знания, математика, логика большинства задач, PHP/БД/архитектура, память контекста и самопроверка.</x:v>
      </x:c>
      <x:c r="H15" s="53" t="str">
        <x:v>Пропущен SYS-1; ошибки R-4, systemctl --rollback, C# CS-1, JS event loop/timeout и опасный совет для rm -rf; MODE в заголовке указан как non-thinking.</x:v>
      </x:c>
      <x:c r="I15" s="54" t="str">
        <x:v>Оценено</x:v>
      </x:c>
    </x:row>
    <x:row r="16">
      <x:c r="A16" s="52" t="n">
        <x:f>RANK.EQ(F16,$F$2:$F$25,0)</x:f>
        <x:v>15</x:v>
      </x:c>
      <x:c r="B16" s="53" t="str">
        <x:v>Qwen 3.8 27b uncensored</x:v>
      </x:c>
      <x:c r="C16" s="53" t="str">
        <x:v>без thinking</x:v>
      </x:c>
      <x:c r="D16" s="389" t="n">
        <x:f>COUNT('Детальная оценка'!R2:R171)/170*100</x:f>
        <x:v>100</x:v>
      </x:c>
      <x:c r="E16" s="390" t="n">
        <x:f>IFERROR(AVERAGE('Детальная оценка'!R2:R171),"")</x:f>
        <x:v>93.67647058823529</x:v>
      </x:c>
      <x:c r="F16" s="391" t="n">
        <x:f>SUM('Детальная оценка'!R2:R171)/170</x:f>
        <x:v>93.67647058823529</x:v>
      </x:c>
      <x:c r="G16" s="53" t="str">
        <x:v>Полная выдача 170/170; сильные reasoning, математика, PHP/JS, БД, long-context и антигаллюцинационные ловушки.</x:v>
      </x:c>
      <x:c r="H16" s="53" t="str">
        <x:v>Слабые места: неработающее ограничение concurrency в CS-1, внешний payment внутри DB-транзакции в CS-4, небезопасный SEC-1/SH-3 и неполный SYS-1; MODE=UNKNOWN.</x:v>
      </x:c>
      <x:c r="I16" s="54" t="str">
        <x:v>Оценено</x:v>
      </x:c>
    </x:row>
    <x:row r="17">
      <x:c r="A17" s="55" t="n">
        <x:f>RANK.EQ(F17,$F$2:$F$25,0)</x:f>
        <x:v>16</x:v>
      </x:c>
      <x:c r="B17" s="56" t="str">
        <x:v>Qwen 3.8 27b</x:v>
      </x:c>
      <x:c r="C17" s="56" t="str">
        <x:v>без thinking</x:v>
      </x:c>
      <x:c r="D17" s="389" t="n">
        <x:f>COUNT('Детальная оценка'!S2:S171)/170*100</x:f>
        <x:v>100</x:v>
      </x:c>
      <x:c r="E17" s="390" t="n">
        <x:f>IFERROR(AVERAGE('Детальная оценка'!S2:S171),"")</x:f>
        <x:v>93.29411764705883</x:v>
      </x:c>
      <x:c r="F17" s="391" t="n">
        <x:f>SUM('Детальная оценка'!S2:S171)/170</x:f>
        <x:v>93.29411764705883</x:v>
      </x:c>
      <x:c r="G17" s="56" t="str">
        <x:v>Очень сильные знания, математика, C#/PHP/JS, БД, long-context memory, terminal/Git и системная база; все 170 заданий присутствуют.</x:v>
      </x:c>
      <x:c r="H17" s="56" t="str">
        <x:v>Главные провалы: R-6, ложный факт о Fields Medal 2024, SH-2 с newline-файлами, неполные webhook/SSRF/system design и ошибка числа заданий в FINAL.</x:v>
      </x:c>
      <x:c r="I17" s="57" t="str">
        <x:v>Оценено</x:v>
      </x:c>
    </x:row>
    <x:row r="18">
      <x:c r="A18" s="296" t="n">
        <x:f>RANK.EQ(F18,$F$2:$F$25,0)</x:f>
        <x:v>17</x:v>
      </x:c>
      <x:c r="B18" s="297" t="str">
        <x:v>Qwen 3.8 Flash Next</x:v>
      </x:c>
      <x:c r="C18" s="297" t="str">
        <x:v>без thinking</x:v>
      </x:c>
      <x:c r="D18" s="389" t="n">
        <x:f>COUNT('Детальная оценка'!T2:T171)/170*100</x:f>
        <x:v>100</x:v>
      </x:c>
      <x:c r="E18" s="390" t="n">
        <x:f>IFERROR(AVERAGE('Детальная оценка'!T2:T171),"")</x:f>
        <x:v>92.94117647058823</x:v>
      </x:c>
      <x:c r="F18" s="391" t="n">
        <x:f>SUM('Детальная оценка'!T2:T171)/170</x:f>
        <x:v>92.94117647058823</x:v>
      </x:c>
      <x:c r="G18" s="297" t="str">
        <x:v>Полная выдача 170/170; сильные базовые знания, математика, PHP, БД, архитектура, критическое мышление и память длинного контекста.</x:v>
      </x:c>
      <x:c r="H18" s="297" t="str">
        <x:v>Ошибки JS timeout, SVG checkmark, keyset pagination, shell safety/Git workflow и системный дизайн; внутри файла ошибочно указан MODE=thinking.</x:v>
      </x:c>
      <x:c r="I18" s="298" t="str">
        <x:v>Оценено</x:v>
      </x:c>
    </x:row>
    <x:row r="19">
      <x:c r="A19" t="n">
        <x:f>RANK.EQ(F19,$F$2:$F$25,0)</x:f>
        <x:v>18</x:v>
      </x:c>
      <x:c r="B19" t="str">
        <x:v>Qwen 3.6 35b a3b HauhauCS</x:v>
      </x:c>
      <x:c r="C19" t="str">
        <x:v>без thinking</x:v>
      </x:c>
      <x:c r="D19" s="400" t="n">
        <x:f>COUNT('Детальная оценка'!U2:U171)/170*100</x:f>
        <x:v>100</x:v>
      </x:c>
      <x:c r="E19" s="373" t="n">
        <x:f>IFERROR(AVERAGE('Детальная оценка'!U2:U171),"")</x:f>
        <x:v>91.52941176470588</x:v>
      </x:c>
      <x:c r="F19" s="374" t="n">
        <x:f>SUM('Детальная оценка'!U2:U171)/170</x:f>
        <x:v>91.52941176470588</x:v>
      </x:c>
      <x:c r="G19" t="str">
        <x:v>Полная выдача 170/170; сильные знания, математика, PHP, БД, эксплуатация, языки и память длинного контекста.</x:v>
      </x:c>
      <x:c r="H19" t="str">
        <x:v>Слабые места: R-6, systemctl --rollback, сильная галлюцинация в CRIT-5, JS event loop/timeout, опасная трактовка rm -rf и неполный системный дизайн.</x:v>
      </x:c>
      <x:c r="I19" t="str">
        <x:v>Оценено</x:v>
      </x:c>
    </x:row>
    <x:row r="20">
      <x:c r="A20" t="n">
        <x:f>RANK.EQ(F20,$F$2:$F$25,0)</x:f>
        <x:v>19</x:v>
      </x:c>
      <x:c r="B20" t="str">
        <x:v>gemma4-12b-qat-uncensored-hauhaucs-balanced</x:v>
      </x:c>
      <x:c r="C20" t="str">
        <x:v>без thinking</x:v>
      </x:c>
      <x:c r="D20" s="400" t="n">
        <x:f>COUNT('Детальная оценка'!V2:V171)/170*100</x:f>
        <x:v>100</x:v>
      </x:c>
      <x:c r="E20" s="373" t="n">
        <x:f>IFERROR(AVERAGE('Детальная оценка'!V2:V171),"")</x:f>
        <x:v>85.52941176470588</x:v>
      </x:c>
      <x:c r="F20" s="374" t="n">
        <x:f>SUM('Детальная оценка'!V2:V171)/170</x:f>
        <x:v>85.52941176470588</x:v>
      </x:c>
      <x:c r="G20" t="str">
        <x:v>Сильные БД, архитектура, системная диагностика и память контекста; без thinking лучше математика и часть PHP/ops.</x:v>
      </x:c>
      <x:c r="H20" t="str">
        <x:v>Грубые ошибки R-1, CS throw, event loop/AbortSignal; галлюцинации systemctl rollback и parallelMap; испорченный армянский.</x:v>
      </x:c>
      <x:c r="I20" t="str">
        <x:v>Оценено</x:v>
      </x:c>
    </x:row>
    <x:row r="21">
      <x:c r="A21" t="n">
        <x:f>RANK.EQ(F21,$F$2:$F$25,0)</x:f>
        <x:v>20</x:v>
      </x:c>
      <x:c r="B21" t="str">
        <x:v>gemma4-12b-qat-uncensored-hauhaucs-balanced</x:v>
      </x:c>
      <x:c r="C21" t="str">
        <x:v>thinking</x:v>
      </x:c>
      <x:c r="D21" s="400" t="n">
        <x:f>COUNT('Детальная оценка'!W2:W171)/170*100</x:f>
        <x:v>100</x:v>
      </x:c>
      <x:c r="E21" s="373" t="n">
        <x:f>IFERROR(AVERAGE('Детальная оценка'!W2:W171),"")</x:f>
        <x:v>84.47058823529412</x:v>
      </x:c>
      <x:c r="F21" s="374" t="n">
        <x:f>SUM('Детальная оценка'!W2:W171)/170</x:f>
        <x:v>84.47058823529412</x:v>
      </x:c>
      <x:c r="G21" t="str">
        <x:v>Сильные reasoning/антигаллюцинационные задания и почти полная техническая база; хорошо удерживает ранний контекст.</x:v>
      </x:c>
      <x:c r="H21" t="str">
        <x:v>Ошибки MATH-3, JS event loop/AbortSignal, PHP PDO/normalizeTags; слабые OPS df/du, DNS и системный дизайн; испорченный армянский.</x:v>
      </x:c>
      <x:c r="I21" t="str">
        <x:v>Оценено</x:v>
      </x:c>
    </x:row>
    <x:row r="22">
      <x:c r="A22" t="n">
        <x:f>RANK.EQ(F22,$F$2:$F$25,0)</x:f>
        <x:v>21</x:v>
      </x:c>
      <x:c r="B22" t="str">
        <x:v>gemma-4-e4b-hauhaucs-aggressive</x:v>
      </x:c>
      <x:c r="C22" t="str">
        <x:v>thinking</x:v>
      </x:c>
      <x:c r="D22" s="400" t="n">
        <x:f>COUNT('Детальная оценка'!X2:X171)/170*100</x:f>
        <x:v>100</x:v>
      </x:c>
      <x:c r="E22" s="373" t="n">
        <x:f>IFERROR(AVERAGE('Детальная оценка'!X2:X171),"")</x:f>
        <x:v>81.05882352941177</x:v>
      </x:c>
      <x:c r="F22" s="374" t="n">
        <x:f>SUM('Детальная оценка'!X2:X171)/170</x:f>
        <x:v>81.05882352941177</x:v>
      </x:c>
      <x:c r="G22" t="str">
        <x:v>Полнота 100%; сильные БД, архитектура, производительность, Git, память контекста и системная диагностика.</x:v>
      </x:c>
      <x:c r="H22" t="str">
        <x:v>Крупные галлюцинации в CRIT, ошибки shell/JS; SCI-2; неверный endpoint в SYS-1.</x:v>
      </x:c>
      <x:c r="I22" t="str">
        <x:v>Оценено</x:v>
      </x:c>
    </x:row>
    <x:row r="23">
      <x:c r="A23" t="n">
        <x:f>RANK.EQ(F23,$F$2:$F$25,0)</x:f>
        <x:v>22</x:v>
      </x:c>
      <x:c r="B23" t="str">
        <x:v>gemma-4-e4b-hauhaucs-aggressive</x:v>
      </x:c>
      <x:c r="C23" t="str">
        <x:v>без thinking</x:v>
      </x:c>
      <x:c r="D23" s="400" t="n">
        <x:f>COUNT('Детальная оценка'!Y2:Y171)/170*100</x:f>
        <x:v>99.41176470588235</x:v>
      </x:c>
      <x:c r="E23" s="373" t="n">
        <x:f>IFERROR(AVERAGE('Детальная оценка'!Y2:Y171),"")</x:f>
        <x:v>79.88165680473372</x:v>
      </x:c>
      <x:c r="F23" s="374" t="n">
        <x:f>SUM('Детальная оценка'!Y2:Y171)/170</x:f>
        <x:v>79.41176470588235</x:v>
      </x:c>
      <x:c r="G23" t="str">
        <x:v>Очень сильные БД/архитектура/производительность; хорошая медицина и эксплуатация; почти полная выдача.</x:v>
      </x:c>
      <x:c r="H23" t="str">
        <x:v>Ошибки логики R-1/R-4/R-5, антигаллюцинационные провалы, shell/JS; пропущен SYS-1; MODE указан неверно.</x:v>
      </x:c>
      <x:c r="I23" t="str">
        <x:v>Оценено</x:v>
      </x:c>
    </x:row>
    <x:row r="24">
      <x:c r="A24" t="n">
        <x:f>RANK.EQ(F24,$F$2:$F$25,0)</x:f>
        <x:v>23</x:v>
      </x:c>
      <x:c r="B24" t="str">
        <x:v>gemma-4-e2b-hauhaucs-aggressive</x:v>
      </x:c>
      <x:c r="C24" t="str">
        <x:v>thinking</x:v>
      </x:c>
      <x:c r="D24" s="400" t="n">
        <x:f>COUNT('Детальная оценка'!Z2:Z171)/170*100</x:f>
        <x:v>99.41176470588235</x:v>
      </x:c>
      <x:c r="E24" s="373" t="n">
        <x:f>IFERROR(AVERAGE('Детальная оценка'!Z2:Z171),"")</x:f>
        <x:v>68.28402366863905</x:v>
      </x:c>
      <x:c r="F24" s="374" t="n">
        <x:f>SUM('Детальная оценка'!Z2:Z171)/170</x:f>
        <x:v>67.88235294117646</x:v>
      </x:c>
      <x:c r="G24" t="str">
        <x:v>Почти полная выдача; сильные БД, Git, базовая архитектура и часть системных задач.</x:v>
      </x:c>
      <x:c r="H24" t="str">
        <x:v>Слабые R-1/R-4/R-7/R-8, MATH-4, MED-5/7, CS-6/8, PHP immutable/UTF-8, критическая галлюцинация Nobel.</x:v>
      </x:c>
      <x:c r="I24" t="str">
        <x:v>Оценено</x:v>
      </x:c>
    </x:row>
    <x:row r="25">
      <x:c r="A25" t="n">
        <x:f>RANK.EQ(F25,$F$2:$F$25,0)</x:f>
        <x:v>24</x:v>
      </x:c>
      <x:c r="B25" t="str">
        <x:v>gemma-4-e2b-hauhaucs-aggressive</x:v>
      </x:c>
      <x:c r="C25" t="str">
        <x:v>без thinking</x:v>
      </x:c>
      <x:c r="D25" s="401" t="n">
        <x:f>COUNT('Детальная оценка'!AA2:AA171)/170*100</x:f>
        <x:v>88.8235294117647</x:v>
      </x:c>
      <x:c r="E25" s="375" t="n">
        <x:f>IFERROR(AVERAGE('Детальная оценка'!AA2:AA171),"")</x:f>
        <x:v>68.74172185430463</x:v>
      </x:c>
      <x:c r="F25" s="376" t="n">
        <x:f>SUM('Детальная оценка'!AA2:AA171)/170</x:f>
        <x:v>61.05882352941177</x:v>
      </x:c>
      <x:c r="G25" t="str">
        <x:v>Хорошие базовые знания, математика, Git и часть критических ловушек; ответы короче и местами точнее thinking-версии.</x:v>
      </x:c>
      <x:c r="H25" t="str">
        <x:v>19 пропусков; ошибки R-1/R-4, MED-5/7, JS-4/5, DB-5, shell/PowerShell; MODE указан неверно.</x:v>
      </x:c>
      <x:c r="I25" t="str">
        <x:v>Оценено</x:v>
      </x:c>
    </x:row>
    <x:row r="26">
      <x:c r="B26"/>
      <x:c r="C26"/>
      <x:c r="D26"/>
      <x:c r="E26"/>
      <x:c r="F26"/>
      <x:c r="G26"/>
      <x:c r="H26"/>
      <x:c r="I26"/>
    </x:row>
    <x:row r="27">
      <x:c r="B27"/>
      <x:c r="C27"/>
      <x:c r="D27"/>
      <x:c r="E27"/>
      <x:c r="F27"/>
      <x:c r="G27"/>
      <x:c r="H27"/>
      <x:c r="I27"/>
    </x:row>
    <x:row r="28">
      <x:c r="B28"/>
      <x:c r="C28"/>
      <x:c r="D28"/>
      <x:c r="E28"/>
      <x:c r="F28"/>
      <x:c r="G28"/>
      <x:c r="H28"/>
      <x:c r="I28"/>
    </x:row>
    <x:row r="29">
      <x:c r="B29"/>
      <x:c r="C29"/>
      <x:c r="D29"/>
      <x:c r="E29"/>
      <x:c r="F29"/>
      <x:c r="G29"/>
      <x:c r="H29"/>
      <x:c r="I29"/>
    </x:row>
    <x:row r="30">
      <x:c r="B30"/>
      <x:c r="C30"/>
      <x:c r="D30"/>
      <x:c r="E30"/>
      <x:c r="F30"/>
      <x:c r="G30"/>
      <x:c r="H30"/>
      <x:c r="I30"/>
    </x:row>
    <x:row r="31">
      <x:c r="B31"/>
      <x:c r="C31"/>
      <x:c r="D31"/>
      <x:c r="E31"/>
      <x:c r="F31"/>
      <x:c r="G31"/>
      <x:c r="H31"/>
      <x:c r="I31"/>
    </x:row>
    <x:row r="32">
      <x:c r="B32"/>
      <x:c r="C32"/>
      <x:c r="D32"/>
      <x:c r="E32"/>
      <x:c r="F32"/>
      <x:c r="G32"/>
      <x:c r="H32"/>
      <x:c r="I32"/>
    </x:row>
    <x:row r="33">
      <x:c r="B33"/>
      <x:c r="C33"/>
      <x:c r="D33"/>
      <x:c r="E33"/>
      <x:c r="F33"/>
      <x:c r="G33"/>
      <x:c r="H33"/>
      <x:c r="I33"/>
    </x:row>
    <x:row r="34">
      <x:c r="B34"/>
      <x:c r="C34"/>
      <x:c r="D34"/>
      <x:c r="E34"/>
      <x:c r="F34"/>
      <x:c r="G34"/>
      <x:c r="H34"/>
      <x:c r="I34"/>
    </x:row>
    <x:row r="35">
      <x:c r="B35"/>
      <x:c r="C35"/>
      <x:c r="D35"/>
      <x:c r="E35"/>
      <x:c r="F35"/>
      <x:c r="G35"/>
      <x:c r="H35"/>
      <x:c r="I35"/>
    </x:row>
    <x:row r="36">
      <x:c r="B36"/>
      <x:c r="C36"/>
      <x:c r="D36"/>
      <x:c r="E36"/>
      <x:c r="F36"/>
      <x:c r="G36"/>
      <x:c r="H36"/>
      <x:c r="I36"/>
    </x:row>
    <x:row r="37">
      <x:c r="B37"/>
      <x:c r="C37"/>
      <x:c r="D37"/>
      <x:c r="E37"/>
      <x:c r="F37"/>
      <x:c r="G37"/>
      <x:c r="H37"/>
      <x:c r="I37"/>
    </x:row>
    <x:row r="38">
      <x:c r="B38"/>
      <x:c r="C38"/>
      <x:c r="D38"/>
      <x:c r="E38"/>
      <x:c r="F38"/>
      <x:c r="G38"/>
      <x:c r="H38"/>
      <x:c r="I38"/>
    </x:row>
    <x:row r="39">
      <x:c r="B39"/>
      <x:c r="C39"/>
      <x:c r="D39"/>
      <x:c r="E39"/>
      <x:c r="F39"/>
      <x:c r="G39"/>
      <x:c r="H39"/>
      <x:c r="I39"/>
    </x:row>
    <x:row r="40">
      <x:c r="B40"/>
      <x:c r="C40"/>
      <x:c r="D40"/>
      <x:c r="E40"/>
      <x:c r="F40"/>
      <x:c r="G40"/>
      <x:c r="H40"/>
      <x:c r="I40"/>
    </x:row>
    <x:row r="41">
      <x:c r="B41"/>
      <x:c r="C41"/>
      <x:c r="D41"/>
      <x:c r="E41"/>
      <x:c r="F41"/>
      <x:c r="G41"/>
      <x:c r="H41"/>
      <x:c r="I41"/>
    </x:row>
    <x:row r="42">
      <x:c r="B42"/>
      <x:c r="C42"/>
      <x:c r="D42"/>
      <x:c r="E42"/>
      <x:c r="F42"/>
      <x:c r="G42"/>
      <x:c r="H42"/>
      <x:c r="I42"/>
    </x:row>
    <x:row r="43">
      <x:c r="B43"/>
      <x:c r="C43"/>
      <x:c r="D43"/>
      <x:c r="E43"/>
      <x:c r="F43"/>
      <x:c r="G43"/>
      <x:c r="H43"/>
      <x:c r="I43"/>
    </x:row>
    <x:row r="44">
      <x:c r="B44"/>
      <x:c r="C44"/>
      <x:c r="D44"/>
      <x:c r="E44"/>
      <x:c r="F44"/>
      <x:c r="G44"/>
      <x:c r="H44"/>
      <x:c r="I44"/>
    </x:row>
    <x:row r="45">
      <x:c r="B45"/>
      <x:c r="C45"/>
      <x:c r="D45"/>
      <x:c r="E45"/>
      <x:c r="F45"/>
      <x:c r="G45"/>
      <x:c r="H45"/>
      <x:c r="I45"/>
    </x:row>
  </x:sheetData>
  <x:conditionalFormatting sqref="D2:F2">
    <x:cfRule type="expression" dxfId="288" priority="1">
      <x:formula>AND(ISNUMBER(D2),D2=100)</x:formula>
    </x:cfRule>
    <x:cfRule type="expression" dxfId="289" priority="2">
      <x:formula>AND(ISNUMBER(D2),D2&gt;=90,D2&lt;100)</x:formula>
    </x:cfRule>
    <x:cfRule type="expression" dxfId="290" priority="3">
      <x:formula>AND(ISNUMBER(D2),D2&gt;=80,D2&lt;90)</x:formula>
    </x:cfRule>
    <x:cfRule type="expression" dxfId="291" priority="4">
      <x:formula>AND(ISNUMBER(D2),D2&gt;=70,D2&lt;80)</x:formula>
    </x:cfRule>
    <x:cfRule type="expression" dxfId="292" priority="5">
      <x:formula>AND(ISNUMBER(D2),D2&gt;=60,D2&lt;70)</x:formula>
    </x:cfRule>
    <x:cfRule type="expression" dxfId="293" priority="6">
      <x:formula>AND(ISNUMBER(D2),D2&gt;=50,D2&lt;60)</x:formula>
    </x:cfRule>
    <x:cfRule type="expression" dxfId="294" priority="7">
      <x:formula>AND(ISNUMBER(D2),D2&gt;=40,D2&lt;50)</x:formula>
    </x:cfRule>
    <x:cfRule type="expression" dxfId="295" priority="8">
      <x:formula>AND(ISNUMBER(D2),D2&gt;=20,D2&lt;40)</x:formula>
    </x:cfRule>
    <x:cfRule type="expression" dxfId="296" priority="9">
      <x:formula>AND(ISNUMBER(D2),D2&lt;20)</x:formula>
    </x:cfRule>
  </x:conditionalFormatting>
  <x:conditionalFormatting sqref="D4:F4">
    <x:cfRule type="expression" dxfId="297" priority="10">
      <x:formula>AND(ISNUMBER(D4),D4=100)</x:formula>
    </x:cfRule>
    <x:cfRule type="expression" dxfId="298" priority="11">
      <x:formula>AND(ISNUMBER(D4),D4&gt;=90,D4&lt;100)</x:formula>
    </x:cfRule>
    <x:cfRule type="expression" dxfId="299" priority="12">
      <x:formula>AND(ISNUMBER(D4),D4&gt;=80,D4&lt;90)</x:formula>
    </x:cfRule>
    <x:cfRule type="expression" dxfId="300" priority="13">
      <x:formula>AND(ISNUMBER(D4),D4&gt;=70,D4&lt;80)</x:formula>
    </x:cfRule>
    <x:cfRule type="expression" dxfId="301" priority="14">
      <x:formula>AND(ISNUMBER(D4),D4&gt;=60,D4&lt;70)</x:formula>
    </x:cfRule>
    <x:cfRule type="expression" dxfId="302" priority="15">
      <x:formula>AND(ISNUMBER(D4),D4&gt;=50,D4&lt;60)</x:formula>
    </x:cfRule>
    <x:cfRule type="expression" dxfId="303" priority="16">
      <x:formula>AND(ISNUMBER(D4),D4&gt;=40,D4&lt;50)</x:formula>
    </x:cfRule>
    <x:cfRule type="expression" dxfId="304" priority="17">
      <x:formula>AND(ISNUMBER(D4),D4&gt;=20,D4&lt;40)</x:formula>
    </x:cfRule>
    <x:cfRule type="expression" dxfId="305" priority="18">
      <x:formula>AND(ISNUMBER(D4),D4&lt;20)</x:formula>
    </x:cfRule>
  </x:conditionalFormatting>
  <x:conditionalFormatting sqref="D5:F5">
    <x:cfRule type="expression" dxfId="306" priority="19">
      <x:formula>AND(ISNUMBER(D5),D5=100)</x:formula>
    </x:cfRule>
    <x:cfRule type="expression" dxfId="307" priority="20">
      <x:formula>AND(ISNUMBER(D5),D5&gt;=90,D5&lt;100)</x:formula>
    </x:cfRule>
    <x:cfRule type="expression" dxfId="308" priority="21">
      <x:formula>AND(ISNUMBER(D5),D5&gt;=80,D5&lt;90)</x:formula>
    </x:cfRule>
    <x:cfRule type="expression" dxfId="309" priority="22">
      <x:formula>AND(ISNUMBER(D5),D5&gt;=70,D5&lt;80)</x:formula>
    </x:cfRule>
    <x:cfRule type="expression" dxfId="310" priority="23">
      <x:formula>AND(ISNUMBER(D5),D5&gt;=60,D5&lt;70)</x:formula>
    </x:cfRule>
    <x:cfRule type="expression" dxfId="311" priority="24">
      <x:formula>AND(ISNUMBER(D5),D5&gt;=50,D5&lt;60)</x:formula>
    </x:cfRule>
    <x:cfRule type="expression" dxfId="312" priority="25">
      <x:formula>AND(ISNUMBER(D5),D5&gt;=40,D5&lt;50)</x:formula>
    </x:cfRule>
    <x:cfRule type="expression" dxfId="313" priority="26">
      <x:formula>AND(ISNUMBER(D5),D5&gt;=20,D5&lt;40)</x:formula>
    </x:cfRule>
    <x:cfRule type="expression" dxfId="314" priority="27">
      <x:formula>AND(ISNUMBER(D5),D5&lt;20)</x:formula>
    </x:cfRule>
  </x:conditionalFormatting>
  <x:conditionalFormatting sqref="D6:F6">
    <x:cfRule type="expression" dxfId="315" priority="28">
      <x:formula>AND(ISNUMBER(D6),D6=100)</x:formula>
    </x:cfRule>
    <x:cfRule type="expression" dxfId="316" priority="29">
      <x:formula>AND(ISNUMBER(D6),D6&gt;=90,D6&lt;100)</x:formula>
    </x:cfRule>
    <x:cfRule type="expression" dxfId="317" priority="30">
      <x:formula>AND(ISNUMBER(D6),D6&gt;=80,D6&lt;90)</x:formula>
    </x:cfRule>
    <x:cfRule type="expression" dxfId="318" priority="31">
      <x:formula>AND(ISNUMBER(D6),D6&gt;=70,D6&lt;80)</x:formula>
    </x:cfRule>
    <x:cfRule type="expression" dxfId="319" priority="32">
      <x:formula>AND(ISNUMBER(D6),D6&gt;=60,D6&lt;70)</x:formula>
    </x:cfRule>
    <x:cfRule type="expression" dxfId="320" priority="33">
      <x:formula>AND(ISNUMBER(D6),D6&gt;=50,D6&lt;60)</x:formula>
    </x:cfRule>
    <x:cfRule type="expression" dxfId="321" priority="34">
      <x:formula>AND(ISNUMBER(D6),D6&gt;=40,D6&lt;50)</x:formula>
    </x:cfRule>
    <x:cfRule type="expression" dxfId="322" priority="35">
      <x:formula>AND(ISNUMBER(D6),D6&gt;=20,D6&lt;40)</x:formula>
    </x:cfRule>
    <x:cfRule type="expression" dxfId="323" priority="36">
      <x:formula>AND(ISNUMBER(D6),D6&lt;20)</x:formula>
    </x:cfRule>
  </x:conditionalFormatting>
  <x:conditionalFormatting sqref="D7:F7">
    <x:cfRule type="expression" dxfId="324" priority="37">
      <x:formula>AND(ISNUMBER(D7),D7=100)</x:formula>
    </x:cfRule>
    <x:cfRule type="expression" dxfId="325" priority="38">
      <x:formula>AND(ISNUMBER(D7),D7&gt;=90,D7&lt;100)</x:formula>
    </x:cfRule>
    <x:cfRule type="expression" dxfId="326" priority="39">
      <x:formula>AND(ISNUMBER(D7),D7&gt;=80,D7&lt;90)</x:formula>
    </x:cfRule>
    <x:cfRule type="expression" dxfId="327" priority="40">
      <x:formula>AND(ISNUMBER(D7),D7&gt;=70,D7&lt;80)</x:formula>
    </x:cfRule>
    <x:cfRule type="expression" dxfId="328" priority="41">
      <x:formula>AND(ISNUMBER(D7),D7&gt;=60,D7&lt;70)</x:formula>
    </x:cfRule>
    <x:cfRule type="expression" dxfId="329" priority="42">
      <x:formula>AND(ISNUMBER(D7),D7&gt;=50,D7&lt;60)</x:formula>
    </x:cfRule>
    <x:cfRule type="expression" dxfId="330" priority="43">
      <x:formula>AND(ISNUMBER(D7),D7&gt;=40,D7&lt;50)</x:formula>
    </x:cfRule>
    <x:cfRule type="expression" dxfId="331" priority="44">
      <x:formula>AND(ISNUMBER(D7),D7&gt;=20,D7&lt;40)</x:formula>
    </x:cfRule>
    <x:cfRule type="expression" dxfId="332" priority="45">
      <x:formula>AND(ISNUMBER(D7),D7&lt;20)</x:formula>
    </x:cfRule>
  </x:conditionalFormatting>
  <x:conditionalFormatting sqref="D8:F8">
    <x:cfRule type="expression" dxfId="333" priority="46">
      <x:formula>AND(ISNUMBER(D8),D8=100)</x:formula>
    </x:cfRule>
    <x:cfRule type="expression" dxfId="334" priority="47">
      <x:formula>AND(ISNUMBER(D8),D8&gt;=90,D8&lt;100)</x:formula>
    </x:cfRule>
    <x:cfRule type="expression" dxfId="335" priority="48">
      <x:formula>AND(ISNUMBER(D8),D8&gt;=80,D8&lt;90)</x:formula>
    </x:cfRule>
    <x:cfRule type="expression" dxfId="336" priority="49">
      <x:formula>AND(ISNUMBER(D8),D8&gt;=70,D8&lt;80)</x:formula>
    </x:cfRule>
    <x:cfRule type="expression" dxfId="337" priority="50">
      <x:formula>AND(ISNUMBER(D8),D8&gt;=60,D8&lt;70)</x:formula>
    </x:cfRule>
    <x:cfRule type="expression" dxfId="338" priority="51">
      <x:formula>AND(ISNUMBER(D8),D8&gt;=50,D8&lt;60)</x:formula>
    </x:cfRule>
    <x:cfRule type="expression" dxfId="339" priority="52">
      <x:formula>AND(ISNUMBER(D8),D8&gt;=40,D8&lt;50)</x:formula>
    </x:cfRule>
    <x:cfRule type="expression" dxfId="340" priority="53">
      <x:formula>AND(ISNUMBER(D8),D8&gt;=20,D8&lt;40)</x:formula>
    </x:cfRule>
    <x:cfRule type="expression" dxfId="341" priority="54">
      <x:formula>AND(ISNUMBER(D8),D8&lt;20)</x:formula>
    </x:cfRule>
  </x:conditionalFormatting>
  <x:conditionalFormatting sqref="D9:F9">
    <x:cfRule type="expression" dxfId="342" priority="55">
      <x:formula>AND(ISNUMBER(D9),D9=100)</x:formula>
    </x:cfRule>
    <x:cfRule type="expression" dxfId="343" priority="56">
      <x:formula>AND(ISNUMBER(D9),D9&gt;=90,D9&lt;100)</x:formula>
    </x:cfRule>
    <x:cfRule type="expression" dxfId="344" priority="57">
      <x:formula>AND(ISNUMBER(D9),D9&gt;=80,D9&lt;90)</x:formula>
    </x:cfRule>
    <x:cfRule type="expression" dxfId="345" priority="58">
      <x:formula>AND(ISNUMBER(D9),D9&gt;=70,D9&lt;80)</x:formula>
    </x:cfRule>
    <x:cfRule type="expression" dxfId="346" priority="59">
      <x:formula>AND(ISNUMBER(D9),D9&gt;=60,D9&lt;70)</x:formula>
    </x:cfRule>
    <x:cfRule type="expression" dxfId="347" priority="60">
      <x:formula>AND(ISNUMBER(D9),D9&gt;=50,D9&lt;60)</x:formula>
    </x:cfRule>
    <x:cfRule type="expression" dxfId="348" priority="61">
      <x:formula>AND(ISNUMBER(D9),D9&gt;=40,D9&lt;50)</x:formula>
    </x:cfRule>
    <x:cfRule type="expression" dxfId="349" priority="62">
      <x:formula>AND(ISNUMBER(D9),D9&gt;=20,D9&lt;40)</x:formula>
    </x:cfRule>
    <x:cfRule type="expression" dxfId="350" priority="63">
      <x:formula>AND(ISNUMBER(D9),D9&lt;20)</x:formula>
    </x:cfRule>
  </x:conditionalFormatting>
  <x:conditionalFormatting sqref="D10:F10">
    <x:cfRule type="expression" dxfId="351" priority="64">
      <x:formula>AND(ISNUMBER(D10),D10=100)</x:formula>
    </x:cfRule>
    <x:cfRule type="expression" dxfId="352" priority="65">
      <x:formula>AND(ISNUMBER(D10),D10&gt;=90,D10&lt;100)</x:formula>
    </x:cfRule>
    <x:cfRule type="expression" dxfId="353" priority="66">
      <x:formula>AND(ISNUMBER(D10),D10&gt;=80,D10&lt;90)</x:formula>
    </x:cfRule>
    <x:cfRule type="expression" dxfId="354" priority="67">
      <x:formula>AND(ISNUMBER(D10),D10&gt;=70,D10&lt;80)</x:formula>
    </x:cfRule>
    <x:cfRule type="expression" dxfId="355" priority="68">
      <x:formula>AND(ISNUMBER(D10),D10&gt;=60,D10&lt;70)</x:formula>
    </x:cfRule>
    <x:cfRule type="expression" dxfId="356" priority="69">
      <x:formula>AND(ISNUMBER(D10),D10&gt;=50,D10&lt;60)</x:formula>
    </x:cfRule>
    <x:cfRule type="expression" dxfId="357" priority="70">
      <x:formula>AND(ISNUMBER(D10),D10&gt;=40,D10&lt;50)</x:formula>
    </x:cfRule>
    <x:cfRule type="expression" dxfId="358" priority="71">
      <x:formula>AND(ISNUMBER(D10),D10&gt;=20,D10&lt;40)</x:formula>
    </x:cfRule>
    <x:cfRule type="expression" dxfId="359" priority="72">
      <x:formula>AND(ISNUMBER(D10),D10&lt;20)</x:formula>
    </x:cfRule>
  </x:conditionalFormatting>
  <x:conditionalFormatting sqref="D11:F11">
    <x:cfRule type="expression" dxfId="360" priority="73">
      <x:formula>AND(ISNUMBER(D11),D11=100)</x:formula>
    </x:cfRule>
    <x:cfRule type="expression" dxfId="361" priority="74">
      <x:formula>AND(ISNUMBER(D11),D11&gt;=90,D11&lt;100)</x:formula>
    </x:cfRule>
    <x:cfRule type="expression" dxfId="362" priority="75">
      <x:formula>AND(ISNUMBER(D11),D11&gt;=80,D11&lt;90)</x:formula>
    </x:cfRule>
    <x:cfRule type="expression" dxfId="363" priority="76">
      <x:formula>AND(ISNUMBER(D11),D11&gt;=70,D11&lt;80)</x:formula>
    </x:cfRule>
    <x:cfRule type="expression" dxfId="364" priority="77">
      <x:formula>AND(ISNUMBER(D11),D11&gt;=60,D11&lt;70)</x:formula>
    </x:cfRule>
    <x:cfRule type="expression" dxfId="365" priority="78">
      <x:formula>AND(ISNUMBER(D11),D11&gt;=50,D11&lt;60)</x:formula>
    </x:cfRule>
    <x:cfRule type="expression" dxfId="366" priority="79">
      <x:formula>AND(ISNUMBER(D11),D11&gt;=40,D11&lt;50)</x:formula>
    </x:cfRule>
    <x:cfRule type="expression" dxfId="367" priority="80">
      <x:formula>AND(ISNUMBER(D11),D11&gt;=20,D11&lt;40)</x:formula>
    </x:cfRule>
    <x:cfRule type="expression" dxfId="368" priority="81">
      <x:formula>AND(ISNUMBER(D11),D11&lt;20)</x:formula>
    </x:cfRule>
  </x:conditionalFormatting>
  <x:conditionalFormatting sqref="D12:F12">
    <x:cfRule type="expression" dxfId="369" priority="82">
      <x:formula>AND(ISNUMBER(D12),D12=100)</x:formula>
    </x:cfRule>
    <x:cfRule type="expression" dxfId="370" priority="83">
      <x:formula>AND(ISNUMBER(D12),D12&gt;=90,D12&lt;100)</x:formula>
    </x:cfRule>
    <x:cfRule type="expression" dxfId="371" priority="84">
      <x:formula>AND(ISNUMBER(D12),D12&gt;=80,D12&lt;90)</x:formula>
    </x:cfRule>
    <x:cfRule type="expression" dxfId="372" priority="85">
      <x:formula>AND(ISNUMBER(D12),D12&gt;=70,D12&lt;80)</x:formula>
    </x:cfRule>
    <x:cfRule type="expression" dxfId="373" priority="86">
      <x:formula>AND(ISNUMBER(D12),D12&gt;=60,D12&lt;70)</x:formula>
    </x:cfRule>
    <x:cfRule type="expression" dxfId="374" priority="87">
      <x:formula>AND(ISNUMBER(D12),D12&gt;=50,D12&lt;60)</x:formula>
    </x:cfRule>
    <x:cfRule type="expression" dxfId="375" priority="88">
      <x:formula>AND(ISNUMBER(D12),D12&gt;=40,D12&lt;50)</x:formula>
    </x:cfRule>
    <x:cfRule type="expression" dxfId="376" priority="89">
      <x:formula>AND(ISNUMBER(D12),D12&gt;=20,D12&lt;40)</x:formula>
    </x:cfRule>
    <x:cfRule type="expression" dxfId="377" priority="90">
      <x:formula>AND(ISNUMBER(D12),D12&lt;20)</x:formula>
    </x:cfRule>
  </x:conditionalFormatting>
  <x:conditionalFormatting sqref="D13:F13">
    <x:cfRule type="expression" dxfId="378" priority="91">
      <x:formula>AND(ISNUMBER(D13),D13=100)</x:formula>
    </x:cfRule>
    <x:cfRule type="expression" dxfId="379" priority="92">
      <x:formula>AND(ISNUMBER(D13),D13&gt;=90,D13&lt;100)</x:formula>
    </x:cfRule>
    <x:cfRule type="expression" dxfId="380" priority="93">
      <x:formula>AND(ISNUMBER(D13),D13&gt;=80,D13&lt;90)</x:formula>
    </x:cfRule>
    <x:cfRule type="expression" dxfId="381" priority="94">
      <x:formula>AND(ISNUMBER(D13),D13&gt;=70,D13&lt;80)</x:formula>
    </x:cfRule>
    <x:cfRule type="expression" dxfId="382" priority="95">
      <x:formula>AND(ISNUMBER(D13),D13&gt;=60,D13&lt;70)</x:formula>
    </x:cfRule>
    <x:cfRule type="expression" dxfId="383" priority="96">
      <x:formula>AND(ISNUMBER(D13),D13&gt;=50,D13&lt;60)</x:formula>
    </x:cfRule>
    <x:cfRule type="expression" dxfId="384" priority="97">
      <x:formula>AND(ISNUMBER(D13),D13&gt;=40,D13&lt;50)</x:formula>
    </x:cfRule>
    <x:cfRule type="expression" dxfId="385" priority="98">
      <x:formula>AND(ISNUMBER(D13),D13&gt;=20,D13&lt;40)</x:formula>
    </x:cfRule>
    <x:cfRule type="expression" dxfId="386" priority="99">
      <x:formula>AND(ISNUMBER(D13),D13&lt;20)</x:formula>
    </x:cfRule>
  </x:conditionalFormatting>
  <x:conditionalFormatting sqref="D14:F14">
    <x:cfRule type="expression" dxfId="387" priority="100">
      <x:formula>AND(ISNUMBER(D14),D14=100)</x:formula>
    </x:cfRule>
    <x:cfRule type="expression" dxfId="388" priority="101">
      <x:formula>AND(ISNUMBER(D14),D14&gt;=90,D14&lt;100)</x:formula>
    </x:cfRule>
    <x:cfRule type="expression" dxfId="389" priority="102">
      <x:formula>AND(ISNUMBER(D14),D14&gt;=80,D14&lt;90)</x:formula>
    </x:cfRule>
    <x:cfRule type="expression" dxfId="390" priority="103">
      <x:formula>AND(ISNUMBER(D14),D14&gt;=70,D14&lt;80)</x:formula>
    </x:cfRule>
    <x:cfRule type="expression" dxfId="391" priority="104">
      <x:formula>AND(ISNUMBER(D14),D14&gt;=60,D14&lt;70)</x:formula>
    </x:cfRule>
    <x:cfRule type="expression" dxfId="392" priority="105">
      <x:formula>AND(ISNUMBER(D14),D14&gt;=50,D14&lt;60)</x:formula>
    </x:cfRule>
    <x:cfRule type="expression" dxfId="393" priority="106">
      <x:formula>AND(ISNUMBER(D14),D14&gt;=40,D14&lt;50)</x:formula>
    </x:cfRule>
    <x:cfRule type="expression" dxfId="394" priority="107">
      <x:formula>AND(ISNUMBER(D14),D14&gt;=20,D14&lt;40)</x:formula>
    </x:cfRule>
    <x:cfRule type="expression" dxfId="395" priority="108">
      <x:formula>AND(ISNUMBER(D14),D14&lt;20)</x:formula>
    </x:cfRule>
  </x:conditionalFormatting>
  <x:conditionalFormatting sqref="D15:F15">
    <x:cfRule type="expression" dxfId="396" priority="109">
      <x:formula>AND(ISNUMBER(D15),D15=100)</x:formula>
    </x:cfRule>
    <x:cfRule type="expression" dxfId="397" priority="110">
      <x:formula>AND(ISNUMBER(D15),D15&gt;=90,D15&lt;100)</x:formula>
    </x:cfRule>
    <x:cfRule type="expression" dxfId="398" priority="111">
      <x:formula>AND(ISNUMBER(D15),D15&gt;=80,D15&lt;90)</x:formula>
    </x:cfRule>
    <x:cfRule type="expression" dxfId="399" priority="112">
      <x:formula>AND(ISNUMBER(D15),D15&gt;=70,D15&lt;80)</x:formula>
    </x:cfRule>
    <x:cfRule type="expression" dxfId="400" priority="113">
      <x:formula>AND(ISNUMBER(D15),D15&gt;=60,D15&lt;70)</x:formula>
    </x:cfRule>
    <x:cfRule type="expression" dxfId="401" priority="114">
      <x:formula>AND(ISNUMBER(D15),D15&gt;=50,D15&lt;60)</x:formula>
    </x:cfRule>
    <x:cfRule type="expression" dxfId="402" priority="115">
      <x:formula>AND(ISNUMBER(D15),D15&gt;=40,D15&lt;50)</x:formula>
    </x:cfRule>
    <x:cfRule type="expression" dxfId="403" priority="116">
      <x:formula>AND(ISNUMBER(D15),D15&gt;=20,D15&lt;40)</x:formula>
    </x:cfRule>
    <x:cfRule type="expression" dxfId="404" priority="117">
      <x:formula>AND(ISNUMBER(D15),D15&lt;20)</x:formula>
    </x:cfRule>
  </x:conditionalFormatting>
  <x:conditionalFormatting sqref="D16:F16">
    <x:cfRule type="expression" dxfId="405" priority="118">
      <x:formula>AND(ISNUMBER(D16),D16=100)</x:formula>
    </x:cfRule>
    <x:cfRule type="expression" dxfId="406" priority="119">
      <x:formula>AND(ISNUMBER(D16),D16&gt;=90,D16&lt;100)</x:formula>
    </x:cfRule>
    <x:cfRule type="expression" dxfId="407" priority="120">
      <x:formula>AND(ISNUMBER(D16),D16&gt;=80,D16&lt;90)</x:formula>
    </x:cfRule>
    <x:cfRule type="expression" dxfId="408" priority="121">
      <x:formula>AND(ISNUMBER(D16),D16&gt;=70,D16&lt;80)</x:formula>
    </x:cfRule>
    <x:cfRule type="expression" dxfId="409" priority="122">
      <x:formula>AND(ISNUMBER(D16),D16&gt;=60,D16&lt;70)</x:formula>
    </x:cfRule>
    <x:cfRule type="expression" dxfId="410" priority="123">
      <x:formula>AND(ISNUMBER(D16),D16&gt;=50,D16&lt;60)</x:formula>
    </x:cfRule>
    <x:cfRule type="expression" dxfId="411" priority="124">
      <x:formula>AND(ISNUMBER(D16),D16&gt;=40,D16&lt;50)</x:formula>
    </x:cfRule>
    <x:cfRule type="expression" dxfId="412" priority="125">
      <x:formula>AND(ISNUMBER(D16),D16&gt;=20,D16&lt;40)</x:formula>
    </x:cfRule>
    <x:cfRule type="expression" dxfId="413" priority="126">
      <x:formula>AND(ISNUMBER(D16),D16&lt;20)</x:formula>
    </x:cfRule>
  </x:conditionalFormatting>
  <x:conditionalFormatting sqref="D17:F17">
    <x:cfRule type="expression" dxfId="414" priority="127">
      <x:formula>AND(ISNUMBER(D17),D17=100)</x:formula>
    </x:cfRule>
    <x:cfRule type="expression" dxfId="415" priority="128">
      <x:formula>AND(ISNUMBER(D17),D17&gt;=90,D17&lt;100)</x:formula>
    </x:cfRule>
    <x:cfRule type="expression" dxfId="416" priority="129">
      <x:formula>AND(ISNUMBER(D17),D17&gt;=80,D17&lt;90)</x:formula>
    </x:cfRule>
    <x:cfRule type="expression" dxfId="417" priority="130">
      <x:formula>AND(ISNUMBER(D17),D17&gt;=70,D17&lt;80)</x:formula>
    </x:cfRule>
    <x:cfRule type="expression" dxfId="418" priority="131">
      <x:formula>AND(ISNUMBER(D17),D17&gt;=60,D17&lt;70)</x:formula>
    </x:cfRule>
    <x:cfRule type="expression" dxfId="419" priority="132">
      <x:formula>AND(ISNUMBER(D17),D17&gt;=50,D17&lt;60)</x:formula>
    </x:cfRule>
    <x:cfRule type="expression" dxfId="420" priority="133">
      <x:formula>AND(ISNUMBER(D17),D17&gt;=40,D17&lt;50)</x:formula>
    </x:cfRule>
    <x:cfRule type="expression" dxfId="421" priority="134">
      <x:formula>AND(ISNUMBER(D17),D17&gt;=20,D17&lt;40)</x:formula>
    </x:cfRule>
    <x:cfRule type="expression" dxfId="422" priority="135">
      <x:formula>AND(ISNUMBER(D17),D17&lt;20)</x:formula>
    </x:cfRule>
  </x:conditionalFormatting>
  <x:conditionalFormatting sqref="D3:F3">
    <x:cfRule type="expression" dxfId="452" priority="136">
      <x:formula>AND(ISNUMBER(D3),D3=100)</x:formula>
    </x:cfRule>
    <x:cfRule type="expression" dxfId="453" priority="137">
      <x:formula>AND(ISNUMBER(D3),D3&gt;=90,D3&lt;100)</x:formula>
    </x:cfRule>
    <x:cfRule type="expression" dxfId="454" priority="138">
      <x:formula>AND(ISNUMBER(D3),D3&gt;=80,D3&lt;90)</x:formula>
    </x:cfRule>
    <x:cfRule type="expression" dxfId="455" priority="139">
      <x:formula>AND(ISNUMBER(D3),D3&gt;=70,D3&lt;80)</x:formula>
    </x:cfRule>
    <x:cfRule type="expression" dxfId="456" priority="140">
      <x:formula>AND(ISNUMBER(D3),D3&gt;=60,D3&lt;70)</x:formula>
    </x:cfRule>
    <x:cfRule type="expression" dxfId="457" priority="141">
      <x:formula>AND(ISNUMBER(D3),D3&gt;=50,D3&lt;60)</x:formula>
    </x:cfRule>
    <x:cfRule type="expression" dxfId="458" priority="142">
      <x:formula>AND(ISNUMBER(D3),D3&gt;=40,D3&lt;50)</x:formula>
    </x:cfRule>
    <x:cfRule type="expression" dxfId="459" priority="143">
      <x:formula>AND(ISNUMBER(D3),D3&gt;=20,D3&lt;40)</x:formula>
    </x:cfRule>
    <x:cfRule type="expression" dxfId="460" priority="144">
      <x:formula>AND(ISNUMBER(D3),D3&lt;20)</x:formula>
    </x:cfRule>
  </x:conditionalFormatting>
  <x:conditionalFormatting sqref="D18:F18">
    <x:cfRule type="expression" dxfId="508" priority="145">
      <x:formula>AND(ISNUMBER(D18),D18=100)</x:formula>
    </x:cfRule>
    <x:cfRule type="expression" dxfId="509" priority="146">
      <x:formula>AND(ISNUMBER(D18),D18&gt;=90,D18&lt;100)</x:formula>
    </x:cfRule>
    <x:cfRule type="expression" dxfId="510" priority="147">
      <x:formula>AND(ISNUMBER(D18),D18&gt;=80,D18&lt;90)</x:formula>
    </x:cfRule>
    <x:cfRule type="expression" dxfId="511" priority="148">
      <x:formula>AND(ISNUMBER(D18),D18&gt;=70,D18&lt;80)</x:formula>
    </x:cfRule>
    <x:cfRule type="expression" dxfId="512" priority="149">
      <x:formula>AND(ISNUMBER(D18),D18&gt;=60,D18&lt;70)</x:formula>
    </x:cfRule>
    <x:cfRule type="expression" dxfId="513" priority="150">
      <x:formula>AND(ISNUMBER(D18),D18&gt;=50,D18&lt;60)</x:formula>
    </x:cfRule>
    <x:cfRule type="expression" dxfId="514" priority="151">
      <x:formula>AND(ISNUMBER(D18),D18&gt;=40,D18&lt;50)</x:formula>
    </x:cfRule>
    <x:cfRule type="expression" dxfId="515" priority="152">
      <x:formula>AND(ISNUMBER(D18),D18&gt;=20,D18&lt;40)</x:formula>
    </x:cfRule>
    <x:cfRule type="expression" dxfId="516" priority="153">
      <x:formula>AND(ISNUMBER(D18),D18&lt;20)</x:formula>
    </x:cfRule>
  </x:conditionalFormatting>
  <x:conditionalFormatting sqref="D2:F25">
    <x:cfRule type="expression" dxfId="760" priority="154">
      <x:formula>AND(ISNUMBER(D2),D2=100)</x:formula>
    </x:cfRule>
    <x:cfRule type="expression" dxfId="761" priority="155">
      <x:formula>AND(ISNUMBER(D2),D2&gt;=90,D2&lt;100)</x:formula>
    </x:cfRule>
    <x:cfRule type="expression" dxfId="762" priority="156">
      <x:formula>AND(ISNUMBER(D2),D2&gt;=80,D2&lt;90)</x:formula>
    </x:cfRule>
    <x:cfRule type="expression" dxfId="763" priority="157">
      <x:formula>AND(ISNUMBER(D2),D2&gt;=70,D2&lt;80)</x:formula>
    </x:cfRule>
    <x:cfRule type="expression" dxfId="764" priority="158">
      <x:formula>AND(ISNUMBER(D2),D2&gt;=60,D2&lt;70)</x:formula>
    </x:cfRule>
    <x:cfRule type="expression" dxfId="765" priority="159">
      <x:formula>AND(ISNUMBER(D2),D2&gt;=50,D2&lt;60)</x:formula>
    </x:cfRule>
    <x:cfRule type="expression" dxfId="766" priority="160">
      <x:formula>AND(ISNUMBER(D2),D2&gt;=40,D2&lt;50)</x:formula>
    </x:cfRule>
    <x:cfRule type="expression" dxfId="767" priority="161">
      <x:formula>AND(ISNUMBER(D2),D2&gt;=20,D2&lt;40)</x:formula>
    </x:cfRule>
    <x:cfRule type="expression" dxfId="768" priority="162">
      <x:formula>AND(ISNUMBER(D2),D2&lt;20)</x:formula>
    </x:cfRule>
  </x:conditionalFormatting>
  <x:pageMargins left="0.7" right="0.7" top="0.75" bottom="0.75" header="0.3" footer="0.3"/>
  <x:drawing xmlns:r="http://schemas.openxmlformats.org/officeDocument/2006/relationships" r:id="R44f454f27ddf4752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8" hidden="0" customWidth="1"/>
    <x:col min="3" max="3" width="14" hidden="0" customWidth="1"/>
    <x:col min="4" max="4" width="64" hidden="0" customWidth="1"/>
  </x:cols>
  <x:sheetData>
    <x:row r="1" ht="42" customHeight="1">
      <x:c r="A1" s="13" t="str">
        <x:v>Методика оценки</x:v>
      </x:c>
      <x:c r="B1" s="14" t="str">
        <x:v>Описание</x:v>
      </x:c>
      <x:c r="C1" s="14" t="str">
        <x:v>Баллы</x:v>
      </x:c>
      <x:c r="D1" s="15" t="str">
        <x:v>Примечание</x:v>
      </x:c>
    </x:row>
    <x:row r="2">
      <x:c r="A2" s="49" t="str">
        <x:v>Шкала</x:v>
      </x:c>
      <x:c r="B2" s="50" t="str">
        <x:v>Все задания, секции и итог — только по шкале 0–100.</x:v>
      </x:c>
      <x:c r="C2" s="50" t="str">
        <x:v>0–100</x:v>
      </x:c>
      <x:c r="D2" s="51" t="str">
        <x:v>Сохраняется для всех партий.</x:v>
      </x:c>
    </x:row>
    <x:row r="3">
      <x:c r="A3" s="52" t="str">
        <x:v>100</x:v>
      </x:c>
      <x:c r="B3" s="53" t="str">
        <x:v>Полностью корректно.</x:v>
      </x:c>
      <x:c r="C3" s="53" t="str">
        <x:v>100</x:v>
      </x:c>
      <x:c r="D3" s="54" t="str">
        <x:v>Насыщенно-зелёный фон, белый текст.</x:v>
      </x:c>
    </x:row>
    <x:row r="4">
      <x:c r="A4" s="52" t="str">
        <x:v>90–99</x:v>
      </x:c>
      <x:c r="B4" s="53" t="str">
        <x:v>Практически полностью корректно.</x:v>
      </x:c>
      <x:c r="C4" s="53" t="str">
        <x:v>90–99</x:v>
      </x:c>
      <x:c r="D4" s="54" t="str">
        <x:v>Тёмно-зелёный фон, белый текст.</x:v>
      </x:c>
    </x:row>
    <x:row r="5">
      <x:c r="A5" s="52" t="str">
        <x:v>80–89</x:v>
      </x:c>
      <x:c r="B5" s="53" t="str">
        <x:v>Хороший ответ с небольшой неточностью.</x:v>
      </x:c>
      <x:c r="C5" s="53" t="str">
        <x:v>80–89</x:v>
      </x:c>
      <x:c r="D5" s="54" t="str">
        <x:v>Светлее зелёный, чёрный текст.</x:v>
      </x:c>
    </x:row>
    <x:row r="6">
      <x:c r="A6" s="52" t="str">
        <x:v>70–79</x:v>
      </x:c>
      <x:c r="B6" s="53" t="str">
        <x:v>Хорошая основа, но заметные пробелы.</x:v>
      </x:c>
      <x:c r="C6" s="53" t="str">
        <x:v>70–79</x:v>
      </x:c>
      <x:c r="D6" s="54" t="str">
        <x:v>Светло-зелёный, чёрный текст.</x:v>
      </x:c>
    </x:row>
    <x:row r="7">
      <x:c r="A7" s="52" t="str">
        <x:v>60–69</x:v>
      </x:c>
      <x:c r="B7" s="53" t="str">
        <x:v>Частично корректно.</x:v>
      </x:c>
      <x:c r="C7" s="53" t="str">
        <x:v>60–69</x:v>
      </x:c>
      <x:c r="D7" s="54" t="str">
        <x:v>Жёлтый фон, чёрный текст.</x:v>
      </x:c>
    </x:row>
    <x:row r="8">
      <x:c r="A8" s="52" t="str">
        <x:v>50–59</x:v>
      </x:c>
      <x:c r="B8" s="53" t="str">
        <x:v>Много существенных недочётов.</x:v>
      </x:c>
      <x:c r="C8" s="53" t="str">
        <x:v>50–59</x:v>
      </x:c>
      <x:c r="D8" s="54" t="str">
        <x:v>Янтарный, чёрный текст.</x:v>
      </x:c>
    </x:row>
    <x:row r="9">
      <x:c r="A9" s="52" t="str">
        <x:v>40–49</x:v>
      </x:c>
      <x:c r="B9" s="53" t="str">
        <x:v>Существенно ошибочно.</x:v>
      </x:c>
      <x:c r="C9" s="53" t="str">
        <x:v>40–49</x:v>
      </x:c>
      <x:c r="D9" s="54" t="str">
        <x:v>Оранжевый, чёрный текст.</x:v>
      </x:c>
    </x:row>
    <x:row r="10">
      <x:c r="A10" s="52" t="str">
        <x:v>20–39</x:v>
      </x:c>
      <x:c r="B10" s="53" t="str">
        <x:v>Почти неверно.</x:v>
      </x:c>
      <x:c r="C10" s="53" t="str">
        <x:v>20–39</x:v>
      </x:c>
      <x:c r="D10" s="54" t="str">
        <x:v>Тёмно-красный, белый текст.</x:v>
      </x:c>
    </x:row>
    <x:row r="11">
      <x:c r="A11" s="52" t="str">
        <x:v>0–19</x:v>
      </x:c>
      <x:c r="B11" s="53" t="str">
        <x:v>Неверно/критическая ошибка/пропуск.</x:v>
      </x:c>
      <x:c r="C11" s="53" t="str">
        <x:v>0–19</x:v>
      </x:c>
      <x:c r="D11" s="54" t="str">
        <x:v>Очень тёмно-красный, белый текст.</x:v>
      </x:c>
    </x:row>
    <x:row r="12">
      <x:c r="A12" s="52" t="str">
        <x:v>Итог</x:v>
      </x:c>
      <x:c r="B12" s="53" t="str">
        <x:v>SUM(баллов)/170.</x:v>
      </x:c>
      <x:c r="C12" s="53" t="str">
        <x:v>0–100</x:v>
      </x:c>
      <x:c r="D12" s="54" t="str">
        <x:v>Пропуски уменьшают итог как 0.</x:v>
      </x:c>
    </x:row>
    <x:row r="13">
      <x:c r="A13" s="52" t="str">
        <x:v>Качество отвеченных</x:v>
      </x:c>
      <x:c r="B13" s="53" t="str">
        <x:v>Среднее только по реально отвеченным заданиям.</x:v>
      </x:c>
      <x:c r="C13" s="53" t="str">
        <x:v>0–100</x:v>
      </x:c>
      <x:c r="D13" s="54" t="str">
        <x:v>Отделяет качество от полноты.</x:v>
      </x:c>
    </x:row>
    <x:row r="14">
      <x:c r="A14" s="52" t="str">
        <x:v>Полнота</x:v>
      </x:c>
      <x:c r="B14" s="53" t="str">
        <x:v>Число заполненных заданий / 170 × 100.</x:v>
      </x:c>
      <x:c r="C14" s="53" t="str">
        <x:v>0–100</x:v>
      </x:c>
      <x:c r="D14" s="54" t="str">
        <x:v>Отдельный показатель обрывов.</x:v>
      </x:c>
    </x:row>
    <x:row r="15">
      <x:c r="A15" s="52" t="str">
        <x:v>Порядок моделей</x:v>
      </x:c>
      <x:c r="B15" s="53" t="str">
        <x:v>Оба Qwen 3.8 Flash Next расположены первыми; gemma-4-e4b всегда выше gemma-4-e2b.</x:v>
      </x:c>
      <x:c r="C15" s="53"/>
      <x:c r="D15" s="54" t="str">
        <x:v>Применено на основных листах.</x:v>
      </x:c>
    </x:row>
    <x:row r="16">
      <x:c r="A16" s="55" t="str">
        <x:v>Корректировка</x:v>
      </x:c>
      <x:c r="B16" s="56" t="str">
        <x:v>Qwen 3.8 27b thinking: LANG-3 поднят с 0 до 100; секция «Многоязычность» теперь 100.</x:v>
      </x:c>
      <x:c r="C16" s="56" t="str">
        <x:v>100</x:v>
      </x:c>
      <x:c r="D16" s="57" t="str">
        <x:v>Прямое указание пользователя: единичная ошибка не учитывается.</x:v>
      </x:c>
    </x:row>
    <x:row r="17">
      <x:c r="A17" s="55"/>
      <x:c r="B17" s="56"/>
      <x:c r="C17" s="56"/>
      <x:c r="D17" s="57"/>
    </x:row>
    <x:row r="18">
      <x:c r="A18" s="243" t="str">
        <x:v>Flash Next thinking</x:v>
      </x:c>
      <x:c r="B18" s="244" t="str">
        <x:v>Qwen 3.8 Flash Next thinking оценён по всем 170 заданиям и расположен вторым столбцом сразу после Flash Next без thinking.</x:v>
      </x:c>
      <x:c r="C18" s="244" t="str">
        <x:v>0–100</x:v>
      </x:c>
      <x:c r="D18" s="245" t="str">
        <x:v>Полнота 100%; все дальнейшие рейтинги и средние включают эту модель.</x:v>
      </x:c>
    </x:row>
    <x:row r="19">
      <x:c r="A19" s="305" t="str">
        <x:v>Batch 011</x:v>
      </x:c>
      <x:c r="B19" s="306" t="str">
        <x:v>Добавлен GPT 5.6 Sol high thinking по полному единому тесту 170/170.</x:v>
      </x:c>
      <x:c r="C19" s="306" t="str">
        <x:v>0–100</x:v>
      </x:c>
      <x:c r="D19" s="284" t="str">
        <x:v>Итог рассчитывается по прежней формуле SUM/170.</x:v>
      </x:c>
    </x:row>
    <x:row r="20">
      <x:c r="A20" s="308" t="str">
        <x:v>Исправление пропуска</x:v>
      </x:c>
      <x:c r="B20" s="309" t="str">
        <x:v>Qwen 3.6 35b a3b HauhauCS thinking: SYS-1 исправлен с числового 0 на пустую детальную ячейку.</x:v>
      </x:c>
      <x:c r="C20" s="309"/>
      <x:c r="D20" s="285" t="str">
        <x:v>Итог не меняется; полнота становится 169/170, качество отвеченных пересчитывается по 169 ответам.</x:v>
      </x:c>
    </x:row>
    <x:row r="21">
      <x:c r="A21" s="311" t="str">
        <x:v>Сохранённая корректировка</x:v>
      </x:c>
      <x:c r="B21" s="312" t="str">
        <x:v>Qwen 3.8 27b thinking: LANG-3 остаётся 100 по прямому указанию пользователя.</x:v>
      </x:c>
      <x:c r="C21" s="312" t="str">
        <x:v>100</x:v>
      </x:c>
      <x:c r="D21" s="286" t="str">
        <x:v>Корректировка не отменена.</x:v>
      </x:c>
    </x:row>
    <x:row r="22">
      <x:c r="A22" t="str">
        <x:v>Batch 012</x:v>
      </x:c>
      <x:c r="B22" t="str">
        <x:v>Добавлены GPT 5.6 Sol low и medium по полному единому тесту 170/170.</x:v>
      </x:c>
      <x:c r="C22" t="str">
        <x:v>0–100</x:v>
      </x:c>
      <x:c r="D22" t="str">
        <x:v>Оба варианта полностью завершили тест.</x:v>
      </x:c>
    </x:row>
    <x:row r="23">
      <x:c r="A23" t="str">
        <x:v>Coder reasoning levels</x:v>
      </x:c>
      <x:c r="B23" t="str">
        <x:v>High, low и medium учитываются как отдельные варианты одной семьи.</x:v>
      </x:c>
      <x:c r="C23"/>
      <x:c r="D23" t="str">
        <x:v>Рейтинг строится только по фактическим task scores; Qwen 3.8 27b thinking LANG-3=100 сохранён.</x:v>
      </x:c>
    </x:row>
    <x:row r="24">
      <x:c r="A24" t="str">
        <x:v>Batch 013</x:v>
      </x:c>
      <x:c r="B24" t="str">
        <x:v>Добавлен GPT 5.5 high thinking: 99.35/100; полнота 170/170.</x:v>
      </x:c>
      <x:c r="C24" t="str">
        <x:v>0–100</x:v>
      </x:c>
      <x:c r="D24" t="str">
        <x:v>Режим взят из папки GPT 5.5 high; Qwen 3.8 27b thinking LANG-3=100 сохранён.</x:v>
      </x:c>
    </x:row>
    <x:row r="25">
      <x:c r="A25" t="str">
        <x:v>Batch 014</x:v>
      </x:c>
      <x:c r="B25" t="str">
        <x:v>Добавлены DeepSeek chat и GPT 5.5 medium по единому тесту: 98.79 / 98.65.</x:v>
      </x:c>
      <x:c r="C25" t="str">
        <x:v>0–100</x:v>
      </x:c>
      <x:c r="D25" t="str">
        <x:v>Обе выдачи 170/170.</x:v>
      </x:c>
    </x:row>
    <x:row r="26">
      <x:c r="A26" t="str">
        <x:v>Идентификация режимов</x:v>
      </x:c>
      <x:c r="B26" t="str">
        <x:v>DeepSeek — chat/без thinking по имени архива; внутренний MODE между файлами противоречив. GPT 5.5 medium — thinking.</x:v>
      </x:c>
      <x:c r="C26"/>
      <x:c r="D26" t="str">
        <x:v>Сохранены прежние корректировки, включая Qwen 3.8 27b thinking LANG-3=100 и SYS-1 пропуск HauhauCS thinking.</x:v>
      </x:c>
    </x:row>
    <x:row r="27">
      <x:c r="A27" t="str">
        <x:v>Batch 015</x:v>
      </x:c>
      <x:c r="B27" t="str">
        <x:v>Добавлены GPT 5.5 без указанного уровня и Qwen 3.8 max: 96.62 / 99.47.</x:v>
      </x:c>
      <x:c r="C27" t="str">
        <x:v>0–100</x:v>
      </x:c>
      <x:c r="D27" t="str">
        <x:v>Обе выдачи содержат 170/170 task ID.</x:v>
      </x:c>
    </x:row>
    <x:row r="28">
      <x:c r="A28" t="str">
        <x:v>Коррекция названий</x:v>
      </x:c>
      <x:c r="B28" t="str">
        <x:v>Qwen3 coder next high/medium/low → GPT 5.6 Sol high/medium/low; Qwen2.5 high/medium → GPT 5.5 high/medium.</x:v>
      </x:c>
      <x:c r="C28"/>
      <x:c r="D28" t="str">
        <x:v>Старые баллы и корректировки не изменены.</x:v>
      </x:c>
    </x:row>
    <x:row r="29">
      <x:c r="A29" t="str">
        <x:v>Режимы новых прогонов</x:v>
      </x:c>
      <x:c r="B29" t="str">
        <x:v>GPT-5.5.zip имеет неоднородный self-reported MODE, поэтому режим указан thinking/UNKNOWN; уровень high/medium/low отсутствует. Qwen 3.8 max — thinking.</x:v>
      </x:c>
      <x:c r="C29"/>
      <x:c r="D29" t="str">
        <x:v>Сохранены LANG-3=100 для GPT-name-independent Qwen 3.8 27b thinking и реальный пропуск SYS-1 HauhauCS thinking.</x:v>
      </x:c>
    </x:row>
    <x:row r="30">
      <x:c r="A30" t="str">
        <x:v>Сортировка</x:v>
      </x:c>
      <x:c r="B30" t="str">
        <x:v>Модели во всех сравнительных листах отсортированы по итоговому баллу: сильнейшие сверху/слева; ещё не добавленные — в самом конце.</x:v>
      </x:c>
      <x:c r="C30"/>
      <x:c r="D30" t="str">
        <x:v>Оценённые результаты 0 баллов считаются добавленными и идут перед пустыми/ожидаемыми моделями.</x:v>
      </x:c>
    </x:row>
    <x:row r="31">
      <x:c r="A31" t="str">
        <x:v>Форматирование и имена</x:v>
      </x:c>
      <x:c r="B31" t="str">
        <x:v>Полностью восстановлена цветовая шкала всех модельных баллов. У GPT, DeepSeek и Qwen 3.8 max режим в названии/сводке не показывается. Неуказанный GPT 5.5 переименован в GPT 5.5 — low.</x:v>
      </x:c>
      <x:c r="C31" t="str"/>
      <x:c r="D31" t="str">
        <x:v>Баллы, позиции рейтинга и сортировка сохранены.</x:v>
      </x:c>
    </x:row>
    <x:row r="32">
      <x:c r="A32"/>
      <x:c r="B32"/>
      <x:c r="C32"/>
      <x:c r="D32"/>
    </x:row>
    <x:row r="33">
      <x:c r="A33"/>
      <x:c r="B33"/>
      <x:c r="C33"/>
      <x:c r="D33"/>
    </x:row>
    <x:row r="34">
      <x:c r="A34"/>
      <x:c r="B34"/>
      <x:c r="C34"/>
      <x:c r="D34"/>
    </x:row>
    <x:row r="35">
      <x:c r="A35"/>
      <x:c r="B35"/>
      <x:c r="C35"/>
      <x:c r="D35"/>
    </x:row>
    <x:row r="36">
      <x:c r="A36"/>
      <x:c r="B36"/>
      <x:c r="C36"/>
      <x:c r="D36"/>
    </x:row>
    <x:row r="37">
      <x:c r="A37"/>
      <x:c r="B37"/>
      <x:c r="C37"/>
      <x:c r="D37"/>
    </x:row>
    <x:row r="38">
      <x:c r="A38"/>
      <x:c r="B38"/>
      <x:c r="C38"/>
      <x:c r="D38"/>
    </x:row>
    <x:row r="39">
      <x:c r="A39"/>
      <x:c r="B39"/>
      <x:c r="C39"/>
      <x:c r="D39"/>
    </x:row>
    <x:row r="40">
      <x:c r="A40"/>
      <x:c r="B40"/>
      <x:c r="C40"/>
      <x:c r="D40"/>
    </x:row>
    <x:row r="41">
      <x:c r="A41"/>
      <x:c r="B41"/>
      <x:c r="C41"/>
      <x:c r="D41"/>
    </x:row>
    <x:row r="42">
      <x:c r="A42"/>
      <x:c r="B42"/>
      <x:c r="C42"/>
      <x:c r="D42"/>
    </x:row>
    <x:row r="43">
      <x:c r="A43"/>
      <x:c r="B43"/>
      <x:c r="C43"/>
      <x:c r="D43"/>
    </x:row>
    <x:row r="44">
      <x:c r="A44"/>
      <x:c r="B44"/>
      <x:c r="C44"/>
      <x:c r="D44"/>
    </x:row>
    <x:row r="45">
      <x:c r="A45"/>
      <x:c r="B45"/>
      <x:c r="C45"/>
      <x:c r="D45"/>
    </x:row>
    <x:row r="46">
      <x:c r="A46"/>
      <x:c r="B46"/>
      <x:c r="C46"/>
      <x:c r="D46"/>
    </x:row>
    <x:row r="47">
      <x:c r="A47"/>
      <x:c r="B47"/>
      <x:c r="C47"/>
      <x:c r="D47"/>
    </x:row>
    <x:row r="48">
      <x:c r="A48"/>
      <x:c r="B48"/>
      <x:c r="C48"/>
      <x:c r="D48"/>
    </x:row>
    <x:row r="49">
      <x:c r="A49"/>
      <x:c r="B49"/>
      <x:c r="C49"/>
      <x:c r="D49"/>
    </x:row>
    <x:row r="50">
      <x:c r="A50"/>
      <x:c r="B50"/>
      <x:c r="C50"/>
      <x:c r="D50"/>
    </x:row>
    <x:row r="51">
      <x:c r="A51"/>
      <x:c r="B51"/>
      <x:c r="C51"/>
      <x:c r="D51"/>
    </x:row>
    <x:row r="52">
      <x:c r="A52"/>
      <x:c r="B52"/>
      <x:c r="C52"/>
      <x:c r="D52"/>
    </x:row>
    <x:row r="53">
      <x:c r="A53"/>
      <x:c r="B53"/>
      <x:c r="C53"/>
      <x:c r="D53"/>
    </x:row>
    <x:row r="54">
      <x:c r="A54"/>
      <x:c r="B54"/>
      <x:c r="C54"/>
      <x:c r="D54"/>
    </x:row>
    <x:row r="55">
      <x:c r="A55"/>
      <x:c r="B55"/>
      <x:c r="C55"/>
      <x:c r="D55"/>
    </x:row>
    <x:row r="56">
      <x:c r="A56"/>
      <x:c r="B56"/>
      <x:c r="C56"/>
      <x:c r="D56"/>
    </x:row>
    <x:row r="57">
      <x:c r="A57"/>
      <x:c r="B57"/>
      <x:c r="C57"/>
      <x:c r="D57"/>
    </x:row>
    <x:row r="58">
      <x:c r="A58"/>
      <x:c r="B58"/>
      <x:c r="C58"/>
      <x:c r="D58"/>
    </x:row>
    <x:row r="59">
      <x:c r="A59"/>
      <x:c r="B59"/>
      <x:c r="C59"/>
      <x:c r="D59"/>
    </x:row>
    <x:row r="60">
      <x:c r="A60"/>
      <x:c r="B60"/>
      <x:c r="C60"/>
      <x:c r="D60"/>
    </x:row>
    <x:row r="61">
      <x:c r="A61"/>
      <x:c r="B61"/>
      <x:c r="C61"/>
      <x:c r="D61"/>
    </x:row>
    <x:row r="62">
      <x:c r="A62"/>
      <x:c r="B62"/>
      <x:c r="C62"/>
      <x:c r="D62"/>
    </x:row>
    <x:row r="63">
      <x:c r="A63"/>
      <x:c r="B63"/>
      <x:c r="C63"/>
      <x:c r="D63"/>
    </x:row>
    <x:row r="64">
      <x:c r="A64"/>
      <x:c r="B64"/>
      <x:c r="C64"/>
      <x:c r="D64"/>
    </x:row>
    <x:row r="65">
      <x:c r="A65"/>
      <x:c r="B65"/>
      <x:c r="C65"/>
      <x:c r="D65"/>
    </x:row>
    <x:row r="66">
      <x:c r="A66"/>
      <x:c r="B66"/>
      <x:c r="C66"/>
      <x:c r="D66"/>
    </x:row>
    <x:row r="67">
      <x:c r="A67"/>
      <x:c r="B67"/>
      <x:c r="C67"/>
      <x:c r="D67"/>
    </x:row>
    <x:row r="68">
      <x:c r="A68"/>
      <x:c r="B68"/>
      <x:c r="C68"/>
      <x:c r="D68"/>
    </x:row>
    <x:row r="69">
      <x:c r="A69"/>
      <x:c r="B69"/>
      <x:c r="C69"/>
      <x:c r="D69"/>
    </x:row>
    <x:row r="70">
      <x:c r="A70"/>
      <x:c r="B70"/>
      <x:c r="C70"/>
      <x:c r="D70"/>
    </x:row>
    <x:row r="71">
      <x:c r="A71"/>
      <x:c r="B71"/>
      <x:c r="C71"/>
      <x:c r="D71"/>
    </x:row>
    <x:row r="72">
      <x:c r="A72"/>
      <x:c r="B72"/>
      <x:c r="C72"/>
      <x:c r="D72"/>
    </x:row>
    <x:row r="73">
      <x:c r="A73"/>
      <x:c r="B73"/>
      <x:c r="C73"/>
      <x:c r="D73"/>
    </x:row>
    <x:row r="74">
      <x:c r="A74"/>
      <x:c r="B74"/>
      <x:c r="C74"/>
      <x:c r="D74"/>
    </x:row>
    <x:row r="75">
      <x:c r="A75"/>
      <x:c r="B75"/>
      <x:c r="C75"/>
      <x:c r="D75"/>
    </x:row>
    <x:row r="76">
      <x:c r="A76"/>
      <x:c r="B76"/>
      <x:c r="C76"/>
      <x:c r="D76"/>
    </x:row>
    <x:row r="77">
      <x:c r="A77"/>
      <x:c r="B77"/>
      <x:c r="C77"/>
      <x:c r="D77"/>
    </x:row>
    <x:row r="78">
      <x:c r="A78"/>
      <x:c r="B78"/>
      <x:c r="C78"/>
      <x:c r="D78"/>
    </x:row>
    <x:row r="79">
      <x:c r="A79"/>
      <x:c r="B79"/>
      <x:c r="C79"/>
      <x:c r="D79"/>
    </x:row>
    <x:row r="80">
      <x:c r="A80"/>
      <x:c r="B80"/>
      <x:c r="C80"/>
      <x:c r="D80"/>
    </x:row>
    <x:row r="81">
      <x:c r="A81"/>
      <x:c r="B81"/>
      <x:c r="C81"/>
      <x:c r="D81"/>
    </x:row>
    <x:row r="82">
      <x:c r="A82"/>
      <x:c r="B82"/>
      <x:c r="C82"/>
      <x:c r="D82"/>
    </x:row>
    <x:row r="83">
      <x:c r="A83"/>
      <x:c r="B83"/>
      <x:c r="C83"/>
      <x:c r="D83"/>
    </x:row>
    <x:row r="84">
      <x:c r="A84"/>
      <x:c r="B84"/>
      <x:c r="C84"/>
      <x:c r="D84"/>
    </x:row>
    <x:row r="85">
      <x:c r="A85"/>
      <x:c r="B85"/>
      <x:c r="C85"/>
      <x:c r="D85"/>
    </x:row>
    <x:row r="86">
      <x:c r="A86"/>
      <x:c r="B86"/>
      <x:c r="C86"/>
      <x:c r="D86"/>
    </x:row>
    <x:row r="87">
      <x:c r="A87"/>
      <x:c r="B87"/>
      <x:c r="C87"/>
      <x:c r="D87"/>
    </x:row>
    <x:row r="88">
      <x:c r="A88"/>
      <x:c r="B88"/>
      <x:c r="C88"/>
      <x:c r="D88"/>
    </x:row>
    <x:row r="89">
      <x:c r="A89"/>
      <x:c r="B89"/>
      <x:c r="C89"/>
      <x:c r="D89"/>
    </x:row>
    <x:row r="90">
      <x:c r="A90"/>
      <x:c r="B90"/>
      <x:c r="C90"/>
      <x:c r="D90"/>
    </x:row>
    <x:row r="91">
      <x:c r="A91"/>
      <x:c r="B91"/>
      <x:c r="C91"/>
      <x:c r="D91"/>
    </x:row>
    <x:row r="92">
      <x:c r="A92"/>
      <x:c r="B92"/>
      <x:c r="C92"/>
      <x:c r="D92"/>
    </x:row>
    <x:row r="93">
      <x:c r="A93"/>
      <x:c r="B93"/>
      <x:c r="C93"/>
      <x:c r="D93"/>
    </x:row>
    <x:row r="94">
      <x:c r="A94"/>
      <x:c r="B94"/>
      <x:c r="C94"/>
      <x:c r="D94"/>
    </x:row>
    <x:row r="95">
      <x:c r="A95"/>
      <x:c r="B95"/>
      <x:c r="C95"/>
      <x:c r="D95"/>
    </x:row>
    <x:row r="96">
      <x:c r="A96"/>
      <x:c r="B96"/>
      <x:c r="C96"/>
      <x:c r="D96"/>
    </x:row>
    <x:row r="97">
      <x:c r="A97"/>
      <x:c r="B97"/>
      <x:c r="C97"/>
      <x:c r="D97"/>
    </x:row>
    <x:row r="98">
      <x:c r="A98"/>
      <x:c r="B98"/>
      <x:c r="C98"/>
      <x:c r="D98"/>
    </x:row>
    <x:row r="99">
      <x:c r="A99"/>
      <x:c r="B99"/>
      <x:c r="C99"/>
      <x:c r="D99"/>
    </x:row>
    <x:row r="100">
      <x:c r="A100"/>
      <x:c r="B100"/>
      <x:c r="C100"/>
      <x:c r="D100"/>
    </x:row>
    <x:row r="101">
      <x:c r="A101"/>
      <x:c r="B101"/>
      <x:c r="C101"/>
      <x:c r="D101"/>
    </x:row>
    <x:row r="102">
      <x:c r="A102"/>
      <x:c r="B102"/>
      <x:c r="C102"/>
      <x:c r="D102"/>
    </x:row>
    <x:row r="103">
      <x:c r="A103"/>
      <x:c r="B103"/>
      <x:c r="C103"/>
      <x:c r="D103"/>
    </x:row>
    <x:row r="104">
      <x:c r="A104"/>
      <x:c r="B104"/>
      <x:c r="C104"/>
      <x:c r="D104"/>
    </x:row>
    <x:row r="105">
      <x:c r="A105"/>
      <x:c r="B105"/>
      <x:c r="C105"/>
      <x:c r="D105"/>
    </x:row>
    <x:row r="106">
      <x:c r="A106"/>
      <x:c r="B106"/>
      <x:c r="C106"/>
      <x:c r="D106"/>
    </x:row>
    <x:row r="107">
      <x:c r="A107"/>
      <x:c r="B107"/>
      <x:c r="C107"/>
      <x:c r="D107"/>
    </x:row>
    <x:row r="108">
      <x:c r="A108"/>
      <x:c r="B108"/>
      <x:c r="C108"/>
      <x:c r="D108"/>
    </x:row>
    <x:row r="109">
      <x:c r="A109"/>
      <x:c r="B109"/>
      <x:c r="C109"/>
      <x:c r="D109"/>
    </x:row>
    <x:row r="110">
      <x:c r="A110"/>
      <x:c r="B110"/>
      <x:c r="C110"/>
      <x:c r="D110"/>
    </x:row>
    <x:row r="111">
      <x:c r="A111"/>
      <x:c r="B111"/>
      <x:c r="C111"/>
      <x:c r="D111"/>
    </x:row>
    <x:row r="112">
      <x:c r="A112"/>
      <x:c r="B112"/>
      <x:c r="C112"/>
      <x:c r="D112"/>
    </x:row>
    <x:row r="113">
      <x:c r="A113"/>
      <x:c r="B113"/>
      <x:c r="C113"/>
      <x:c r="D113"/>
    </x:row>
    <x:row r="114">
      <x:c r="A114"/>
      <x:c r="B114"/>
      <x:c r="C114"/>
      <x:c r="D114"/>
    </x:row>
    <x:row r="115">
      <x:c r="A115"/>
      <x:c r="B115"/>
      <x:c r="C115"/>
      <x:c r="D115"/>
    </x:row>
    <x:row r="116">
      <x:c r="A116"/>
      <x:c r="B116"/>
      <x:c r="C116"/>
      <x:c r="D116"/>
    </x:row>
    <x:row r="117">
      <x:c r="A117"/>
      <x:c r="B117"/>
      <x:c r="C117"/>
      <x:c r="D117"/>
    </x:row>
    <x:row r="118">
      <x:c r="A118"/>
      <x:c r="B118"/>
      <x:c r="C118"/>
      <x:c r="D118"/>
    </x:row>
    <x:row r="119">
      <x:c r="A119"/>
      <x:c r="B119"/>
      <x:c r="C119"/>
      <x:c r="D119"/>
    </x:row>
    <x:row r="120">
      <x:c r="A120"/>
      <x:c r="B120"/>
      <x:c r="C120"/>
      <x:c r="D120"/>
    </x:row>
    <x:row r="121">
      <x:c r="A121"/>
      <x:c r="B121"/>
      <x:c r="C121"/>
      <x:c r="D121"/>
    </x:row>
    <x:row r="122">
      <x:c r="A122"/>
      <x:c r="B122"/>
      <x:c r="C122"/>
      <x:c r="D122"/>
    </x:row>
    <x:row r="123">
      <x:c r="A123"/>
      <x:c r="B123"/>
      <x:c r="C123"/>
      <x:c r="D123"/>
    </x:row>
    <x:row r="124">
      <x:c r="A124"/>
      <x:c r="B124"/>
      <x:c r="C124"/>
      <x:c r="D124"/>
    </x:row>
    <x:row r="125">
      <x:c r="A125"/>
      <x:c r="B125"/>
      <x:c r="C125"/>
      <x:c r="D125"/>
    </x:row>
    <x:row r="126">
      <x:c r="A126"/>
      <x:c r="B126"/>
      <x:c r="C126"/>
      <x:c r="D126"/>
    </x:row>
    <x:row r="127">
      <x:c r="A127"/>
      <x:c r="B127"/>
      <x:c r="C127"/>
      <x:c r="D127"/>
    </x:row>
    <x:row r="128">
      <x:c r="A128"/>
      <x:c r="B128"/>
      <x:c r="C128"/>
      <x:c r="D128"/>
    </x:row>
    <x:row r="129">
      <x:c r="A129"/>
      <x:c r="B129"/>
      <x:c r="C129"/>
      <x:c r="D129"/>
    </x:row>
    <x:row r="130">
      <x:c r="A130"/>
      <x:c r="B130"/>
      <x:c r="C130"/>
      <x:c r="D130"/>
    </x:row>
    <x:row r="131">
      <x:c r="A131"/>
      <x:c r="B131"/>
      <x:c r="C131"/>
      <x:c r="D131"/>
    </x:row>
    <x:row r="132">
      <x:c r="A132"/>
      <x:c r="B132"/>
      <x:c r="C132"/>
      <x:c r="D132"/>
    </x:row>
    <x:row r="133">
      <x:c r="A133"/>
      <x:c r="B133"/>
      <x:c r="C133"/>
      <x:c r="D133"/>
    </x:row>
    <x:row r="134">
      <x:c r="A134"/>
      <x:c r="B134"/>
      <x:c r="C134"/>
      <x:c r="D134"/>
    </x:row>
    <x:row r="135">
      <x:c r="A135"/>
      <x:c r="B135"/>
      <x:c r="C135"/>
      <x:c r="D135"/>
    </x:row>
    <x:row r="136">
      <x:c r="A136"/>
      <x:c r="B136"/>
      <x:c r="C136"/>
      <x:c r="D136"/>
    </x:row>
    <x:row r="137">
      <x:c r="A137"/>
      <x:c r="B137"/>
      <x:c r="C137"/>
      <x:c r="D137"/>
    </x:row>
    <x:row r="138">
      <x:c r="A138"/>
      <x:c r="B138"/>
      <x:c r="C138"/>
      <x:c r="D138"/>
    </x:row>
    <x:row r="139">
      <x:c r="A139"/>
      <x:c r="B139"/>
      <x:c r="C139"/>
      <x:c r="D139"/>
    </x:row>
    <x:row r="140">
      <x:c r="A140"/>
      <x:c r="B140"/>
      <x:c r="C140"/>
      <x:c r="D140"/>
    </x:row>
    <x:row r="141">
      <x:c r="A141"/>
      <x:c r="B141"/>
      <x:c r="C141"/>
      <x:c r="D141"/>
    </x:row>
    <x:row r="142">
      <x:c r="A142"/>
      <x:c r="B142"/>
      <x:c r="C142"/>
      <x:c r="D142"/>
    </x:row>
    <x:row r="143">
      <x:c r="A143"/>
      <x:c r="B143"/>
      <x:c r="C143"/>
      <x:c r="D143"/>
    </x:row>
    <x:row r="144">
      <x:c r="A144"/>
      <x:c r="B144"/>
      <x:c r="C144"/>
      <x:c r="D144"/>
    </x:row>
    <x:row r="145">
      <x:c r="A145"/>
      <x:c r="B145"/>
      <x:c r="C145"/>
      <x:c r="D145"/>
    </x:row>
    <x:row r="146">
      <x:c r="A146"/>
      <x:c r="B146"/>
      <x:c r="C146"/>
      <x:c r="D146"/>
    </x:row>
    <x:row r="147">
      <x:c r="A147"/>
      <x:c r="B147"/>
      <x:c r="C147"/>
      <x:c r="D147"/>
    </x:row>
    <x:row r="148">
      <x:c r="A148"/>
      <x:c r="B148"/>
      <x:c r="C148"/>
      <x:c r="D148"/>
    </x:row>
    <x:row r="149">
      <x:c r="A149"/>
      <x:c r="B149"/>
      <x:c r="C149"/>
      <x:c r="D149"/>
    </x:row>
    <x:row r="150">
      <x:c r="A150"/>
      <x:c r="B150"/>
      <x:c r="C150"/>
      <x:c r="D150"/>
    </x:row>
    <x:row r="151">
      <x:c r="A151"/>
      <x:c r="B151"/>
      <x:c r="C151"/>
      <x:c r="D151"/>
    </x:row>
    <x:row r="152">
      <x:c r="A152"/>
      <x:c r="B152"/>
      <x:c r="C152"/>
      <x:c r="D152"/>
    </x:row>
    <x:row r="153">
      <x:c r="A153"/>
      <x:c r="B153"/>
      <x:c r="C153"/>
      <x:c r="D153"/>
    </x:row>
    <x:row r="154">
      <x:c r="A154"/>
      <x:c r="B154"/>
      <x:c r="C154"/>
      <x:c r="D154"/>
    </x:row>
    <x:row r="155">
      <x:c r="A155"/>
      <x:c r="B155"/>
      <x:c r="C155"/>
      <x:c r="D155"/>
    </x:row>
    <x:row r="156">
      <x:c r="A156"/>
      <x:c r="B156"/>
      <x:c r="C156"/>
      <x:c r="D156"/>
    </x:row>
    <x:row r="157">
      <x:c r="A157"/>
      <x:c r="B157"/>
      <x:c r="C157"/>
      <x:c r="D157"/>
    </x:row>
    <x:row r="158">
      <x:c r="A158"/>
      <x:c r="B158"/>
      <x:c r="C158"/>
      <x:c r="D158"/>
    </x:row>
    <x:row r="159">
      <x:c r="A159"/>
      <x:c r="B159"/>
      <x:c r="C159"/>
      <x:c r="D159"/>
    </x:row>
    <x:row r="160">
      <x:c r="A160"/>
      <x:c r="B160"/>
      <x:c r="C160"/>
      <x:c r="D160"/>
    </x:row>
  </x:sheetData>
  <x:pageMargins left="0.7" right="0.7" top="0.75" bottom="0.75" header="0.3" footer="0.3"/>
</x:worksheet>
</file>