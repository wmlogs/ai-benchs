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5f2abcef8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баллов" sheetId="1" r:id="R2d727a6421a6438e"/>
    <x:sheet xmlns:r="http://schemas.openxmlformats.org/officeDocument/2006/relationships" name="Детальная оценка" sheetId="2" r:id="Ra4a7e554a0474c84"/>
    <x:sheet xmlns:r="http://schemas.openxmlformats.org/officeDocument/2006/relationships" name="Замечания" sheetId="3" r:id="R3e9f5ec21bf14ed8"/>
    <x:sheet xmlns:r="http://schemas.openxmlformats.org/officeDocument/2006/relationships" name="Сводка моделей" sheetId="4" r:id="R67645073961b45aa"/>
    <x:sheet xmlns:r="http://schemas.openxmlformats.org/officeDocument/2006/relationships" name="Методика" sheetId="5" r:id="Rfa908e99abba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1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6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0" xfId="0" applyNumberFormat="1" applyFont="1" applyFill="1" applyBorder="1" applyAlignment="1">
      <x:alignment vertical="center" wrapText="1"/>
    </x:xf>
    <x:xf numFmtId="0" fontId="2" fillId="3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vertical="center" wrapText="1"/>
    </x:xf>
    <x:xf numFmtId="0" fontId="2" fillId="3" borderId="28" xfId="0" applyNumberFormat="1" applyFont="1" applyFill="1" applyBorder="1" applyAlignment="1">
      <x:alignment vertical="center" wrapText="1"/>
    </x:xf>
    <x:xf numFmtId="0" fontId="2" fillId="3" borderId="29" xfId="0" applyNumberFormat="1" applyFont="1" applyFill="1" applyBorder="1" applyAlignment="1">
      <x:alignment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200" fontId="2" fillId="3" borderId="24" xfId="0" applyNumberFormat="1" applyFont="1" applyFill="1" applyBorder="1" applyAlignment="1">
      <x:alignment horizontal="center" vertical="center" wrapText="1"/>
    </x:xf>
    <x:xf numFmtId="200" fontId="2" fillId="3" borderId="25" xfId="0" applyNumberFormat="1" applyFont="1" applyFill="1" applyBorder="1" applyAlignment="1">
      <x:alignment horizontal="center" vertical="center" wrapText="1"/>
    </x:xf>
    <x:xf numFmtId="200" fontId="2" fillId="3" borderId="26" xfId="0" applyNumberFormat="1" applyFont="1" applyFill="1" applyBorder="1" applyAlignment="1">
      <x:alignment horizontal="center" vertical="center" wrapText="1"/>
    </x:xf>
    <x:xf numFmtId="200" fontId="2" fillId="3" borderId="27" xfId="0" applyNumberFormat="1" applyFont="1" applyFill="1" applyBorder="1" applyAlignment="1">
      <x:alignment horizontal="center" vertical="center" wrapText="1"/>
    </x:xf>
    <x:xf numFmtId="200" fontId="2" fillId="3" borderId="28" xfId="0" applyNumberFormat="1" applyFont="1" applyFill="1" applyBorder="1" applyAlignment="1">
      <x:alignment horizontal="center" vertical="center" wrapText="1"/>
    </x:xf>
    <x:xf numFmtId="200" fontId="2" fillId="3" borderId="29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5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5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/>
    <x:xf numFmtId="0" fontId="1" fillId="2" borderId="18" xfId="0" applyNumberFormat="1" applyFont="1" applyFill="1" applyBorder="1"/>
    <x:xf numFmtId="0" fontId="1" fillId="2" borderId="19" xfId="0" applyNumberFormat="1" applyFont="1" applyFill="1" applyBorder="1"/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1" fillId="2" borderId="23" xfId="0" applyNumberFormat="1" applyFont="1" applyFill="1" applyBorder="1"/>
    <x:xf numFmtId="0" fontId="1" fillId="2" borderId="16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wrapText="1"/>
    </x:xf>
    <x:xf numFmtId="0" fontId="1" fillId="2" borderId="21" xfId="0" applyNumberFormat="1" applyFont="1" applyFill="1" applyBorder="1" applyAlignment="1">
      <x:alignment wrapText="1"/>
    </x:xf>
    <x:xf numFmtId="0" fontId="1" fillId="2" borderId="23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horizontal="center" wrapText="1"/>
    </x:xf>
    <x:xf numFmtId="0" fontId="1" fillId="2" borderId="21" xfId="0" applyNumberFormat="1" applyFont="1" applyFill="1" applyBorder="1" applyAlignment="1">
      <x:alignment horizontal="center" wrapText="1"/>
    </x:xf>
    <x:xf numFmtId="0" fontId="1" fillId="2" borderId="23" xfId="0" applyNumberFormat="1" applyFont="1" applyFill="1" applyBorder="1" applyAlignment="1">
      <x:alignment horizont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wrapText="1"/>
    </x:xf>
    <x:xf numFmtId="0" fontId="2" fillId="3" borderId="28" xfId="0" applyNumberFormat="1" applyFont="1" applyFill="1" applyBorder="1"/>
    <x:xf numFmtId="0" fontId="2" fillId="3" borderId="29" xfId="0" applyNumberFormat="1" applyFont="1" applyFill="1" applyBorder="1"/>
    <x:xf numFmtId="0" fontId="2" fillId="3" borderId="28" xfId="0" applyNumberFormat="1" applyFont="1" applyFill="1" applyBorder="1" applyAlignment="1">
      <x:alignment wrapText="1"/>
    </x:xf>
    <x:xf numFmtId="0" fontId="2" fillId="3" borderId="29" xfId="0" applyNumberFormat="1" applyFont="1" applyFill="1" applyBorder="1" applyAlignment="1">
      <x:alignment wrapText="1"/>
    </x:xf>
    <x:xf numFmtId="0" fontId="2" fillId="3" borderId="28" xfId="0" applyNumberFormat="1" applyFont="1" applyFill="1" applyBorder="1" applyAlignment="1">
      <x:alignment horizontal="center" wrapText="1"/>
    </x:xf>
    <x:xf numFmtId="0" fontId="2" fillId="3" borderId="29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2" fillId="3" borderId="5" xfId="0" applyNumberFormat="1" applyFont="1" applyFill="1" applyBorder="1" applyAlignment="1">
      <x:alignment horizontal="center" vertical="center" wrapText="1"/>
    </x:xf>
    <x:xf numFmtId="200" fontId="2" fillId="3" borderId="6" xfId="0" applyNumberFormat="1" applyFont="1" applyFill="1" applyBorder="1" applyAlignment="1">
      <x:alignment horizontal="center" vertical="center" wrapText="1"/>
    </x:xf>
    <x:xf numFmtId="200" fontId="2" fillId="3" borderId="7" xfId="0" applyNumberFormat="1" applyFont="1" applyFill="1" applyBorder="1" applyAlignment="1">
      <x:alignment horizontal="center" vertical="center" wrapText="1"/>
    </x:xf>
    <x:xf numFmtId="201" fontId="2" fillId="3" borderId="24" xfId="0" applyNumberFormat="1" applyFont="1" applyFill="1" applyBorder="1" applyAlignment="1">
      <x:alignment horizontal="center" vertical="center" wrapText="1"/>
    </x:xf>
    <x:xf numFmtId="201" fontId="2" fillId="3" borderId="25" xfId="0" applyNumberFormat="1" applyFont="1" applyFill="1" applyBorder="1" applyAlignment="1">
      <x:alignment horizontal="center" vertical="center" wrapText="1"/>
    </x:xf>
    <x:xf numFmtId="201" fontId="2" fillId="3" borderId="26" xfId="0" applyNumberFormat="1" applyFont="1" applyFill="1" applyBorder="1" applyAlignment="1">
      <x:alignment horizontal="center" vertical="center" wrapText="1"/>
    </x:xf>
    <x:xf numFmtId="201" fontId="2" fillId="3" borderId="27" xfId="0" applyNumberFormat="1" applyFont="1" applyFill="1" applyBorder="1" applyAlignment="1">
      <x:alignment horizontal="center" vertical="center" wrapText="1"/>
    </x:xf>
    <x:xf numFmtId="201" fontId="2" fillId="3" borderId="28" xfId="0" applyNumberFormat="1" applyFont="1" applyFill="1" applyBorder="1" applyAlignment="1">
      <x:alignment horizontal="center" vertical="center" wrapText="1"/>
    </x:xf>
    <x:xf numFmtId="201" fontId="2" fillId="3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4" borderId="24" xfId="0" applyNumberFormat="1" applyFont="1" applyFill="1" applyBorder="1" applyAlignment="1">
      <x:alignment horizontal="center" vertical="center" wrapText="1"/>
    </x:xf>
    <x:xf numFmtId="200" fontId="2" fillId="4" borderId="25" xfId="0" applyNumberFormat="1" applyFont="1" applyFill="1" applyBorder="1" applyAlignment="1">
      <x:alignment horizontal="center" vertical="center" wrapText="1"/>
    </x:xf>
    <x:xf numFmtId="200" fontId="2" fillId="4" borderId="26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0" fontId="2" fillId="4" borderId="2" xfId="0" applyNumberFormat="1" applyFont="1" applyFill="1" applyBorder="1" applyAlignment="1">
      <x:alignment horizontal="center" vertical="center" wrapText="1"/>
    </x:xf>
    <x:xf numFmtId="200" fontId="2" fillId="4" borderId="3" xfId="0" applyNumberFormat="1" applyFont="1" applyFill="1" applyBorder="1" applyAlignment="1">
      <x:alignment horizontal="center" vertical="center" wrapText="1"/>
    </x:xf>
    <x:xf numFmtId="200" fontId="2" fillId="4" borderId="4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201" fontId="2" fillId="4" borderId="2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201" fontId="2" fillId="4" borderId="25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201" fontId="2" fillId="4" borderId="26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xfId="0" applyNumberFormat="1" applyFont="1" applyFill="1" applyBorder="0" applyAlignment="1">
      <x:alignment vertical="center" wrapText="1"/>
    </x:xf>
    <x:xf numFmtId="0" fontId="2" fillId="4" borderId="11" xfId="0" applyNumberFormat="1" applyFont="1" applyFill="1" applyBorder="1"/>
    <x:xf numFmtId="0" fontId="2" fillId="4" xfId="0" applyNumberFormat="1" applyFont="1" applyFill="1" applyBorder="0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1" xfId="0" applyNumberFormat="1" applyFont="1" applyFill="1" applyBorder="1" applyAlignment="1">
      <x:alignment wrapText="1"/>
    </x:xf>
    <x:xf numFmtId="0" fontId="2" fillId="4" xfId="0" applyNumberFormat="1" applyFont="1" applyFill="1" applyBorder="0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vertical="center" wrapText="1"/>
    </x:xf>
    <x:xf numFmtId="0" fontId="2" fillId="4" borderId="26" xfId="0" applyNumberFormat="1" applyFont="1" applyFill="1" applyBorder="1" applyAlignment="1">
      <x:alignment vertical="center" wrapText="1"/>
    </x:xf>
    <x:xf numFmtId="0" fontId="2" fillId="4" borderId="25" xfId="0" applyNumberFormat="1" applyFont="1" applyFill="1" applyBorder="1" applyAlignment="1">
      <x:alignment horizontal="center" vertical="center" wrapText="1"/>
    </x:xf>
    <x:xf numFmtId="0" fontId="2" fillId="4" borderId="26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3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200" fontId="2" fillId="5" borderId="24" xfId="0" applyNumberFormat="1" applyFont="1" applyFill="1" applyBorder="1" applyAlignment="1">
      <x:alignment horizontal="center" vertical="center" wrapText="1"/>
    </x:xf>
    <x:xf numFmtId="200" fontId="2" fillId="5" borderId="25" xfId="0" applyNumberFormat="1" applyFont="1" applyFill="1" applyBorder="1" applyAlignment="1">
      <x:alignment horizontal="center" vertical="center" wrapText="1"/>
    </x:xf>
    <x:xf numFmtId="200" fontId="2" fillId="5" borderId="26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0" fontId="2" fillId="5" borderId="3" xfId="0" applyNumberFormat="1" applyFont="1" applyFill="1" applyBorder="1" applyAlignment="1">
      <x:alignment horizontal="center" vertical="center" wrapText="1"/>
    </x:xf>
    <x:xf numFmtId="200" fontId="2" fillId="5" borderId="4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201" fontId="2" fillId="5" borderId="24" xfId="0" applyNumberFormat="1" applyFont="1" applyFill="1" applyBorder="1" applyAlignment="1">
      <x:alignment horizontal="center"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xfId="0" applyNumberFormat="1" applyFont="1" applyFill="1" applyBorder="0" applyAlignment="1">
      <x:alignment vertical="center" wrapText="1"/>
    </x:xf>
    <x:xf numFmtId="201" fontId="2" fillId="5" borderId="25" xfId="0" applyNumberFormat="1" applyFont="1" applyFill="1" applyBorder="1" applyAlignment="1">
      <x:alignment horizontal="center"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2" fillId="5" borderId="13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201" fontId="2" fillId="5" borderId="26" xfId="0" applyNumberFormat="1" applyFont="1" applyFill="1" applyBorder="1" applyAlignment="1">
      <x:alignment horizontal="center" vertical="center" wrapText="1"/>
    </x:xf>
    <x:xf numFmtId="0" fontId="2" fillId="5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1" xfId="0" applyNumberFormat="1" applyFont="1" applyFill="1" applyBorder="1"/>
    <x:xf numFmtId="0" fontId="2" fillId="5" xfId="0" applyNumberFormat="1" applyFont="1" applyFill="1" applyBorder="0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1" xfId="0" applyNumberFormat="1" applyFont="1" applyFill="1" applyBorder="1" applyAlignment="1">
      <x:alignment wrapText="1"/>
    </x:xf>
    <x:xf numFmtId="0" fontId="2" fillId="5" xfId="0" applyNumberFormat="1" applyFont="1" applyFill="1" applyBorder="0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vertical="center" wrapText="1"/>
    </x:xf>
    <x:xf numFmtId="0" fontId="2" fillId="5" borderId="26" xfId="0" applyNumberFormat="1" applyFont="1" applyFill="1" applyBorder="1" applyAlignment="1">
      <x:alignment vertical="center" wrapText="1"/>
    </x:xf>
    <x:xf numFmtId="0" fontId="2" fillId="5" borderId="25" xfId="0" applyNumberFormat="1" applyFont="1" applyFill="1" applyBorder="1" applyAlignment="1">
      <x:alignment horizontal="center" vertical="center" wrapText="1"/>
    </x:xf>
    <x:xf numFmtId="0" fontId="2" fillId="5" borderId="2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200" fontId="2" fillId="6" borderId="24" xfId="0" applyNumberFormat="1" applyFont="1" applyFill="1" applyBorder="1" applyAlignment="1">
      <x:alignment horizontal="center" vertical="center" wrapText="1"/>
    </x:xf>
    <x:xf numFmtId="200" fontId="2" fillId="6" borderId="25" xfId="0" applyNumberFormat="1" applyFont="1" applyFill="1" applyBorder="1" applyAlignment="1">
      <x:alignment horizontal="center" vertical="center" wrapText="1"/>
    </x:xf>
    <x:xf numFmtId="200" fontId="2" fillId="6" borderId="26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200" fontId="2" fillId="6" borderId="2" xfId="0" applyNumberFormat="1" applyFont="1" applyFill="1" applyBorder="1" applyAlignment="1">
      <x:alignment horizontal="center" vertical="center" wrapText="1"/>
    </x:xf>
    <x:xf numFmtId="200" fontId="2" fillId="6" borderId="3" xfId="0" applyNumberFormat="1" applyFont="1" applyFill="1" applyBorder="1" applyAlignment="1">
      <x:alignment horizontal="center" vertical="center" wrapText="1"/>
    </x:xf>
    <x:xf numFmtId="200" fontId="2" fillId="6" borderId="4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201" fontId="2" fillId="6" borderId="24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xfId="0" applyNumberFormat="1" applyFont="1" applyFill="1" applyBorder="0" applyAlignment="1">
      <x:alignment vertical="center" wrapText="1"/>
    </x:xf>
    <x:xf numFmtId="201" fontId="2" fillId="6" borderId="25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201" fontId="2" fillId="6" borderId="26" xfId="0" applyNumberFormat="1" applyFont="1" applyFill="1" applyBorder="1" applyAlignment="1">
      <x:alignment horizontal="center"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1" xfId="0" applyNumberFormat="1" applyFont="1" applyFill="1" applyBorder="1"/>
    <x:xf numFmtId="0" fontId="2" fillId="6" xfId="0" applyNumberFormat="1" applyFont="1" applyFill="1" applyBorder="0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1" xfId="0" applyNumberFormat="1" applyFont="1" applyFill="1" applyBorder="1" applyAlignment="1">
      <x:alignment wrapText="1"/>
    </x:xf>
    <x:xf numFmtId="0" fontId="2" fillId="6" xfId="0" applyNumberFormat="1" applyFont="1" applyFill="1" applyBorder="0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vertical="center" wrapText="1"/>
    </x:xf>
    <x:xf numFmtId="0" fontId="2" fillId="6" borderId="26" xfId="0" applyNumberFormat="1" applyFont="1" applyFill="1" applyBorder="1" applyAlignment="1">
      <x:alignment vertical="center" wrapText="1"/>
    </x:xf>
    <x:xf numFmtId="0" fontId="2" fillId="6" borderId="25" xfId="0" applyNumberFormat="1" applyFont="1" applyFill="1" applyBorder="1" applyAlignment="1">
      <x:alignment horizontal="center" vertical="center" wrapText="1"/>
    </x:xf>
    <x:xf numFmtId="0" fontId="2" fillId="6" borderId="26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200" fontId="2" fillId="7" borderId="24" xfId="0" applyNumberFormat="1" applyFont="1" applyFill="1" applyBorder="1" applyAlignment="1">
      <x:alignment horizontal="center" vertical="center" wrapText="1"/>
    </x:xf>
    <x:xf numFmtId="200" fontId="2" fillId="7" borderId="25" xfId="0" applyNumberFormat="1" applyFont="1" applyFill="1" applyBorder="1" applyAlignment="1">
      <x:alignment horizontal="center" vertical="center" wrapText="1"/>
    </x:xf>
    <x:xf numFmtId="200" fontId="2" fillId="7" borderId="2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200" fontId="2" fillId="7" borderId="2" xfId="0" applyNumberFormat="1" applyFont="1" applyFill="1" applyBorder="1" applyAlignment="1">
      <x:alignment horizontal="center" vertical="center" wrapText="1"/>
    </x:xf>
    <x:xf numFmtId="200" fontId="2" fillId="7" borderId="3" xfId="0" applyNumberFormat="1" applyFont="1" applyFill="1" applyBorder="1" applyAlignment="1">
      <x:alignment horizontal="center" vertical="center" wrapText="1"/>
    </x:xf>
    <x:xf numFmtId="200" fontId="2" fillId="7" borderId="4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201" fontId="2" fillId="7" borderId="24" xfId="0" applyNumberFormat="1" applyFont="1" applyFill="1" applyBorder="1" applyAlignment="1">
      <x:alignment horizontal="center" vertical="center" wrapText="1"/>
    </x:xf>
    <x:xf numFmtId="0" fontId="2" fillId="7" borderId="10" xfId="0" applyNumberFormat="1" applyFont="1" applyFill="1" applyBorder="1" applyAlignment="1">
      <x:alignment vertical="center" wrapText="1"/>
    </x:xf>
    <x:xf numFmtId="0" fontId="2" fillId="7" borderId="11" xfId="0" applyNumberFormat="1" applyFont="1" applyFill="1" applyBorder="1" applyAlignment="1">
      <x:alignment vertical="center" wrapText="1"/>
    </x:xf>
    <x:xf numFmtId="0" fontId="2" fillId="7" xfId="0" applyNumberFormat="1" applyFont="1" applyFill="1" applyBorder="0" applyAlignment="1">
      <x:alignment vertical="center" wrapText="1"/>
    </x:xf>
    <x:xf numFmtId="201" fontId="2" fillId="7" borderId="25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2" fillId="7" borderId="13" xfId="0" applyNumberFormat="1" applyFont="1" applyFill="1" applyBorder="1" applyAlignment="1">
      <x:alignment vertical="center" wrapText="1"/>
    </x:xf>
    <x:xf numFmtId="0" fontId="2" fillId="7" borderId="14" xfId="0" applyNumberFormat="1" applyFont="1" applyFill="1" applyBorder="1" applyAlignment="1">
      <x:alignment vertical="center" wrapText="1"/>
    </x:xf>
    <x:xf numFmtId="201" fontId="2" fillId="7" borderId="26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1" xfId="0" applyNumberFormat="1" applyFont="1" applyFill="1" applyBorder="1"/>
    <x:xf numFmtId="0" fontId="2" fillId="7" xfId="0" applyNumberFormat="1" applyFont="1" applyFill="1" applyBorder="0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1" xfId="0" applyNumberFormat="1" applyFont="1" applyFill="1" applyBorder="1" applyAlignment="1">
      <x:alignment wrapText="1"/>
    </x:xf>
    <x:xf numFmtId="0" fontId="2" fillId="7" xfId="0" applyNumberFormat="1" applyFont="1" applyFill="1" applyBorder="0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25" xfId="0" applyNumberFormat="1" applyFont="1" applyFill="1" applyBorder="1" applyAlignment="1">
      <x:alignment vertical="center" wrapText="1"/>
    </x:xf>
    <x:xf numFmtId="0" fontId="2" fillId="7" borderId="26" xfId="0" applyNumberFormat="1" applyFont="1" applyFill="1" applyBorder="1" applyAlignment="1">
      <x:alignment vertical="center" wrapText="1"/>
    </x:xf>
    <x:xf numFmtId="0" fontId="2" fillId="7" borderId="25" xfId="0" applyNumberFormat="1" applyFont="1" applyFill="1" applyBorder="1" applyAlignment="1">
      <x:alignment horizontal="center" vertical="center" wrapText="1"/>
    </x:xf>
    <x:xf numFmtId="0" fontId="2" fillId="7" borderId="26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200" fontId="2" fillId="8" borderId="24" xfId="0" applyNumberFormat="1" applyFont="1" applyFill="1" applyBorder="1" applyAlignment="1">
      <x:alignment horizontal="center" vertical="center" wrapText="1"/>
    </x:xf>
    <x:xf numFmtId="200" fontId="2" fillId="8" borderId="25" xfId="0" applyNumberFormat="1" applyFont="1" applyFill="1" applyBorder="1" applyAlignment="1">
      <x:alignment horizontal="center" vertical="center" wrapText="1"/>
    </x:xf>
    <x:xf numFmtId="200" fontId="2" fillId="8" borderId="26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200" fontId="2" fillId="8" borderId="2" xfId="0" applyNumberFormat="1" applyFont="1" applyFill="1" applyBorder="1" applyAlignment="1">
      <x:alignment horizontal="center" vertical="center" wrapText="1"/>
    </x:xf>
    <x:xf numFmtId="200" fontId="2" fillId="8" borderId="3" xfId="0" applyNumberFormat="1" applyFont="1" applyFill="1" applyBorder="1" applyAlignment="1">
      <x:alignment horizontal="center" vertical="center" wrapText="1"/>
    </x:xf>
    <x:xf numFmtId="200" fontId="2" fillId="8" borderId="4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1" fontId="2" fillId="8" borderId="24" xfId="0" applyNumberFormat="1" applyFont="1" applyFill="1" applyBorder="1" applyAlignment="1">
      <x:alignment horizontal="center" vertical="center" wrapText="1"/>
    </x:xf>
    <x:xf numFmtId="0" fontId="2" fillId="8" borderId="10" xfId="0" applyNumberFormat="1" applyFont="1" applyFill="1" applyBorder="1" applyAlignment="1">
      <x:alignment vertical="center" wrapText="1"/>
    </x:xf>
    <x:xf numFmtId="0" fontId="2" fillId="8" borderId="1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201" fontId="2" fillId="8" borderId="25" xfId="0" applyNumberFormat="1" applyFont="1" applyFill="1" applyBorder="1" applyAlignment="1">
      <x:alignment horizontal="center" vertical="center" wrapText="1"/>
    </x:xf>
    <x:xf numFmtId="0" fontId="2" fillId="8" borderId="12" xfId="0" applyNumberFormat="1" applyFont="1" applyFill="1" applyBorder="1" applyAlignment="1">
      <x:alignment vertical="center" wrapText="1"/>
    </x:xf>
    <x:xf numFmtId="0" fontId="2" fillId="8" borderId="13" xfId="0" applyNumberFormat="1" applyFont="1" applyFill="1" applyBorder="1" applyAlignment="1">
      <x:alignment vertical="center" wrapText="1"/>
    </x:xf>
    <x:xf numFmtId="0" fontId="2" fillId="8" borderId="14" xfId="0" applyNumberFormat="1" applyFont="1" applyFill="1" applyBorder="1" applyAlignment="1">
      <x:alignment vertical="center" wrapText="1"/>
    </x:xf>
    <x:xf numFmtId="201" fontId="2" fillId="8" borderId="26" xfId="0" applyNumberFormat="1" applyFont="1" applyFill="1" applyBorder="1" applyAlignment="1">
      <x:alignment horizontal="center" vertical="center" wrapText="1"/>
    </x:xf>
    <x:xf numFmtId="0" fontId="2" fillId="8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1" xfId="0" applyNumberFormat="1" applyFont="1" applyFill="1" applyBorder="1"/>
    <x:xf numFmtId="0" fontId="2" fillId="8" xfId="0" applyNumberFormat="1" applyFont="1" applyFill="1" applyBorder="0"/>
    <x:xf numFmtId="0" fontId="2" fillId="8" borderId="12" xfId="0" applyNumberFormat="1" applyFont="1" applyFill="1" applyBorder="1"/>
    <x:xf numFmtId="0" fontId="2" fillId="8" borderId="13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1" xfId="0" applyNumberFormat="1" applyFont="1" applyFill="1" applyBorder="1" applyAlignment="1">
      <x:alignment wrapText="1"/>
    </x:xf>
    <x:xf numFmtId="0" fontId="2" fillId="8" xfId="0" applyNumberFormat="1" applyFont="1" applyFill="1" applyBorder="0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25" xfId="0" applyNumberFormat="1" applyFont="1" applyFill="1" applyBorder="1" applyAlignment="1">
      <x:alignment vertical="center" wrapText="1"/>
    </x:xf>
    <x:xf numFmtId="0" fontId="2" fillId="8" borderId="26" xfId="0" applyNumberFormat="1" applyFont="1" applyFill="1" applyBorder="1" applyAlignment="1">
      <x:alignment vertical="center" wrapText="1"/>
    </x:xf>
    <x:xf numFmtId="0" fontId="2" fillId="8" borderId="25" xfId="0" applyNumberFormat="1" applyFont="1" applyFill="1" applyBorder="1" applyAlignment="1">
      <x:alignment horizontal="center" vertical="center" wrapText="1"/>
    </x:xf>
    <x:xf numFmtId="0" fontId="2" fillId="8" borderId="26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/>
    <x:xf numFmtId="0" fontId="2" fillId="8" borderId="9" xfId="0" applyNumberFormat="1" applyFont="1" applyFill="1" applyBorder="1"/>
    <x:xf numFmtId="0" fontId="2" fillId="8" borderId="10" xfId="0" applyNumberFormat="1" applyFont="1" applyFill="1" applyBorder="1"/>
    <x:xf numFmtId="0" fontId="2" fillId="8" borderId="8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10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30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/>
    <x:xf numFmtId="0" fontId="1" fillId="9" borderId="4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wrapText="1"/>
    </x:xf>
    <x:xf numFmtId="200" fontId="2" fillId="10" borderId="24" xfId="0" applyNumberFormat="1" applyFont="1" applyFill="1" applyBorder="1" applyAlignment="1">
      <x:alignment horizontal="center" vertical="center" wrapText="1"/>
    </x:xf>
    <x:xf numFmtId="200" fontId="2" fillId="10" borderId="25" xfId="0" applyNumberFormat="1" applyFont="1" applyFill="1" applyBorder="1" applyAlignment="1">
      <x:alignment horizontal="center" vertical="center" wrapText="1"/>
    </x:xf>
    <x:xf numFmtId="200" fontId="2" fillId="10" borderId="2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4" xfId="0" applyNumberFormat="1" applyFont="1" applyFill="1" applyBorder="1"/>
    <x:xf numFmtId="0" fontId="2" fillId="10" borderId="25" xfId="0" applyNumberFormat="1" applyFont="1" applyFill="1" applyBorder="1"/>
    <x:xf numFmtId="0" fontId="2" fillId="10" borderId="26" xfId="0" applyNumberFormat="1" applyFont="1" applyFill="1" applyBorder="1"/>
    <x:xf numFmtId="0" fontId="2" fillId="10" borderId="24" xfId="0" applyNumberFormat="1" applyFont="1" applyFill="1" applyBorder="1" applyAlignment="1">
      <x:alignment wrapText="1"/>
    </x:xf>
    <x:xf numFmtId="0" fontId="2" fillId="10" borderId="25" xfId="0" applyNumberFormat="1" applyFont="1" applyFill="1" applyBorder="1" applyAlignment="1">
      <x:alignment wrapText="1"/>
    </x:xf>
    <x:xf numFmtId="0" fontId="2" fillId="10" borderId="26" xfId="0" applyNumberFormat="1" applyFont="1" applyFill="1" applyBorder="1" applyAlignment="1">
      <x:alignment wrapText="1"/>
    </x:xf>
    <x:xf numFmtId="0" fontId="2" fillId="10" borderId="24" xfId="0" applyNumberFormat="1" applyFont="1" applyFill="1" applyBorder="1" applyAlignment="1">
      <x:alignment horizontal="center" wrapText="1"/>
    </x:xf>
    <x:xf numFmtId="0" fontId="2" fillId="10" borderId="25" xfId="0" applyNumberFormat="1" applyFont="1" applyFill="1" applyBorder="1" applyAlignment="1">
      <x:alignment horizontal="center" wrapText="1"/>
    </x:xf>
    <x:xf numFmtId="0" fontId="2" fillId="10" borderId="26" xfId="0" applyNumberFormat="1" applyFont="1" applyFill="1" applyBorder="1" applyAlignment="1">
      <x:alignment horizontal="center" wrapText="1"/>
    </x:xf>
    <x:xf numFmtId="0" fontId="2" fillId="10" borderId="24" xfId="0" applyNumberFormat="1" applyFont="1" applyFill="1" applyBorder="1" applyAlignment="1">
      <x:alignment horizontal="center" vertical="center" wrapText="1"/>
    </x:xf>
    <x:xf numFmtId="0" fontId="2" fillId="10" borderId="25" xfId="0" applyNumberFormat="1" applyFont="1" applyFill="1" applyBorder="1" applyAlignment="1">
      <x:alignment horizontal="center" vertical="center" wrapText="1"/>
    </x:xf>
    <x:xf numFmtId="0" fontId="2" fillId="10" borderId="26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2" fillId="10" borderId="10" xfId="0" applyNumberFormat="1" applyFont="1" applyFill="1" applyBorder="1" applyAlignment="1">
      <x:alignment vertical="center" wrapText="1"/>
    </x:xf>
    <x:xf numFmtId="0" fontId="2" fillId="10" borderId="12" xfId="0" applyNumberFormat="1" applyFont="1" applyFill="1" applyBorder="1" applyAlignment="1">
      <x:alignment vertical="center" wrapText="1"/>
    </x:xf>
    <x:xf numFmtId="0" fontId="2" fillId="10" borderId="15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vertical="center" wrapText="1"/>
    </x:xf>
    <x:xf numFmtId="0" fontId="2" fillId="10" borderId="25" xfId="0" applyNumberFormat="1" applyFont="1" applyFill="1" applyBorder="1" applyAlignment="1">
      <x:alignment vertical="center" wrapText="1"/>
    </x:xf>
    <x:xf numFmtId="0" fontId="2" fillId="10" borderId="26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0" fontId="2" fillId="10" borderId="2" xfId="0" applyNumberFormat="1" applyFont="1" applyFill="1" applyBorder="1" applyAlignment="1">
      <x:alignment wrapText="1"/>
    </x:xf>
    <x:xf numFmtId="0" fontId="2" fillId="10" borderId="3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vertical="center" wrapText="1"/>
    </x:xf>
    <x:xf numFmtId="0" fontId="2" fillId="10" borderId="3" xfId="0" applyNumberFormat="1" applyFont="1" applyFill="1" applyBorder="1" applyAlignment="1">
      <x:alignment vertical="center" wrapText="1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200" fontId="2" fillId="10" borderId="2" xfId="0" applyNumberFormat="1" applyFont="1" applyFill="1" applyBorder="1" applyAlignment="1">
      <x:alignment horizontal="center" vertical="center" wrapText="1"/>
    </x:xf>
    <x:xf numFmtId="200" fontId="2" fillId="10" borderId="3" xfId="0" applyNumberFormat="1" applyFont="1" applyFill="1" applyBorder="1" applyAlignment="1">
      <x:alignment horizontal="center" vertical="center" wrapText="1"/>
    </x:xf>
    <x:xf numFmtId="200" fontId="2" fillId="10" borderId="4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 applyAlignment="1">
      <x:alignment vertical="center" wrapText="1"/>
    </x:xf>
    <x:xf numFmtId="0" fontId="2" fillId="10" borderId="9" xfId="0" applyNumberFormat="1" applyFont="1" applyFill="1" applyBorder="1" applyAlignment="1">
      <x:alignment vertical="center" wrapText="1"/>
    </x:xf>
    <x:xf numFmtId="201" fontId="2" fillId="10" borderId="24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 applyAlignment="1">
      <x:alignment vertical="center" wrapText="1"/>
    </x:xf>
    <x:xf numFmtId="0" fontId="2" fillId="10" xfId="0" applyNumberFormat="1" applyFont="1" applyFill="1" applyBorder="0" applyAlignment="1">
      <x:alignment vertical="center" wrapText="1"/>
    </x:xf>
    <x:xf numFmtId="201" fontId="2" fillId="10" borderId="25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vertical="center" wrapText="1"/>
    </x:xf>
    <x:xf numFmtId="0" fontId="2" fillId="10" borderId="14" xfId="0" applyNumberFormat="1" applyFont="1" applyFill="1" applyBorder="1" applyAlignment="1">
      <x:alignment vertical="center" wrapText="1"/>
    </x:xf>
    <x:xf numFmtId="201" fontId="2" fillId="10" borderId="26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/>
    <x:xf numFmtId="0" fontId="2" fillId="10" borderId="9" xfId="0" applyNumberFormat="1" applyFont="1" applyFill="1" applyBorder="1"/>
    <x:xf numFmtId="0" fontId="2" fillId="10" borderId="10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2" fillId="10" borderId="15" xfId="0" applyNumberFormat="1" applyFont="1" applyFill="1" applyBorder="1"/>
    <x:xf numFmtId="0" fontId="2" fillId="10" borderId="8" xfId="0" applyNumberFormat="1" applyFont="1" applyFill="1" applyBorder="1" applyAlignment="1">
      <x:alignment wrapText="1"/>
    </x:xf>
    <x:xf numFmtId="0" fontId="2" fillId="10" borderId="9" xfId="0" applyNumberFormat="1" applyFont="1" applyFill="1" applyBorder="1" applyAlignment="1">
      <x:alignment wrapText="1"/>
    </x:xf>
    <x:xf numFmtId="0" fontId="2" fillId="10" borderId="10" xfId="0" applyNumberFormat="1" applyFont="1" applyFill="1" applyBorder="1" applyAlignment="1">
      <x:alignment wrapText="1"/>
    </x:xf>
    <x:xf numFmtId="0" fontId="2" fillId="10" borderId="13" xfId="0" applyNumberFormat="1" applyFont="1" applyFill="1" applyBorder="1" applyAlignment="1">
      <x:alignment wrapText="1"/>
    </x:xf>
    <x:xf numFmtId="0" fontId="2" fillId="10" borderId="14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30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/>
    <x:xf numFmtId="0" fontId="1" fillId="11" borderId="4" xfId="0" applyNumberFormat="1" applyFont="1" applyFill="1" applyBorder="1"/>
    <x:xf numFmtId="0" fontId="1" fillId="11" borderId="3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wrapText="1"/>
    </x:xf>
    <x:xf numFmtId="0" fontId="1" fillId="11" borderId="3" xfId="0" applyNumberFormat="1" applyFont="1" applyFill="1" applyBorder="1" applyAlignment="1">
      <x:alignment horizontal="center" wrapText="1"/>
    </x:xf>
    <x:xf numFmtId="0" fontId="1" fillId="11" borderId="4" xfId="0" applyNumberFormat="1" applyFont="1" applyFill="1" applyBorder="1" applyAlignment="1">
      <x:alignment horizont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200" fontId="2" fillId="12" borderId="24" xfId="0" applyNumberFormat="1" applyFont="1" applyFill="1" applyBorder="1" applyAlignment="1">
      <x:alignment horizontal="center" vertical="center" wrapText="1"/>
    </x:xf>
    <x:xf numFmtId="200" fontId="2" fillId="12" borderId="25" xfId="0" applyNumberFormat="1" applyFont="1" applyFill="1" applyBorder="1" applyAlignment="1">
      <x:alignment horizontal="center" vertical="center" wrapText="1"/>
    </x:xf>
    <x:xf numFmtId="200" fontId="2" fillId="12" borderId="2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4" xfId="0" applyNumberFormat="1" applyFont="1" applyFill="1" applyBorder="1"/>
    <x:xf numFmtId="0" fontId="2" fillId="12" borderId="25" xfId="0" applyNumberFormat="1" applyFont="1" applyFill="1" applyBorder="1"/>
    <x:xf numFmtId="0" fontId="2" fillId="12" borderId="26" xfId="0" applyNumberFormat="1" applyFont="1" applyFill="1" applyBorder="1"/>
    <x:xf numFmtId="0" fontId="2" fillId="12" borderId="24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wrapText="1"/>
    </x:xf>
    <x:xf numFmtId="0" fontId="2" fillId="12" borderId="26" xfId="0" applyNumberFormat="1" applyFont="1" applyFill="1" applyBorder="1" applyAlignment="1">
      <x:alignment wrapText="1"/>
    </x:xf>
    <x:xf numFmtId="0" fontId="2" fillId="12" borderId="24" xfId="0" applyNumberFormat="1" applyFont="1" applyFill="1" applyBorder="1" applyAlignment="1">
      <x:alignment horizontal="center" wrapText="1"/>
    </x:xf>
    <x:xf numFmtId="0" fontId="2" fillId="12" borderId="25" xfId="0" applyNumberFormat="1" applyFont="1" applyFill="1" applyBorder="1" applyAlignment="1">
      <x:alignment horizontal="center" wrapText="1"/>
    </x:xf>
    <x:xf numFmtId="0" fontId="2" fillId="12" borderId="26" xfId="0" applyNumberFormat="1" applyFont="1" applyFill="1" applyBorder="1" applyAlignment="1">
      <x:alignment horizontal="center" wrapText="1"/>
    </x:xf>
    <x:xf numFmtId="0" fontId="2" fillId="12" borderId="24" xfId="0" applyNumberFormat="1" applyFont="1" applyFill="1" applyBorder="1" applyAlignment="1">
      <x:alignment horizontal="center" vertical="center" wrapText="1"/>
    </x:xf>
    <x:xf numFmtId="0" fontId="2" fillId="12" borderId="25" xfId="0" applyNumberFormat="1" applyFont="1" applyFill="1" applyBorder="1" applyAlignment="1">
      <x:alignment horizontal="center" vertical="center" wrapText="1"/>
    </x:xf>
    <x:xf numFmtId="0" fontId="2" fillId="12" borderId="26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2" xfId="0" applyNumberFormat="1" applyFont="1" applyFill="1" applyBorder="1" applyAlignment="1">
      <x:alignment wrapText="1"/>
    </x:xf>
    <x:xf numFmtId="0" fontId="2" fillId="12" borderId="3" xfId="0" applyNumberFormat="1" applyFont="1" applyFill="1" applyBorder="1" applyAlignment="1">
      <x:alignment wrapText="1"/>
    </x:xf>
    <x:xf numFmtId="0" fontId="2" fillId="12" borderId="4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vertical="center" wrapText="1"/>
    </x:xf>
    <x:xf numFmtId="0" fontId="2" fillId="12" borderId="3" xfId="0" applyNumberFormat="1" applyFont="1" applyFill="1" applyBorder="1" applyAlignment="1">
      <x:alignment vertical="center" wrapText="1"/>
    </x:xf>
    <x:xf numFmtId="0" fontId="2" fillId="12" borderId="4" xfId="0" applyNumberFormat="1" applyFont="1" applyFill="1" applyBorder="1" applyAlignment="1">
      <x:alignment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200" fontId="2" fillId="12" borderId="2" xfId="0" applyNumberFormat="1" applyFont="1" applyFill="1" applyBorder="1" applyAlignment="1">
      <x:alignment horizontal="center" vertical="center" wrapText="1"/>
    </x:xf>
    <x:xf numFmtId="200" fontId="2" fillId="12" borderId="3" xfId="0" applyNumberFormat="1" applyFont="1" applyFill="1" applyBorder="1" applyAlignment="1">
      <x:alignment horizontal="center" vertical="center" wrapText="1"/>
    </x:xf>
    <x:xf numFmtId="200" fontId="2" fillId="12" borderId="4" xfId="0" applyNumberFormat="1" applyFont="1" applyFill="1" applyBorder="1" applyAlignment="1">
      <x:alignment horizontal="center" vertical="center" wrapText="1"/>
    </x:xf>
    <x:xf numFmtId="0" fontId="2" fillId="12" borderId="8" xfId="0" applyNumberFormat="1" applyFont="1" applyFill="1" applyBorder="1" applyAlignment="1">
      <x:alignment vertical="center" wrapText="1"/>
    </x:xf>
    <x:xf numFmtId="0" fontId="2" fillId="12" borderId="9" xfId="0" applyNumberFormat="1" applyFont="1" applyFill="1" applyBorder="1" applyAlignment="1">
      <x:alignment vertical="center" wrapText="1"/>
    </x:xf>
    <x:xf numFmtId="201" fontId="2" fillId="12" borderId="24" xfId="0" applyNumberFormat="1" applyFont="1" applyFill="1" applyBorder="1" applyAlignment="1">
      <x:alignment horizontal="center" vertical="center" wrapText="1"/>
    </x:xf>
    <x:xf numFmtId="0" fontId="2" fillId="12" borderId="10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 applyAlignment="1">
      <x:alignment vertical="center" wrapText="1"/>
    </x:xf>
    <x:xf numFmtId="0" fontId="2" fillId="12" xfId="0" applyNumberFormat="1" applyFont="1" applyFill="1" applyBorder="0" applyAlignment="1">
      <x:alignment vertical="center" wrapText="1"/>
    </x:xf>
    <x:xf numFmtId="201" fontId="2" fillId="12" borderId="25" xfId="0" applyNumberFormat="1" applyFont="1" applyFill="1" applyBorder="1" applyAlignment="1">
      <x:alignment horizontal="center" vertical="center" wrapText="1"/>
    </x:xf>
    <x:xf numFmtId="0" fontId="2" fillId="12" borderId="12" xfId="0" applyNumberFormat="1" applyFont="1" applyFill="1" applyBorder="1" applyAlignment="1">
      <x:alignment vertical="center" wrapText="1"/>
    </x:xf>
    <x:xf numFmtId="0" fontId="2" fillId="12" borderId="13" xfId="0" applyNumberFormat="1" applyFont="1" applyFill="1" applyBorder="1" applyAlignment="1">
      <x:alignment vertical="center" wrapText="1"/>
    </x:xf>
    <x:xf numFmtId="0" fontId="2" fillId="12" borderId="14" xfId="0" applyNumberFormat="1" applyFont="1" applyFill="1" applyBorder="1" applyAlignment="1">
      <x:alignment vertical="center" wrapText="1"/>
    </x:xf>
    <x:xf numFmtId="201" fontId="2" fillId="12" borderId="26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/>
    <x:xf numFmtId="0" fontId="2" fillId="12" xfId="0" applyNumberFormat="1" applyFont="1" applyFill="1" applyBorder="0"/>
    <x:xf numFmtId="0" fontId="2" fillId="12" borderId="12" xfId="0" applyNumberFormat="1" applyFont="1" applyFill="1" applyBorder="1"/>
    <x:xf numFmtId="0" fontId="2" fillId="12" borderId="13" xfId="0" applyNumberFormat="1" applyFont="1" applyFill="1" applyBorder="1"/>
    <x:xf numFmtId="0" fontId="2" fillId="12" borderId="14" xfId="0" applyNumberFormat="1" applyFont="1" applyFill="1" applyBorder="1"/>
    <x:xf numFmtId="0" fontId="2" fillId="12" borderId="15" xfId="0" applyNumberFormat="1" applyFont="1" applyFill="1" applyBorder="1"/>
    <x:xf numFmtId="0" fontId="2" fillId="12" borderId="11" xfId="0" applyNumberFormat="1" applyFont="1" applyFill="1" applyBorder="1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borderId="12" xfId="0" applyNumberFormat="1" applyFont="1" applyFill="1" applyBorder="1" applyAlignment="1">
      <x:alignment wrapText="1"/>
    </x:xf>
    <x:xf numFmtId="0" fontId="2" fillId="12" borderId="13" xfId="0" applyNumberFormat="1" applyFont="1" applyFill="1" applyBorder="1" applyAlignment="1">
      <x:alignment wrapText="1"/>
    </x:xf>
    <x:xf numFmtId="0" fontId="2" fillId="12" borderId="14" xfId="0" applyNumberFormat="1" applyFont="1" applyFill="1" applyBorder="1" applyAlignment="1">
      <x:alignment wrapText="1"/>
    </x:xf>
    <x:xf numFmtId="0" fontId="2" fillId="12" borderId="15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vertical="center" wrapText="1"/>
    </x:xf>
    <x:xf numFmtId="0" fontId="2" fillId="12" borderId="26" xfId="0" applyNumberFormat="1" applyFont="1" applyFill="1" applyBorder="1" applyAlignment="1">
      <x:alignment vertical="center" wrapText="1"/>
    </x:xf>
    <x:xf numFmtId="0" fontId="2" fillId="12" borderId="8" xfId="0" applyNumberFormat="1" applyFont="1" applyFill="1" applyBorder="1"/>
    <x:xf numFmtId="0" fontId="2" fillId="12" borderId="9" xfId="0" applyNumberFormat="1" applyFont="1" applyFill="1" applyBorder="1"/>
    <x:xf numFmtId="0" fontId="2" fillId="12" borderId="10" xfId="0" applyNumberFormat="1" applyFont="1" applyFill="1" applyBorder="1"/>
    <x:xf numFmtId="0" fontId="2" fillId="12" borderId="8" xfId="0" applyNumberFormat="1" applyFont="1" applyFill="1" applyBorder="1" applyAlignment="1">
      <x:alignment wrapText="1"/>
    </x:xf>
    <x:xf numFmtId="0" fontId="2" fillId="12" borderId="9" xfId="0" applyNumberFormat="1" applyFont="1" applyFill="1" applyBorder="1" applyAlignment="1">
      <x:alignment wrapText="1"/>
    </x:xf>
    <x:xf numFmtId="0" fontId="2" fillId="12" borderId="10" xfId="0" applyNumberFormat="1" applyFont="1" applyFill="1" applyBorder="1" applyAlignment="1">
      <x:alignment wrapText="1"/>
    </x:xf>
    <x:xf numFmtId="200" fontId="2" fillId="13" borderId="24" xfId="0" applyNumberFormat="1" applyFont="1" applyFill="1" applyBorder="1" applyAlignment="1">
      <x:alignment horizontal="center" vertical="center" wrapText="1"/>
    </x:xf>
    <x:xf numFmtId="200" fontId="2" fillId="13" borderId="25" xfId="0" applyNumberFormat="1" applyFont="1" applyFill="1" applyBorder="1" applyAlignment="1">
      <x:alignment horizontal="center" vertical="center" wrapText="1"/>
    </x:xf>
    <x:xf numFmtId="200" fontId="2" fillId="13" borderId="26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4" xfId="0" applyNumberFormat="1" applyFont="1" applyFill="1" applyBorder="1"/>
    <x:xf numFmtId="0" fontId="2" fillId="13" borderId="25" xfId="0" applyNumberFormat="1" applyFont="1" applyFill="1" applyBorder="1"/>
    <x:xf numFmtId="0" fontId="2" fillId="13" borderId="26" xfId="0" applyNumberFormat="1" applyFont="1" applyFill="1" applyBorder="1"/>
    <x:xf numFmtId="0" fontId="2" fillId="13" borderId="24" xfId="0" applyNumberFormat="1" applyFont="1" applyFill="1" applyBorder="1" applyAlignment="1">
      <x:alignment wrapText="1"/>
    </x:xf>
    <x:xf numFmtId="0" fontId="2" fillId="13" borderId="25" xfId="0" applyNumberFormat="1" applyFont="1" applyFill="1" applyBorder="1" applyAlignment="1">
      <x:alignment wrapText="1"/>
    </x:xf>
    <x:xf numFmtId="0" fontId="2" fillId="13" borderId="26" xfId="0" applyNumberFormat="1" applyFont="1" applyFill="1" applyBorder="1" applyAlignment="1">
      <x:alignment wrapText="1"/>
    </x:xf>
    <x:xf numFmtId="0" fontId="2" fillId="13" borderId="24" xfId="0" applyNumberFormat="1" applyFont="1" applyFill="1" applyBorder="1" applyAlignment="1">
      <x:alignment horizontal="center" wrapText="1"/>
    </x:xf>
    <x:xf numFmtId="0" fontId="2" fillId="13" borderId="25" xfId="0" applyNumberFormat="1" applyFont="1" applyFill="1" applyBorder="1" applyAlignment="1">
      <x:alignment horizontal="center" wrapText="1"/>
    </x:xf>
    <x:xf numFmtId="0" fontId="2" fillId="13" borderId="26" xfId="0" applyNumberFormat="1" applyFont="1" applyFill="1" applyBorder="1" applyAlignment="1">
      <x:alignment horizontal="center" wrapText="1"/>
    </x:xf>
    <x:xf numFmtId="0" fontId="2" fillId="13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2" fillId="13" borderId="26" xfId="0" applyNumberFormat="1" applyFont="1" applyFill="1" applyBorder="1" applyAlignment="1">
      <x:alignment horizontal="center" vertical="center" wrapText="1"/>
    </x:xf>
    <x:xf numFmtId="200" fontId="2" fillId="13" borderId="2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200" fontId="2" fillId="13" borderId="30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vertical="center" wrapText="1"/>
    </x:xf>
    <x:xf numFmtId="200" fontId="2" fillId="13" borderId="3" xfId="0" applyNumberFormat="1" applyFont="1" applyFill="1" applyBorder="1" applyAlignment="1">
      <x:alignment horizontal="center" vertical="center" wrapText="1"/>
    </x:xf>
    <x:xf numFmtId="200" fontId="2" fillId="13" borderId="4" xfId="0" applyNumberFormat="1" applyFont="1" applyFill="1" applyBorder="1" applyAlignment="1">
      <x:alignment horizontal="center" vertical="center" wrapText="1"/>
    </x:xf>
    <x:xf numFmtId="201" fontId="2" fillId="13" borderId="24" xfId="0" applyNumberFormat="1" applyFont="1" applyFill="1" applyBorder="1" applyAlignment="1">
      <x:alignment horizontal="center" vertical="center" wrapText="1"/>
    </x:xf>
    <x:xf numFmtId="201" fontId="2" fillId="13" borderId="25" xfId="0" applyNumberFormat="1" applyFont="1" applyFill="1" applyBorder="1" applyAlignment="1">
      <x:alignment horizontal="center" vertical="center" wrapText="1"/>
    </x:xf>
    <x:xf numFmtId="201" fontId="2" fillId="13" borderId="26" xfId="0" applyNumberFormat="1" applyFont="1" applyFill="1" applyBorder="1" applyAlignment="1">
      <x:alignment horizontal="center" vertical="center" wrapText="1"/>
    </x:xf>
    <x:xf numFmtId="200" fontId="2" fillId="3" borderId="30" xfId="0" applyNumberFormat="1" applyFont="1" applyFill="1" applyBorder="1" applyAlignment="1">
      <x:alignment horizontal="center" vertical="center" wrapText="1"/>
    </x:xf>
    <x:xf numFmtId="200" fontId="2" fillId="14" borderId="24" xfId="0" applyNumberFormat="1" applyFont="1" applyFill="1" applyBorder="1" applyAlignment="1">
      <x:alignment horizontal="center" vertical="center" wrapText="1"/>
    </x:xf>
    <x:xf numFmtId="200" fontId="2" fillId="14" borderId="25" xfId="0" applyNumberFormat="1" applyFont="1" applyFill="1" applyBorder="1" applyAlignment="1">
      <x:alignment horizontal="center" vertical="center" wrapText="1"/>
    </x:xf>
    <x:xf numFmtId="200" fontId="2" fillId="14" borderId="26" xfId="0" applyNumberFormat="1" applyFont="1" applyFill="1" applyBorder="1" applyAlignment="1">
      <x:alignment horizontal="center" vertical="center" wrapText="1"/>
    </x:xf>
    <x:xf numFmtId="200" fontId="2" fillId="14" borderId="30" xfId="0" applyNumberFormat="1" applyFont="1" applyFill="1" applyBorder="1" applyAlignment="1">
      <x:alignment horizontal="center" vertical="center" wrapText="1"/>
    </x:xf>
    <x:xf numFmtId="201" fontId="2" fillId="14" borderId="24" xfId="0" applyNumberFormat="1" applyFont="1" applyFill="1" applyBorder="1" applyAlignment="1">
      <x:alignment horizontal="center" vertical="center" wrapText="1"/>
    </x:xf>
    <x:xf numFmtId="201" fontId="2" fillId="14" borderId="25" xfId="0" applyNumberFormat="1" applyFont="1" applyFill="1" applyBorder="1" applyAlignment="1">
      <x:alignment horizontal="center" vertical="center" wrapText="1"/>
    </x:xf>
    <x:xf numFmtId="201" fontId="2" fillId="14" borderId="26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25" xfId="0" applyNumberFormat="1" applyFont="1" applyFill="1" applyBorder="1"/>
    <x:xf numFmtId="0" fontId="2" fillId="14" borderId="26" xfId="0" applyNumberFormat="1" applyFont="1" applyFill="1" applyBorder="1"/>
    <x:xf numFmtId="0" fontId="2" fillId="14" borderId="25" xfId="0" applyNumberFormat="1" applyFont="1" applyFill="1" applyBorder="1" applyAlignment="1">
      <x:alignment wrapText="1"/>
    </x:xf>
    <x:xf numFmtId="0" fontId="2" fillId="14" borderId="26" xfId="0" applyNumberFormat="1" applyFont="1" applyFill="1" applyBorder="1" applyAlignment="1">
      <x:alignment wrapText="1"/>
    </x:xf>
    <x:xf numFmtId="0" fontId="2" fillId="14" borderId="25" xfId="0" applyNumberFormat="1" applyFont="1" applyFill="1" applyBorder="1" applyAlignment="1">
      <x:alignment horizontal="center" wrapText="1"/>
    </x:xf>
    <x:xf numFmtId="0" fontId="2" fillId="14" borderId="26" xfId="0" applyNumberFormat="1" applyFont="1" applyFill="1" applyBorder="1" applyAlignment="1">
      <x:alignment horizontal="center" wrapText="1"/>
    </x:xf>
    <x:xf numFmtId="0" fontId="2" fillId="14" borderId="25" xfId="0" applyNumberFormat="1" applyFont="1" applyFill="1" applyBorder="1" applyAlignment="1">
      <x:alignment horizontal="center" vertical="center" wrapText="1"/>
    </x:xf>
    <x:xf numFmtId="0" fontId="2" fillId="14" borderId="26" xfId="0" applyNumberFormat="1" applyFont="1" applyFill="1" applyBorder="1" applyAlignment="1">
      <x:alignment horizontal="center" vertical="center" wrapText="1"/>
    </x:xf>
    <x:xf numFmtId="200" fontId="2" fillId="15" borderId="24" xfId="0" applyNumberFormat="1" applyFont="1" applyFill="1" applyBorder="1" applyAlignment="1">
      <x:alignment horizontal="center" vertical="center" wrapText="1"/>
    </x:xf>
    <x:xf numFmtId="200" fontId="2" fillId="15" borderId="25" xfId="0" applyNumberFormat="1" applyFont="1" applyFill="1" applyBorder="1" applyAlignment="1">
      <x:alignment horizontal="center" vertical="center" wrapText="1"/>
    </x:xf>
    <x:xf numFmtId="200" fontId="2" fillId="15" borderId="26" xfId="0" applyNumberFormat="1" applyFont="1" applyFill="1" applyBorder="1" applyAlignment="1">
      <x:alignment horizontal="center" vertical="center" wrapText="1"/>
    </x:xf>
    <x:xf numFmtId="200" fontId="2" fillId="15" borderId="30" xfId="0" applyNumberFormat="1" applyFont="1" applyFill="1" applyBorder="1" applyAlignment="1">
      <x:alignment horizontal="center" vertical="center" wrapText="1"/>
    </x:xf>
    <x:xf numFmtId="201" fontId="2" fillId="15" borderId="24" xfId="0" applyNumberFormat="1" applyFont="1" applyFill="1" applyBorder="1" applyAlignment="1">
      <x:alignment horizontal="center" vertical="center" wrapText="1"/>
    </x:xf>
    <x:xf numFmtId="201" fontId="2" fillId="15" borderId="25" xfId="0" applyNumberFormat="1" applyFont="1" applyFill="1" applyBorder="1" applyAlignment="1">
      <x:alignment horizontal="center" vertical="center" wrapText="1"/>
    </x:xf>
    <x:xf numFmtId="201" fontId="2" fillId="15" borderId="26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25" xfId="0" applyNumberFormat="1" applyFont="1" applyFill="1" applyBorder="1"/>
    <x:xf numFmtId="0" fontId="2" fillId="15" borderId="26" xfId="0" applyNumberFormat="1" applyFont="1" applyFill="1" applyBorder="1"/>
    <x:xf numFmtId="0" fontId="2" fillId="15" borderId="25" xfId="0" applyNumberFormat="1" applyFont="1" applyFill="1" applyBorder="1" applyAlignment="1">
      <x:alignment wrapText="1"/>
    </x:xf>
    <x:xf numFmtId="0" fontId="2" fillId="15" borderId="26" xfId="0" applyNumberFormat="1" applyFont="1" applyFill="1" applyBorder="1" applyAlignment="1">
      <x:alignment wrapText="1"/>
    </x:xf>
    <x:xf numFmtId="0" fontId="2" fillId="15" borderId="25" xfId="0" applyNumberFormat="1" applyFont="1" applyFill="1" applyBorder="1" applyAlignment="1">
      <x:alignment horizontal="center" wrapText="1"/>
    </x:xf>
    <x:xf numFmtId="0" fontId="2" fillId="15" borderId="26" xfId="0" applyNumberFormat="1" applyFont="1" applyFill="1" applyBorder="1" applyAlignment="1">
      <x:alignment horizontal="center" wrapText="1"/>
    </x:xf>
    <x:xf numFmtId="0" fontId="2" fillId="15" borderId="25" xfId="0" applyNumberFormat="1" applyFont="1" applyFill="1" applyBorder="1" applyAlignment="1">
      <x:alignment horizontal="center" vertical="center" wrapText="1"/>
    </x:xf>
    <x:xf numFmtId="0" fontId="2" fillId="15" borderId="26" xfId="0" applyNumberFormat="1" applyFont="1" applyFill="1" applyBorder="1" applyAlignment="1">
      <x:alignment horizontal="center" vertical="center" wrapText="1"/>
    </x:xf>
    <x:xf numFmtId="0" fontId="2" fillId="16" borderId="8" xfId="0" applyNumberFormat="1" applyFont="1" applyFill="1" applyBorder="1" applyAlignment="1">
      <x:alignment vertical="center" wrapText="1"/>
    </x:xf>
    <x:xf numFmtId="0" fontId="2" fillId="16" borderId="9" xfId="0" applyNumberFormat="1" applyFont="1" applyFill="1" applyBorder="1" applyAlignment="1">
      <x:alignment vertical="center" wrapText="1"/>
    </x:xf>
    <x:xf numFmtId="201" fontId="2" fillId="16" borderId="24" xfId="0" applyNumberFormat="1" applyFont="1" applyFill="1" applyBorder="1" applyAlignment="1">
      <x:alignment horizontal="center" vertical="center" wrapText="1"/>
    </x:xf>
    <x:xf numFmtId="0" fontId="2" fillId="16" borderId="10" xfId="0" applyNumberFormat="1" applyFont="1" applyFill="1" applyBorder="1" applyAlignment="1">
      <x:alignment vertical="center" wrapText="1"/>
    </x:xf>
    <x:xf numFmtId="0" fontId="2" fillId="16" borderId="11" xfId="0" applyNumberFormat="1" applyFont="1" applyFill="1" applyBorder="1" applyAlignment="1">
      <x:alignment vertical="center" wrapText="1"/>
    </x:xf>
    <x:xf numFmtId="0" fontId="2" fillId="16" xfId="0" applyNumberFormat="1" applyFont="1" applyFill="1" applyBorder="0" applyAlignment="1">
      <x:alignment vertical="center" wrapText="1"/>
    </x:xf>
    <x:xf numFmtId="201" fontId="2" fillId="16" borderId="25" xfId="0" applyNumberFormat="1" applyFont="1" applyFill="1" applyBorder="1" applyAlignment="1">
      <x:alignment horizontal="center" vertical="center" wrapText="1"/>
    </x:xf>
    <x:xf numFmtId="0" fontId="2" fillId="16" borderId="12" xfId="0" applyNumberFormat="1" applyFont="1" applyFill="1" applyBorder="1" applyAlignment="1">
      <x:alignment vertical="center" wrapText="1"/>
    </x:xf>
    <x:xf numFmtId="0" fontId="2" fillId="16" borderId="13" xfId="0" applyNumberFormat="1" applyFont="1" applyFill="1" applyBorder="1" applyAlignment="1">
      <x:alignment vertical="center" wrapText="1"/>
    </x:xf>
    <x:xf numFmtId="0" fontId="2" fillId="16" borderId="14" xfId="0" applyNumberFormat="1" applyFont="1" applyFill="1" applyBorder="1" applyAlignment="1">
      <x:alignment vertical="center" wrapText="1"/>
    </x:xf>
    <x:xf numFmtId="201" fontId="2" fillId="16" borderId="26" xfId="0" applyNumberFormat="1" applyFont="1" applyFill="1" applyBorder="1" applyAlignment="1">
      <x:alignment horizontal="center" vertical="center" wrapText="1"/>
    </x:xf>
    <x:xf numFmtId="0" fontId="2" fillId="16" borderId="15" xfId="0" applyNumberFormat="1" applyFont="1" applyFill="1" applyBorder="1" applyAlignment="1">
      <x:alignment vertical="center" wrapText="1"/>
    </x:xf>
    <x:xf numFmtId="200" fontId="2" fillId="16" borderId="24" xfId="0" applyNumberFormat="1" applyFont="1" applyFill="1" applyBorder="1" applyAlignment="1">
      <x:alignment horizontal="center" vertical="center" wrapText="1"/>
    </x:xf>
    <x:xf numFmtId="200" fontId="2" fillId="16" borderId="25" xfId="0" applyNumberFormat="1" applyFont="1" applyFill="1" applyBorder="1" applyAlignment="1">
      <x:alignment horizontal="center" vertical="center" wrapText="1"/>
    </x:xf>
    <x:xf numFmtId="200" fontId="2" fillId="16" borderId="26" xfId="0" applyNumberFormat="1" applyFont="1" applyFill="1" applyBorder="1" applyAlignment="1">
      <x:alignment horizontal="center" vertical="center" wrapText="1"/>
    </x:xf>
    <x:xf numFmtId="200" fontId="2" fillId="16" borderId="3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553"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59b9cc8414557" /><Relationship Type="http://schemas.openxmlformats.org/officeDocument/2006/relationships/theme" Target="/xl/theme/theme1.xml" Id="R755ccf92cca44d21" /><Relationship Type="http://schemas.openxmlformats.org/officeDocument/2006/relationships/sharedStrings" Target="/xl/sharedStrings.xml" Id="Rc11c1aa453fb491b" /><Relationship Type="http://schemas.openxmlformats.org/officeDocument/2006/relationships/worksheet" Target="/xl/worksheets/sheet1.xml" Id="R2d727a6421a6438e" /><Relationship Type="http://schemas.openxmlformats.org/officeDocument/2006/relationships/worksheet" Target="/xl/worksheets/sheet2.xml" Id="Ra4a7e554a0474c84" /><Relationship Type="http://schemas.openxmlformats.org/officeDocument/2006/relationships/worksheet" Target="/xl/worksheets/sheet3.xml" Id="R3e9f5ec21bf14ed8" /><Relationship Type="http://schemas.openxmlformats.org/officeDocument/2006/relationships/worksheet" Target="/xl/worksheets/sheet4.xml" Id="R67645073961b45aa" /><Relationship Type="http://schemas.openxmlformats.org/officeDocument/2006/relationships/worksheet" Target="/xl/worksheets/sheet5.xml" Id="Rfa908e99abba49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ca7b57248741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Итоговый балл моделей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Итог, 0–100</c:v>
          </c:tx>
          <c:cat>
            <c:strRef>
              <c:f>'Сводка моделей'!$B$2:$B$21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'Сводка моделей'!$F$2:$F$21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ca7b57248741f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2fa708257644ea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38" hidden="0" customWidth="1"/>
    <x:col min="25" max="25" width="20" hidden="0" customWidth="1"/>
    <x:col min="26" max="26" width="20" hidden="0" customWidth="1"/>
    <x:col min="27" max="27" width="20" hidden="0" customWidth="1"/>
    <x:col min="28" max="28" width="38" hidden="0" customWidth="1"/>
  </x:cols>
  <x:sheetData>
    <x:row r="1" ht="42" customHeight="1">
      <x:c r="A1" s="13" t="str">
        <x:v>Раздел</x:v>
      </x:c>
      <x:c r="B1" s="14" t="str">
        <x:v>Заданий</x:v>
      </x:c>
      <x:c r="C1" s="14" t="str">
        <x:v>GPT 5.6 Sol high</x:v>
      </x:c>
      <x:c r="D1" s="14" t="str">
        <x:v>GPT 5.6 Sol medium</x:v>
      </x:c>
      <x:c r="E1" s="14" t="str">
        <x:v>GPT 5.6 Sol low</x:v>
      </x:c>
      <x:c r="F1" s="14" t="str">
        <x:v>GPT 5.5 high</x:v>
      </x:c>
      <x:c r="G1" s="14" t="str">
        <x:v>Qwen 3.8 max</x:v>
      </x:c>
      <x:c r="H1" s="14" t="str">
        <x:v>GPT 5.5 medium</x:v>
      </x:c>
      <x:c r="I1" s="14" t="str">
        <x:v>Qwen 3.8 Flash Next с thinking</x:v>
      </x:c>
      <x:c r="J1" s="14" t="str">
        <x:v>DeepSeek chat</x:v>
      </x:c>
      <x:c r="K1" s="14" t="str">
        <x:v>GPT 5.5 — low</x:v>
      </x:c>
      <x:c r="L1" s="14" t="str">
        <x:v>Qwen 3.8 27b с thinking</x:v>
      </x:c>
      <x:c r="M1" s="14" t="str">
        <x:v>Qwen 3.8 27b uncensored с thinking</x:v>
      </x:c>
      <x:c r="N1" s="14" t="str">
        <x:v>Qwen 3.8 Flash Next без thinking</x:v>
      </x:c>
      <x:c r="O1" s="14" t="str">
        <x:v>Qwen 3.6 35b a3b mtp без thinking</x:v>
      </x:c>
      <x:c r="P1" s="14" t="str">
        <x:v>Qwen 3.6 35b a3b mtp с thinking</x:v>
      </x:c>
      <x:c r="Q1" s="14" t="str">
        <x:v>Qwen 3.6 35b a3b HauhauCS с thinking</x:v>
      </x:c>
      <x:c r="R1" s="14" t="str">
        <x:v>gemma4-12b-qat-uncensored-hauhaucs-balanced с thinking</x:v>
      </x:c>
      <x:c r="S1" s="462" t="str">
        <x:v>Qwen 3.8 27b без thinking</x:v>
      </x:c>
      <x:c r="T1" s="518" t="str">
        <x:v>Qwen 3.8 27b uncensored без thinking</x:v>
      </x:c>
      <x:c r="U1" s="515" t="str">
        <x:v>Qwen 3.6 35b a3b HauhauCS без thinking</x:v>
      </x:c>
      <x:c r="V1" s="525" t="str">
        <x:v>gemma4-12b-qat-uncensored-hauhaucs-balanced без thinking</x:v>
      </x:c>
      <x:c r="W1" s="515" t="str">
        <x:v>Среднее оценённых, 0–100</x:v>
      </x:c>
      <x:c r="X1" t="str">
        <x:v>Лидер раздела</x:v>
      </x:c>
      <x:c r="Y1"/>
      <x:c r="Z1"/>
      <x:c r="AA1"/>
      <x:c r="AB1"/>
      <x:c r="AC1"/>
      <x:c r="AD1"/>
      <x:c r="AE1"/>
      <x:c r="AF1"/>
    </x:row>
    <x:row r="2">
      <x:c r="A2" s="49" t="str">
        <x:v>Индексы / query design</x:v>
      </x:c>
      <x:c r="B2" s="50" t="n">
        <x:v>5</x:v>
      </x:c>
      <x:c r="C2" s="663" t="n">
        <x:f>IF(COUNT('Детальная оценка'!D2:D6)=0,"",SUM('Детальная оценка'!D2:D6)/5)</x:f>
        <x:v>100</x:v>
      </x:c>
      <x:c r="D2" s="663" t="n">
        <x:f>IF(COUNT('Детальная оценка'!E2:E6)=0,"",SUM('Детальная оценка'!E2:E6)/5)</x:f>
        <x:v>100</x:v>
      </x:c>
      <x:c r="E2" s="663" t="n">
        <x:f>IF(COUNT('Детальная оценка'!F2:F6)=0,"",SUM('Детальная оценка'!F2:F6)/5)</x:f>
        <x:v>100</x:v>
      </x:c>
      <x:c r="F2" s="663" t="n">
        <x:f>IF(COUNT('Детальная оценка'!G2:G6)=0,"",SUM('Детальная оценка'!G2:G6)/5)</x:f>
        <x:v>92</x:v>
      </x:c>
      <x:c r="G2" s="663" t="n">
        <x:f>IF(COUNT('Детальная оценка'!H2:H6)=0,"",SUM('Детальная оценка'!H2:H6)/5)</x:f>
        <x:v>98</x:v>
      </x:c>
      <x:c r="H2" s="663" t="n">
        <x:f>IF(COUNT('Детальная оценка'!I2:I6)=0,"",SUM('Детальная оценка'!I2:I6)/5)</x:f>
        <x:v>92</x:v>
      </x:c>
      <x:c r="I2" s="663" t="n">
        <x:f>IF(COUNT('Детальная оценка'!J2:J6)=0,"",SUM('Детальная оценка'!J2:J6)/5)</x:f>
        <x:v>98</x:v>
      </x:c>
      <x:c r="J2" s="663" t="n">
        <x:f>IF(COUNT('Детальная оценка'!K2:K6)=0,"",SUM('Детальная оценка'!K2:K6)/5)</x:f>
        <x:v>93</x:v>
      </x:c>
      <x:c r="K2" s="663" t="n">
        <x:f>IF(COUNT('Детальная оценка'!L2:L6)=0,"",SUM('Детальная оценка'!L2:L6)/5)</x:f>
        <x:v>88</x:v>
      </x:c>
      <x:c r="L2" s="663" t="n">
        <x:f>IF(COUNT('Детальная оценка'!M2:M6)=0,"",SUM('Детальная оценка'!M2:M6)/5)</x:f>
        <x:v>96</x:v>
      </x:c>
      <x:c r="M2" s="663" t="n">
        <x:f>IF(COUNT('Детальная оценка'!N2:N6)=0,"",SUM('Детальная оценка'!N2:N6)/5)</x:f>
        <x:v>88</x:v>
      </x:c>
      <x:c r="N2" s="663" t="n">
        <x:f>IF(COUNT('Детальная оценка'!O2:O6)=0,"",SUM('Детальная оценка'!O2:O6)/5)</x:f>
        <x:v>86</x:v>
      </x:c>
      <x:c r="O2" s="663" t="n">
        <x:f>IF(COUNT('Детальная оценка'!P2:P6)=0,"",SUM('Детальная оценка'!P2:P6)/5)</x:f>
        <x:v>88</x:v>
      </x:c>
      <x:c r="P2" s="663" t="n">
        <x:f>IF(COUNT('Детальная оценка'!Q2:Q6)=0,"",SUM('Детальная оценка'!Q2:Q6)/5)</x:f>
        <x:v>84</x:v>
      </x:c>
      <x:c r="Q2" s="663" t="n">
        <x:f>IF(COUNT('Детальная оценка'!R2:R6)=0,"",SUM('Детальная оценка'!R2:R6)/5)</x:f>
        <x:v>82</x:v>
      </x:c>
      <x:c r="R2" s="663" t="n">
        <x:f>IF(COUNT('Детальная оценка'!S2:S6)=0,"",SUM('Детальная оценка'!S2:S6)/5)</x:f>
        <x:v>94</x:v>
      </x:c>
      <x:c r="S2" s="663" t="n">
        <x:f>IF(COUNT('Детальная оценка'!T2:T6)=0,"",SUM('Детальная оценка'!T2:T6)/5)</x:f>
        <x:v>85</x:v>
      </x:c>
      <x:c r="T2" s="663" t="n">
        <x:f>IF(COUNT('Детальная оценка'!U2:U6)=0,"",SUM('Детальная оценка'!U2:U6)/5)</x:f>
        <x:v>80</x:v>
      </x:c>
      <x:c r="U2" s="663" t="n">
        <x:f>IF(COUNT('Детальная оценка'!V2:V6)=0,"",SUM('Детальная оценка'!V2:V6)/5)</x:f>
        <x:v>82</x:v>
      </x:c>
      <x:c r="V2" s="663" t="n">
        <x:f>IF(COUNT('Детальная оценка'!W2:W6)=0,"",SUM('Детальная оценка'!W2:W6)/5)</x:f>
        <x:v>82</x:v>
      </x:c>
      <x:c r="W2" s="663" t="n">
        <x:f>IF(COUNT(C2:V2)=0,"",AVERAGE(C2:V2))</x:f>
        <x:v>90.4</x:v>
      </x:c>
      <x:c r="X2" s="634" t="str">
        <x:f>IFERROR(INDEX($C$1:$V$1,1,MATCH(MAX(C2:V2),C2:V2,0)),"")</x:f>
        <x:v>GPT 5.6 Sol high</x:v>
      </x:c>
      <x:c r="Y2" s="634"/>
      <x:c r="Z2" s="634"/>
      <x:c r="AA2" s="634"/>
      <x:c r="AB2"/>
    </x:row>
    <x:row r="3">
      <x:c r="A3" s="52" t="str">
        <x:v>Транзакции / locks / MVCC</x:v>
      </x:c>
      <x:c r="B3" s="53" t="n">
        <x:v>5</x:v>
      </x:c>
      <x:c r="C3" s="664" t="n">
        <x:f>IF(COUNT('Детальная оценка'!D7:D11)=0,"",SUM('Детальная оценка'!D7:D11)/5)</x:f>
        <x:v>100</x:v>
      </x:c>
      <x:c r="D3" s="664" t="n">
        <x:f>IF(COUNT('Детальная оценка'!E7:E11)=0,"",SUM('Детальная оценка'!E7:E11)/5)</x:f>
        <x:v>100</x:v>
      </x:c>
      <x:c r="E3" s="664" t="n">
        <x:f>IF(COUNT('Детальная оценка'!F7:F11)=0,"",SUM('Детальная оценка'!F7:F11)/5)</x:f>
        <x:v>100</x:v>
      </x:c>
      <x:c r="F3" s="664" t="n">
        <x:f>IF(COUNT('Детальная оценка'!G7:G11)=0,"",SUM('Детальная оценка'!G7:G11)/5)</x:f>
        <x:v>100</x:v>
      </x:c>
      <x:c r="G3" s="664" t="n">
        <x:f>IF(COUNT('Детальная оценка'!H7:H11)=0,"",SUM('Детальная оценка'!H7:H11)/5)</x:f>
        <x:v>100</x:v>
      </x:c>
      <x:c r="H3" s="664" t="n">
        <x:f>IF(COUNT('Детальная оценка'!I7:I11)=0,"",SUM('Детальная оценка'!I7:I11)/5)</x:f>
        <x:v>100</x:v>
      </x:c>
      <x:c r="I3" s="664" t="n">
        <x:f>IF(COUNT('Детальная оценка'!J7:J11)=0,"",SUM('Детальная оценка'!J7:J11)/5)</x:f>
        <x:v>100</x:v>
      </x:c>
      <x:c r="J3" s="664" t="n">
        <x:f>IF(COUNT('Детальная оценка'!K7:K11)=0,"",SUM('Детальная оценка'!K7:K11)/5)</x:f>
        <x:v>100</x:v>
      </x:c>
      <x:c r="K3" s="664" t="n">
        <x:f>IF(COUNT('Детальная оценка'!L7:L11)=0,"",SUM('Детальная оценка'!L7:L11)/5)</x:f>
        <x:v>100</x:v>
      </x:c>
      <x:c r="L3" s="664" t="n">
        <x:f>IF(COUNT('Детальная оценка'!M7:M11)=0,"",SUM('Детальная оценка'!M7:M11)/5)</x:f>
        <x:v>97</x:v>
      </x:c>
      <x:c r="M3" s="664" t="n">
        <x:f>IF(COUNT('Детальная оценка'!N7:N11)=0,"",SUM('Детальная оценка'!N7:N11)/5)</x:f>
        <x:v>99</x:v>
      </x:c>
      <x:c r="N3" s="664" t="n">
        <x:f>IF(COUNT('Детальная оценка'!O7:O11)=0,"",SUM('Детальная оценка'!O7:O11)/5)</x:f>
        <x:v>76</x:v>
      </x:c>
      <x:c r="O3" s="664" t="n">
        <x:f>IF(COUNT('Детальная оценка'!P7:P11)=0,"",SUM('Детальная оценка'!P7:P11)/5)</x:f>
        <x:v>92</x:v>
      </x:c>
      <x:c r="P3" s="664" t="n">
        <x:f>IF(COUNT('Детальная оценка'!Q7:Q11)=0,"",SUM('Детальная оценка'!Q7:Q11)/5)</x:f>
        <x:v>84</x:v>
      </x:c>
      <x:c r="Q3" s="664" t="n">
        <x:f>IF(COUNT('Детальная оценка'!R7:R11)=0,"",SUM('Детальная оценка'!R7:R11)/5)</x:f>
        <x:v>92</x:v>
      </x:c>
      <x:c r="R3" s="664" t="n">
        <x:f>IF(COUNT('Детальная оценка'!S7:S11)=0,"",SUM('Детальная оценка'!S7:S11)/5)</x:f>
        <x:v>84</x:v>
      </x:c>
      <x:c r="S3" s="664" t="n">
        <x:f>IF(COUNT('Детальная оценка'!T7:T11)=0,"",SUM('Детальная оценка'!T7:T11)/5)</x:f>
        <x:v>90</x:v>
      </x:c>
      <x:c r="T3" s="664" t="n">
        <x:f>IF(COUNT('Детальная оценка'!U7:U11)=0,"",SUM('Детальная оценка'!U7:U11)/5)</x:f>
        <x:v>94</x:v>
      </x:c>
      <x:c r="U3" s="664" t="n">
        <x:f>IF(COUNT('Детальная оценка'!V7:V11)=0,"",SUM('Детальная оценка'!V7:V11)/5)</x:f>
        <x:v>84</x:v>
      </x:c>
      <x:c r="V3" s="664" t="n">
        <x:f>IF(COUNT('Детальная оценка'!W7:W11)=0,"",SUM('Детальная оценка'!W7:W11)/5)</x:f>
        <x:v>88</x:v>
      </x:c>
      <x:c r="W3" s="664" t="n">
        <x:f>IF(COUNT(C3:V3)=0,"",AVERAGE(C3:V3))</x:f>
        <x:v>94</x:v>
      </x:c>
      <x:c r="X3" s="635" t="str">
        <x:f>IFERROR(INDEX($C$1:$V$1,1,MATCH(MAX(C3:V3),C3:V3,0)),"")</x:f>
        <x:v>GPT 5.6 Sol high</x:v>
      </x:c>
      <x:c r="Y3" s="635"/>
      <x:c r="Z3" s="635"/>
      <x:c r="AA3" s="635"/>
      <x:c r="AB3"/>
    </x:row>
    <x:row r="4">
      <x:c r="A4" s="52" t="str">
        <x:v>Constraints / data model</x:v>
      </x:c>
      <x:c r="B4" s="53" t="n">
        <x:v>4</x:v>
      </x:c>
      <x:c r="C4" s="664" t="n">
        <x:f>IF(COUNT('Детальная оценка'!D12:D15)=0,"",SUM('Детальная оценка'!D12:D15)/4)</x:f>
        <x:v>100</x:v>
      </x:c>
      <x:c r="D4" s="664" t="n">
        <x:f>IF(COUNT('Детальная оценка'!E12:E15)=0,"",SUM('Детальная оценка'!E12:E15)/4)</x:f>
        <x:v>100</x:v>
      </x:c>
      <x:c r="E4" s="664" t="n">
        <x:f>IF(COUNT('Детальная оценка'!F12:F15)=0,"",SUM('Детальная оценка'!F12:F15)/4)</x:f>
        <x:v>100</x:v>
      </x:c>
      <x:c r="F4" s="664" t="n">
        <x:f>IF(COUNT('Детальная оценка'!G12:G15)=0,"",SUM('Детальная оценка'!G12:G15)/4)</x:f>
        <x:v>100</x:v>
      </x:c>
      <x:c r="G4" s="664" t="n">
        <x:f>IF(COUNT('Детальная оценка'!H12:H15)=0,"",SUM('Детальная оценка'!H12:H15)/4)</x:f>
        <x:v>100</x:v>
      </x:c>
      <x:c r="H4" s="664" t="n">
        <x:f>IF(COUNT('Детальная оценка'!I12:I15)=0,"",SUM('Детальная оценка'!I12:I15)/4)</x:f>
        <x:v>100</x:v>
      </x:c>
      <x:c r="I4" s="664" t="n">
        <x:f>IF(COUNT('Детальная оценка'!J12:J15)=0,"",SUM('Детальная оценка'!J12:J15)/4)</x:f>
        <x:v>100</x:v>
      </x:c>
      <x:c r="J4" s="664" t="n">
        <x:f>IF(COUNT('Детальная оценка'!K12:K15)=0,"",SUM('Детальная оценка'!K12:K15)/4)</x:f>
        <x:v>100</x:v>
      </x:c>
      <x:c r="K4" s="664" t="n">
        <x:f>IF(COUNT('Детальная оценка'!L12:L15)=0,"",SUM('Детальная оценка'!L12:L15)/4)</x:f>
        <x:v>100</x:v>
      </x:c>
      <x:c r="L4" s="664" t="n">
        <x:f>IF(COUNT('Детальная оценка'!M12:M15)=0,"",SUM('Детальная оценка'!M12:M15)/4)</x:f>
        <x:v>98.75</x:v>
      </x:c>
      <x:c r="M4" s="664" t="n">
        <x:f>IF(COUNT('Детальная оценка'!N12:N15)=0,"",SUM('Детальная оценка'!N12:N15)/4)</x:f>
        <x:v>80</x:v>
      </x:c>
      <x:c r="N4" s="664" t="n">
        <x:f>IF(COUNT('Детальная оценка'!O12:O15)=0,"",SUM('Детальная оценка'!O12:O15)/4)</x:f>
        <x:v>90</x:v>
      </x:c>
      <x:c r="O4" s="664" t="n">
        <x:f>IF(COUNT('Детальная оценка'!P12:P15)=0,"",SUM('Детальная оценка'!P12:P15)/4)</x:f>
        <x:v>85</x:v>
      </x:c>
      <x:c r="P4" s="664" t="n">
        <x:f>IF(COUNT('Детальная оценка'!Q12:Q15)=0,"",SUM('Детальная оценка'!Q12:Q15)/4)</x:f>
        <x:v>85</x:v>
      </x:c>
      <x:c r="Q4" s="664" t="n">
        <x:f>IF(COUNT('Детальная оценка'!R12:R15)=0,"",SUM('Детальная оценка'!R12:R15)/4)</x:f>
        <x:v>95</x:v>
      </x:c>
      <x:c r="R4" s="664" t="n">
        <x:f>IF(COUNT('Детальная оценка'!S12:S15)=0,"",SUM('Детальная оценка'!S12:S15)/4)</x:f>
        <x:v>85</x:v>
      </x:c>
      <x:c r="S4" s="664" t="n">
        <x:f>IF(COUNT('Детальная оценка'!T12:T15)=0,"",SUM('Детальная оценка'!T12:T15)/4)</x:f>
        <x:v>70</x:v>
      </x:c>
      <x:c r="T4" s="664" t="n">
        <x:f>IF(COUNT('Детальная оценка'!U12:U15)=0,"",SUM('Детальная оценка'!U12:U15)/4)</x:f>
        <x:v>75</x:v>
      </x:c>
      <x:c r="U4" s="664" t="n">
        <x:f>IF(COUNT('Детальная оценка'!V12:V15)=0,"",SUM('Детальная оценка'!V12:V15)/4)</x:f>
        <x:v>80</x:v>
      </x:c>
      <x:c r="V4" s="664" t="n">
        <x:f>IF(COUNT('Детальная оценка'!W12:W15)=0,"",SUM('Детальная оценка'!W12:W15)/4)</x:f>
        <x:v>72.5</x:v>
      </x:c>
      <x:c r="W4" s="664" t="n">
        <x:f>IF(COUNT(C4:V4)=0,"",AVERAGE(C4:V4))</x:f>
        <x:v>90.8125</x:v>
      </x:c>
      <x:c r="X4" s="635" t="str">
        <x:f>IFERROR(INDEX($C$1:$V$1,1,MATCH(MAX(C4:V4),C4:V4,0)),"")</x:f>
        <x:v>GPT 5.6 Sol high</x:v>
      </x:c>
      <x:c r="Y4" s="635"/>
      <x:c r="Z4" s="635"/>
      <x:c r="AA4" s="635"/>
      <x:c r="AB4"/>
    </x:row>
    <x:row r="5">
      <x:c r="A5" s="52" t="str">
        <x:v>Advanced SQL</x:v>
      </x:c>
      <x:c r="B5" s="53" t="n">
        <x:v>5</x:v>
      </x:c>
      <x:c r="C5" s="664" t="n">
        <x:f>IF(COUNT('Детальная оценка'!D16:D20)=0,"",SUM('Детальная оценка'!D16:D20)/5)</x:f>
        <x:v>100</x:v>
      </x:c>
      <x:c r="D5" s="664" t="n">
        <x:f>IF(COUNT('Детальная оценка'!E16:E20)=0,"",SUM('Детальная оценка'!E16:E20)/5)</x:f>
        <x:v>100</x:v>
      </x:c>
      <x:c r="E5" s="664" t="n">
        <x:f>IF(COUNT('Детальная оценка'!F16:F20)=0,"",SUM('Детальная оценка'!F16:F20)/5)</x:f>
        <x:v>100</x:v>
      </x:c>
      <x:c r="F5" s="664" t="n">
        <x:f>IF(COUNT('Детальная оценка'!G16:G20)=0,"",SUM('Детальная оценка'!G16:G20)/5)</x:f>
        <x:v>100</x:v>
      </x:c>
      <x:c r="G5" s="664" t="n">
        <x:f>IF(COUNT('Детальная оценка'!H16:H20)=0,"",SUM('Детальная оценка'!H16:H20)/5)</x:f>
        <x:v>99</x:v>
      </x:c>
      <x:c r="H5" s="664" t="n">
        <x:f>IF(COUNT('Детальная оценка'!I16:I20)=0,"",SUM('Детальная оценка'!I16:I20)/5)</x:f>
        <x:v>99</x:v>
      </x:c>
      <x:c r="I5" s="664" t="n">
        <x:f>IF(COUNT('Детальная оценка'!J16:J20)=0,"",SUM('Детальная оценка'!J16:J20)/5)</x:f>
        <x:v>98</x:v>
      </x:c>
      <x:c r="J5" s="664" t="n">
        <x:f>IF(COUNT('Детальная оценка'!K16:K20)=0,"",SUM('Детальная оценка'!K16:K20)/5)</x:f>
        <x:v>96</x:v>
      </x:c>
      <x:c r="K5" s="664" t="n">
        <x:f>IF(COUNT('Детальная оценка'!L16:L20)=0,"",SUM('Детальная оценка'!L16:L20)/5)</x:f>
        <x:v>96</x:v>
      </x:c>
      <x:c r="L5" s="664" t="n">
        <x:f>IF(COUNT('Детальная оценка'!M16:M20)=0,"",SUM('Детальная оценка'!M16:M20)/5)</x:f>
        <x:v>96</x:v>
      </x:c>
      <x:c r="M5" s="664" t="n">
        <x:f>IF(COUNT('Детальная оценка'!N16:N20)=0,"",SUM('Детальная оценка'!N16:N20)/5)</x:f>
        <x:v>99</x:v>
      </x:c>
      <x:c r="N5" s="664" t="n">
        <x:f>IF(COUNT('Детальная оценка'!O16:O20)=0,"",SUM('Детальная оценка'!O16:O20)/5)</x:f>
        <x:v>90</x:v>
      </x:c>
      <x:c r="O5" s="664" t="n">
        <x:f>IF(COUNT('Детальная оценка'!P16:P20)=0,"",SUM('Детальная оценка'!P16:P20)/5)</x:f>
        <x:v>86</x:v>
      </x:c>
      <x:c r="P5" s="664" t="n">
        <x:f>IF(COUNT('Детальная оценка'!Q16:Q20)=0,"",SUM('Детальная оценка'!Q16:Q20)/5)</x:f>
        <x:v>90</x:v>
      </x:c>
      <x:c r="Q5" s="664" t="n">
        <x:f>IF(COUNT('Детальная оценка'!R16:R20)=0,"",SUM('Детальная оценка'!R16:R20)/5)</x:f>
        <x:v>86</x:v>
      </x:c>
      <x:c r="R5" s="664" t="n">
        <x:f>IF(COUNT('Детальная оценка'!S16:S20)=0,"",SUM('Детальная оценка'!S16:S20)/5)</x:f>
        <x:v>66</x:v>
      </x:c>
      <x:c r="S5" s="664" t="n">
        <x:f>IF(COUNT('Детальная оценка'!T16:T20)=0,"",SUM('Детальная оценка'!T16:T20)/5)</x:f>
        <x:v>78</x:v>
      </x:c>
      <x:c r="T5" s="664" t="n">
        <x:f>IF(COUNT('Детальная оценка'!U16:U20)=0,"",SUM('Детальная оценка'!U16:U20)/5)</x:f>
        <x:v>74</x:v>
      </x:c>
      <x:c r="U5" s="664" t="n">
        <x:f>IF(COUNT('Детальная оценка'!V16:V20)=0,"",SUM('Детальная оценка'!V16:V20)/5)</x:f>
        <x:v>84</x:v>
      </x:c>
      <x:c r="V5" s="664" t="n">
        <x:f>IF(COUNT('Детальная оценка'!W16:W20)=0,"",SUM('Детальная оценка'!W16:W20)/5)</x:f>
        <x:v>70</x:v>
      </x:c>
      <x:c r="W5" s="664" t="n">
        <x:f>IF(COUNT(C5:V5)=0,"",AVERAGE(C5:V5))</x:f>
        <x:v>90.35</x:v>
      </x:c>
      <x:c r="X5" s="635" t="str">
        <x:f>IFERROR(INDEX($C$1:$V$1,1,MATCH(MAX(C5:V5),C5:V5,0)),"")</x:f>
        <x:v>GPT 5.6 Sol high</x:v>
      </x:c>
      <x:c r="Y5" s="635"/>
      <x:c r="Z5" s="635"/>
      <x:c r="AA5" s="635"/>
      <x:c r="AB5"/>
    </x:row>
    <x:row r="6">
      <x:c r="A6" s="52" t="str">
        <x:v>Outbox / queues / concurrency</x:v>
      </x:c>
      <x:c r="B6" s="53" t="n">
        <x:v>3</x:v>
      </x:c>
      <x:c r="C6" s="664" t="n">
        <x:f>IF(COUNT('Детальная оценка'!D21:D23)=0,"",SUM('Детальная оценка'!D21:D23)/3)</x:f>
        <x:v>100</x:v>
      </x:c>
      <x:c r="D6" s="664" t="n">
        <x:f>IF(COUNT('Детальная оценка'!E21:E23)=0,"",SUM('Детальная оценка'!E21:E23)/3)</x:f>
        <x:v>98.33333333333333</x:v>
      </x:c>
      <x:c r="E6" s="664" t="n">
        <x:f>IF(COUNT('Детальная оценка'!F21:F23)=0,"",SUM('Детальная оценка'!F21:F23)/3)</x:f>
        <x:v>95</x:v>
      </x:c>
      <x:c r="F6" s="664" t="n">
        <x:f>IF(COUNT('Детальная оценка'!G21:G23)=0,"",SUM('Детальная оценка'!G21:G23)/3)</x:f>
        <x:v>100</x:v>
      </x:c>
      <x:c r="G6" s="664" t="n">
        <x:f>IF(COUNT('Детальная оценка'!H21:H23)=0,"",SUM('Детальная оценка'!H21:H23)/3)</x:f>
        <x:v>93.33333333333333</x:v>
      </x:c>
      <x:c r="H6" s="664" t="n">
        <x:f>IF(COUNT('Детальная оценка'!I21:I23)=0,"",SUM('Детальная оценка'!I21:I23)/3)</x:f>
        <x:v>98.33333333333333</x:v>
      </x:c>
      <x:c r="I6" s="664" t="n">
        <x:f>IF(COUNT('Детальная оценка'!J21:J23)=0,"",SUM('Детальная оценка'!J21:J23)/3)</x:f>
        <x:v>90</x:v>
      </x:c>
      <x:c r="J6" s="664" t="n">
        <x:f>IF(COUNT('Детальная оценка'!K21:K23)=0,"",SUM('Детальная оценка'!K21:K23)/3)</x:f>
        <x:v>90</x:v>
      </x:c>
      <x:c r="K6" s="664" t="n">
        <x:f>IF(COUNT('Детальная оценка'!L21:L23)=0,"",SUM('Детальная оценка'!L21:L23)/3)</x:f>
        <x:v>93.33333333333333</x:v>
      </x:c>
      <x:c r="L6" s="664" t="n">
        <x:f>IF(COUNT('Детальная оценка'!M21:M23)=0,"",SUM('Детальная оценка'!M21:M23)/3)</x:f>
        <x:v>88.33333333333333</x:v>
      </x:c>
      <x:c r="M6" s="664" t="n">
        <x:f>IF(COUNT('Детальная оценка'!N21:N23)=0,"",SUM('Детальная оценка'!N21:N23)/3)</x:f>
        <x:v>88.33333333333333</x:v>
      </x:c>
      <x:c r="N6" s="664" t="n">
        <x:f>IF(COUNT('Детальная оценка'!O21:O23)=0,"",SUM('Детальная оценка'!O21:O23)/3)</x:f>
        <x:v>86.66666666666667</x:v>
      </x:c>
      <x:c r="O6" s="664" t="n">
        <x:f>IF(COUNT('Детальная оценка'!P21:P23)=0,"",SUM('Детальная оценка'!P21:P23)/3)</x:f>
        <x:v>73.33333333333333</x:v>
      </x:c>
      <x:c r="P6" s="664" t="n">
        <x:f>IF(COUNT('Детальная оценка'!Q21:Q23)=0,"",SUM('Детальная оценка'!Q21:Q23)/3)</x:f>
        <x:v>86.66666666666667</x:v>
      </x:c>
      <x:c r="Q6" s="664" t="n">
        <x:f>IF(COUNT('Детальная оценка'!R21:R23)=0,"",SUM('Детальная оценка'!R21:R23)/3)</x:f>
        <x:v>80</x:v>
      </x:c>
      <x:c r="R6" s="664" t="n">
        <x:f>IF(COUNT('Детальная оценка'!S21:S23)=0,"",SUM('Детальная оценка'!S21:S23)/3)</x:f>
        <x:v>80</x:v>
      </x:c>
      <x:c r="S6" s="664" t="n">
        <x:f>IF(COUNT('Детальная оценка'!T21:T23)=0,"",SUM('Детальная оценка'!T21:T23)/3)</x:f>
        <x:v>80</x:v>
      </x:c>
      <x:c r="T6" s="664" t="n">
        <x:f>IF(COUNT('Детальная оценка'!U21:U23)=0,"",SUM('Детальная оценка'!U21:U23)/3)</x:f>
        <x:v>76.66666666666667</x:v>
      </x:c>
      <x:c r="U6" s="664" t="n">
        <x:f>IF(COUNT('Детальная оценка'!V21:V23)=0,"",SUM('Детальная оценка'!V21:V23)/3)</x:f>
        <x:v>73.33333333333333</x:v>
      </x:c>
      <x:c r="V6" s="664" t="n">
        <x:f>IF(COUNT('Детальная оценка'!W21:W23)=0,"",SUM('Детальная оценка'!W21:W23)/3)</x:f>
        <x:v>80</x:v>
      </x:c>
      <x:c r="W6" s="664" t="n">
        <x:f>IF(COUNT(C6:V6)=0,"",AVERAGE(C6:V6))</x:f>
        <x:v>87.58333333333334</x:v>
      </x:c>
      <x:c r="X6" s="635" t="str">
        <x:f>IFERROR(INDEX($C$1:$V$1,1,MATCH(MAX(C6:V6),C6:V6,0)),"")</x:f>
        <x:v>GPT 5.6 Sol high</x:v>
      </x:c>
      <x:c r="Y6" s="635"/>
      <x:c r="Z6" s="635"/>
      <x:c r="AA6" s="635"/>
      <x:c r="AB6"/>
    </x:row>
    <x:row r="7">
      <x:c r="A7" s="52" t="str">
        <x:v>Planner / maintenance / performance</x:v>
      </x:c>
      <x:c r="B7" s="53" t="n">
        <x:v>5</x:v>
      </x:c>
      <x:c r="C7" s="664" t="n">
        <x:f>IF(COUNT('Детальная оценка'!D24:D28)=0,"",SUM('Детальная оценка'!D24:D28)/5)</x:f>
        <x:v>100</x:v>
      </x:c>
      <x:c r="D7" s="664" t="n">
        <x:f>IF(COUNT('Детальная оценка'!E24:E28)=0,"",SUM('Детальная оценка'!E24:E28)/5)</x:f>
        <x:v>100</x:v>
      </x:c>
      <x:c r="E7" s="664" t="n">
        <x:f>IF(COUNT('Детальная оценка'!F24:F28)=0,"",SUM('Детальная оценка'!F24:F28)/5)</x:f>
        <x:v>100</x:v>
      </x:c>
      <x:c r="F7" s="664" t="n">
        <x:f>IF(COUNT('Детальная оценка'!G24:G28)=0,"",SUM('Детальная оценка'!G24:G28)/5)</x:f>
        <x:v>100</x:v>
      </x:c>
      <x:c r="G7" s="664" t="n">
        <x:f>IF(COUNT('Детальная оценка'!H24:H28)=0,"",SUM('Детальная оценка'!H24:H28)/5)</x:f>
        <x:v>99</x:v>
      </x:c>
      <x:c r="H7" s="664" t="n">
        <x:f>IF(COUNT('Детальная оценка'!I24:I28)=0,"",SUM('Детальная оценка'!I24:I28)/5)</x:f>
        <x:v>100</x:v>
      </x:c>
      <x:c r="I7" s="664" t="n">
        <x:f>IF(COUNT('Детальная оценка'!J24:J28)=0,"",SUM('Детальная оценка'!J24:J28)/5)</x:f>
        <x:v>100</x:v>
      </x:c>
      <x:c r="J7" s="664" t="n">
        <x:f>IF(COUNT('Детальная оценка'!K24:K28)=0,"",SUM('Детальная оценка'!K24:K28)/5)</x:f>
        <x:v>100</x:v>
      </x:c>
      <x:c r="K7" s="664" t="n">
        <x:f>IF(COUNT('Детальная оценка'!L24:L28)=0,"",SUM('Детальная оценка'!L24:L28)/5)</x:f>
        <x:v>99</x:v>
      </x:c>
      <x:c r="L7" s="664" t="n">
        <x:f>IF(COUNT('Детальная оценка'!M24:M28)=0,"",SUM('Детальная оценка'!M24:M28)/5)</x:f>
        <x:v>93</x:v>
      </x:c>
      <x:c r="M7" s="664" t="n">
        <x:f>IF(COUNT('Детальная оценка'!N24:N28)=0,"",SUM('Детальная оценка'!N24:N28)/5)</x:f>
        <x:v>99</x:v>
      </x:c>
      <x:c r="N7" s="664" t="n">
        <x:f>IF(COUNT('Детальная оценка'!O24:O28)=0,"",SUM('Детальная оценка'!O24:O28)/5)</x:f>
        <x:v>96</x:v>
      </x:c>
      <x:c r="O7" s="664" t="n">
        <x:f>IF(COUNT('Детальная оценка'!P24:P28)=0,"",SUM('Детальная оценка'!P24:P28)/5)</x:f>
        <x:v>96</x:v>
      </x:c>
      <x:c r="P7" s="664" t="n">
        <x:f>IF(COUNT('Детальная оценка'!Q24:Q28)=0,"",SUM('Детальная оценка'!Q24:Q28)/5)</x:f>
        <x:v>82</x:v>
      </x:c>
      <x:c r="Q7" s="664" t="n">
        <x:f>IF(COUNT('Детальная оценка'!R24:R28)=0,"",SUM('Детальная оценка'!R24:R28)/5)</x:f>
        <x:v>76</x:v>
      </x:c>
      <x:c r="R7" s="664" t="n">
        <x:f>IF(COUNT('Детальная оценка'!S24:S28)=0,"",SUM('Детальная оценка'!S24:S28)/5)</x:f>
        <x:v>80</x:v>
      </x:c>
      <x:c r="S7" s="664" t="n">
        <x:f>IF(COUNT('Детальная оценка'!T24:T28)=0,"",SUM('Детальная оценка'!T24:T28)/5)</x:f>
        <x:v>78</x:v>
      </x:c>
      <x:c r="T7" s="664" t="n">
        <x:f>IF(COUNT('Детальная оценка'!U24:U28)=0,"",SUM('Детальная оценка'!U24:U28)/5)</x:f>
        <x:v>84</x:v>
      </x:c>
      <x:c r="U7" s="664" t="n">
        <x:f>IF(COUNT('Детальная оценка'!V24:V28)=0,"",SUM('Детальная оценка'!V24:V28)/5)</x:f>
        <x:v>74</x:v>
      </x:c>
      <x:c r="V7" s="664" t="n">
        <x:f>IF(COUNT('Детальная оценка'!W24:W28)=0,"",SUM('Детальная оценка'!W24:W28)/5)</x:f>
        <x:v>86</x:v>
      </x:c>
      <x:c r="W7" s="664" t="n">
        <x:f>IF(COUNT(C7:V7)=0,"",AVERAGE(C7:V7))</x:f>
        <x:v>92.1</x:v>
      </x:c>
      <x:c r="X7" s="635" t="str">
        <x:f>IFERROR(INDEX($C$1:$V$1,1,MATCH(MAX(C7:V7),C7:V7,0)),"")</x:f>
        <x:v>GPT 5.6 Sol high</x:v>
      </x:c>
      <x:c r="Y7" s="635"/>
      <x:c r="Z7" s="635"/>
      <x:c r="AA7" s="635"/>
      <x:c r="AB7"/>
    </x:row>
    <x:row r="8">
      <x:c r="A8" s="52" t="str">
        <x:v>Migrations / RLS / reliability</x:v>
      </x:c>
      <x:c r="B8" s="53" t="n">
        <x:v>3</x:v>
      </x:c>
      <x:c r="C8" s="664" t="n">
        <x:f>IF(COUNT('Детальная оценка'!D29:D31)=0,"",SUM('Детальная оценка'!D29:D31)/3)</x:f>
        <x:v>100</x:v>
      </x:c>
      <x:c r="D8" s="664" t="n">
        <x:f>IF(COUNT('Детальная оценка'!E29:E31)=0,"",SUM('Детальная оценка'!E29:E31)/3)</x:f>
        <x:v>100</x:v>
      </x:c>
      <x:c r="E8" s="664" t="n">
        <x:f>IF(COUNT('Детальная оценка'!F29:F31)=0,"",SUM('Детальная оценка'!F29:F31)/3)</x:f>
        <x:v>100</x:v>
      </x:c>
      <x:c r="F8" s="664" t="n">
        <x:f>IF(COUNT('Детальная оценка'!G29:G31)=0,"",SUM('Детальная оценка'!G29:G31)/3)</x:f>
        <x:v>100</x:v>
      </x:c>
      <x:c r="G8" s="664" t="n">
        <x:f>IF(COUNT('Детальная оценка'!H29:H31)=0,"",SUM('Детальная оценка'!H29:H31)/3)</x:f>
        <x:v>100</x:v>
      </x:c>
      <x:c r="H8" s="664" t="n">
        <x:f>IF(COUNT('Детальная оценка'!I29:I31)=0,"",SUM('Детальная оценка'!I29:I31)/3)</x:f>
        <x:v>100</x:v>
      </x:c>
      <x:c r="I8" s="664" t="n">
        <x:f>IF(COUNT('Детальная оценка'!J29:J31)=0,"",SUM('Детальная оценка'!J29:J31)/3)</x:f>
        <x:v>96.66666666666667</x:v>
      </x:c>
      <x:c r="J8" s="664" t="n">
        <x:f>IF(COUNT('Детальная оценка'!K29:K31)=0,"",SUM('Детальная оценка'!K29:K31)/3)</x:f>
        <x:v>100</x:v>
      </x:c>
      <x:c r="K8" s="664" t="n">
        <x:f>IF(COUNT('Детальная оценка'!L29:L31)=0,"",SUM('Детальная оценка'!L29:L31)/3)</x:f>
        <x:v>96.66666666666667</x:v>
      </x:c>
      <x:c r="L8" s="664" t="n">
        <x:f>IF(COUNT('Детальная оценка'!M29:M31)=0,"",SUM('Детальная оценка'!M29:M31)/3)</x:f>
        <x:v>90</x:v>
      </x:c>
      <x:c r="M8" s="664" t="n">
        <x:f>IF(COUNT('Детальная оценка'!N29:N31)=0,"",SUM('Детальная оценка'!N29:N31)/3)</x:f>
        <x:v>96.66666666666667</x:v>
      </x:c>
      <x:c r="N8" s="664" t="n">
        <x:f>IF(COUNT('Детальная оценка'!O29:O31)=0,"",SUM('Детальная оценка'!O29:O31)/3)</x:f>
        <x:v>90</x:v>
      </x:c>
      <x:c r="O8" s="664" t="n">
        <x:f>IF(COUNT('Детальная оценка'!P29:P31)=0,"",SUM('Детальная оценка'!P29:P31)/3)</x:f>
        <x:v>80</x:v>
      </x:c>
      <x:c r="P8" s="664" t="n">
        <x:f>IF(COUNT('Детальная оценка'!Q29:Q31)=0,"",SUM('Детальная оценка'!Q29:Q31)/3)</x:f>
        <x:v>83.33333333333333</x:v>
      </x:c>
      <x:c r="Q8" s="664" t="n">
        <x:f>IF(COUNT('Детальная оценка'!R29:R31)=0,"",SUM('Детальная оценка'!R29:R31)/3)</x:f>
        <x:v>66.66666666666667</x:v>
      </x:c>
      <x:c r="R8" s="664" t="n">
        <x:f>IF(COUNT('Детальная оценка'!S29:S31)=0,"",SUM('Детальная оценка'!S29:S31)/3)</x:f>
        <x:v>90</x:v>
      </x:c>
      <x:c r="S8" s="664" t="n">
        <x:f>IF(COUNT('Детальная оценка'!T29:T31)=0,"",SUM('Детальная оценка'!T29:T31)/3)</x:f>
        <x:v>83.33333333333333</x:v>
      </x:c>
      <x:c r="T8" s="664" t="n">
        <x:f>IF(COUNT('Детальная оценка'!U29:U31)=0,"",SUM('Детальная оценка'!U29:U31)/3)</x:f>
        <x:v>73.33333333333333</x:v>
      </x:c>
      <x:c r="U8" s="664" t="n">
        <x:f>IF(COUNT('Детальная оценка'!V29:V31)=0,"",SUM('Детальная оценка'!V29:V31)/3)</x:f>
        <x:v>80</x:v>
      </x:c>
      <x:c r="V8" s="664" t="n">
        <x:f>IF(COUNT('Детальная оценка'!W29:W31)=0,"",SUM('Детальная оценка'!W29:W31)/3)</x:f>
        <x:v>70</x:v>
      </x:c>
      <x:c r="W8" s="664" t="n">
        <x:f>IF(COUNT(C8:V8)=0,"",AVERAGE(C8:V8))</x:f>
        <x:v>89.83333333333333</x:v>
      </x:c>
      <x:c r="X8" s="635" t="str">
        <x:f>IFERROR(INDEX($C$1:$V$1,1,MATCH(MAX(C8:V8),C8:V8,0)),"")</x:f>
        <x:v>GPT 5.6 Sol high</x:v>
      </x:c>
      <x:c r="Y8" s="635"/>
      <x:c r="Z8" s="635"/>
      <x:c r="AA8" s="635"/>
      <x:c r="AB8"/>
    </x:row>
    <x:row r="9">
      <x:c r="A9" s="55" t="str">
        <x:v>Long context / system design</x:v>
      </x:c>
      <x:c r="B9" s="56" t="n">
        <x:v>2</x:v>
      </x:c>
      <x:c r="C9" s="665" t="n">
        <x:f>IF(COUNT('Детальная оценка'!D32:D33)=0,"",SUM('Детальная оценка'!D32:D33)/2)</x:f>
        <x:v>100</x:v>
      </x:c>
      <x:c r="D9" s="665" t="n">
        <x:f>IF(COUNT('Детальная оценка'!E32:E33)=0,"",SUM('Детальная оценка'!E32:E33)/2)</x:f>
        <x:v>97.5</x:v>
      </x:c>
      <x:c r="E9" s="665" t="n">
        <x:f>IF(COUNT('Детальная оценка'!F32:F33)=0,"",SUM('Детальная оценка'!F32:F33)/2)</x:f>
        <x:v>97.5</x:v>
      </x:c>
      <x:c r="F9" s="665" t="n">
        <x:f>IF(COUNT('Детальная оценка'!G32:G33)=0,"",SUM('Детальная оценка'!G32:G33)/2)</x:f>
        <x:v>100</x:v>
      </x:c>
      <x:c r="G9" s="665" t="n">
        <x:f>IF(COUNT('Детальная оценка'!H32:H33)=0,"",SUM('Детальная оценка'!H32:H33)/2)</x:f>
        <x:v>97.5</x:v>
      </x:c>
      <x:c r="H9" s="665" t="n">
        <x:f>IF(COUNT('Детальная оценка'!I32:I33)=0,"",SUM('Детальная оценка'!I32:I33)/2)</x:f>
        <x:v>97.5</x:v>
      </x:c>
      <x:c r="I9" s="665" t="n">
        <x:f>IF(COUNT('Детальная оценка'!J32:J33)=0,"",SUM('Детальная оценка'!J32:J33)/2)</x:f>
        <x:v>100</x:v>
      </x:c>
      <x:c r="J9" s="665" t="n">
        <x:f>IF(COUNT('Детальная оценка'!K32:K33)=0,"",SUM('Детальная оценка'!K32:K33)/2)</x:f>
        <x:v>95</x:v>
      </x:c>
      <x:c r="K9" s="665" t="n">
        <x:f>IF(COUNT('Детальная оценка'!L32:L33)=0,"",SUM('Детальная оценка'!L32:L33)/2)</x:f>
        <x:v>95</x:v>
      </x:c>
      <x:c r="L9" s="665" t="n">
        <x:f>IF(COUNT('Детальная оценка'!M32:M33)=0,"",SUM('Детальная оценка'!M32:M33)/2)</x:f>
        <x:v>97.5</x:v>
      </x:c>
      <x:c r="M9" s="665" t="n">
        <x:f>IF(COUNT('Детальная оценка'!N32:N33)=0,"",SUM('Детальная оценка'!N32:N33)/2)</x:f>
        <x:v>97.5</x:v>
      </x:c>
      <x:c r="N9" s="665" t="n">
        <x:f>IF(COUNT('Детальная оценка'!O32:O33)=0,"",SUM('Детальная оценка'!O32:O33)/2)</x:f>
        <x:v>95</x:v>
      </x:c>
      <x:c r="O9" s="665" t="n">
        <x:f>IF(COUNT('Детальная оценка'!P32:P33)=0,"",SUM('Детальная оценка'!P32:P33)/2)</x:f>
        <x:v>75</x:v>
      </x:c>
      <x:c r="P9" s="665" t="n">
        <x:f>IF(COUNT('Детальная оценка'!Q32:Q33)=0,"",SUM('Детальная оценка'!Q32:Q33)/2)</x:f>
        <x:v>80</x:v>
      </x:c>
      <x:c r="Q9" s="665" t="n">
        <x:f>IF(COUNT('Детальная оценка'!R32:R33)=0,"",SUM('Детальная оценка'!R32:R33)/2)</x:f>
        <x:v>75</x:v>
      </x:c>
      <x:c r="R9" s="665" t="n">
        <x:f>IF(COUNT('Детальная оценка'!S32:S33)=0,"",SUM('Детальная оценка'!S32:S33)/2)</x:f>
        <x:v>75</x:v>
      </x:c>
      <x:c r="S9" s="665" t="n">
        <x:f>IF(COUNT('Детальная оценка'!T32:T33)=0,"",SUM('Детальная оценка'!T32:T33)/2)</x:f>
        <x:v>87.5</x:v>
      </x:c>
      <x:c r="T9" s="665" t="n">
        <x:f>IF(COUNT('Детальная оценка'!U32:U33)=0,"",SUM('Детальная оценка'!U32:U33)/2)</x:f>
        <x:v>85</x:v>
      </x:c>
      <x:c r="U9" s="664" t="n">
        <x:f>IF(COUNT('Детальная оценка'!V32:V33)=0,"",SUM('Детальная оценка'!V32:V33)/2)</x:f>
        <x:v>70</x:v>
      </x:c>
      <x:c r="V9" s="664" t="n">
        <x:f>IF(COUNT('Детальная оценка'!W32:W33)=0,"",SUM('Детальная оценка'!W32:W33)/2)</x:f>
        <x:v>75</x:v>
      </x:c>
      <x:c r="W9" s="664" t="n">
        <x:f>IF(COUNT(C9:V9)=0,"",AVERAGE(C9:V9))</x:f>
        <x:v>89.625</x:v>
      </x:c>
      <x:c r="X9" s="635" t="str">
        <x:f>IFERROR(INDEX($C$1:$V$1,1,MATCH(MAX(C9:V9),C9:V9,0)),"")</x:f>
        <x:v>GPT 5.6 Sol high</x:v>
      </x:c>
      <x:c r="Y9" s="635"/>
      <x:c r="Z9" s="635"/>
      <x:c r="AA9" s="635"/>
      <x:c r="AB9"/>
    </x:row>
    <x:row r="10">
      <x:c r="C10" s="664"/>
      <x:c r="D10" s="664"/>
      <x:c r="E10" s="664"/>
      <x:c r="F10" s="664"/>
      <x:c r="G10" s="664"/>
      <x:c r="H10" s="664"/>
      <x:c r="I10" s="664"/>
      <x:c r="J10" s="664"/>
      <x:c r="K10" s="664"/>
      <x:c r="L10" s="664"/>
      <x:c r="M10" s="664"/>
      <x:c r="N10" s="664"/>
      <x:c r="O10" s="664"/>
      <x:c r="P10" s="664"/>
      <x:c r="Q10" s="664"/>
      <x:c r="R10" s="664"/>
      <x:c r="S10" s="664"/>
      <x:c r="T10" s="664"/>
      <x:c r="U10" s="664"/>
      <x:c r="V10" s="664"/>
      <x:c r="W10" s="664"/>
      <x:c r="X10" s="635"/>
      <x:c r="Y10" s="635"/>
      <x:c r="Z10" s="635"/>
      <x:c r="AA10" s="635"/>
      <x:c r="AB10"/>
    </x:row>
    <x:row r="11">
      <x:c r="A11" s="122" t="str">
        <x:v>ИТОГ, БАЛЛЫ 0–100</x:v>
      </x:c>
      <x:c r="B11" s="123" t="n">
        <x:v>32</x:v>
      </x:c>
      <x:c r="C11" s="664" t="n">
        <x:f>SUM('Детальная оценка'!D2:D33)/32</x:f>
        <x:v>100</x:v>
      </x:c>
      <x:c r="D11" s="664" t="n">
        <x:f>SUM('Детальная оценка'!E2:E33)/32</x:f>
        <x:v>99.6875</x:v>
      </x:c>
      <x:c r="E11" s="664" t="n">
        <x:f>SUM('Детальная оценка'!F2:F33)/32</x:f>
        <x:v>99.375</x:v>
      </x:c>
      <x:c r="F11" s="664" t="n">
        <x:f>SUM('Детальная оценка'!G2:G33)/32</x:f>
        <x:v>98.75</x:v>
      </x:c>
      <x:c r="G11" s="664" t="n">
        <x:f>SUM('Детальная оценка'!H2:H33)/32</x:f>
        <x:v>98.59375</x:v>
      </x:c>
      <x:c r="H11" s="664" t="n">
        <x:f>SUM('Детальная оценка'!I2:I33)/32</x:f>
        <x:v>98.28125</x:v>
      </x:c>
      <x:c r="I11" s="664" t="n">
        <x:f>SUM('Детальная оценка'!J2:J33)/32</x:f>
        <x:v>98.125</x:v>
      </x:c>
      <x:c r="J11" s="664" t="n">
        <x:f>SUM('Детальная оценка'!K2:K33)/32</x:f>
        <x:v>97.03125</x:v>
      </x:c>
      <x:c r="K11" s="664" t="n">
        <x:f>SUM('Детальная оценка'!L2:L33)/32</x:f>
        <x:v>96.09375</x:v>
      </x:c>
      <x:c r="L11" s="664" t="n">
        <x:f>SUM('Детальная оценка'!M2:M33)/32</x:f>
        <x:v>94.84375</x:v>
      </x:c>
      <x:c r="M11" s="664" t="n">
        <x:f>SUM('Детальная оценка'!N2:N33)/32</x:f>
        <x:v>93.59375</x:v>
      </x:c>
      <x:c r="N11" s="664" t="n">
        <x:f>SUM('Детальная оценка'!O2:O33)/32</x:f>
        <x:v>88.125</x:v>
      </x:c>
      <x:c r="O11" s="664" t="n">
        <x:f>SUM('Детальная оценка'!P2:P33)/32</x:f>
        <x:v>86.25</x:v>
      </x:c>
      <x:c r="P11" s="664" t="n">
        <x:f>SUM('Детальная оценка'!Q2:Q33)/32</x:f>
        <x:v>84.6875</x:v>
      </x:c>
      <x:c r="Q11" s="664" t="n">
        <x:f>SUM('Детальная оценка'!R2:R33)/32</x:f>
        <x:v>82.8125</x:v>
      </x:c>
      <x:c r="R11" s="664" t="n">
        <x:f>SUM('Детальная оценка'!S2:S33)/32</x:f>
        <x:v>81.875</x:v>
      </x:c>
      <x:c r="S11" s="664" t="n">
        <x:f>SUM('Детальная оценка'!T2:T33)/32</x:f>
        <x:v>81.25</x:v>
      </x:c>
      <x:c r="T11" s="664" t="n">
        <x:f>SUM('Детальная оценка'!U2:U33)/32</x:f>
        <x:v>80.625</x:v>
      </x:c>
      <x:c r="U11" s="664" t="n">
        <x:f>SUM('Детальная оценка'!V2:V33)/32</x:f>
        <x:v>79.375</x:v>
      </x:c>
      <x:c r="V11" s="664" t="n">
        <x:f>SUM('Детальная оценка'!W2:W33)/32</x:f>
        <x:v>78.75</x:v>
      </x:c>
      <x:c r="W11" s="664" t="n">
        <x:f>IF(COUNT(C11:V11)=0,"",AVERAGE(C11:V11))</x:f>
        <x:v>90.90625</x:v>
      </x:c>
      <x:c r="X11" s="635"/>
      <x:c r="Y11" s="635"/>
      <x:c r="Z11" s="635"/>
      <x:c r="AA11" s="635"/>
      <x:c r="AB11"/>
    </x:row>
    <x:row r="12">
      <x:c r="A12" s="124" t="str">
        <x:v>ПОЛНОТА, %</x:v>
      </x:c>
      <x:c r="B12" s="125" t="n">
        <x:v>32</x:v>
      </x:c>
      <x:c r="C12" s="664" t="n">
        <x:f>COUNT('Детальная оценка'!D2:D33)/32*100</x:f>
        <x:v>100</x:v>
      </x:c>
      <x:c r="D12" s="664" t="n">
        <x:f>COUNT('Детальная оценка'!E2:E33)/32*100</x:f>
        <x:v>100</x:v>
      </x:c>
      <x:c r="E12" s="664" t="n">
        <x:f>COUNT('Детальная оценка'!F2:F33)/32*100</x:f>
        <x:v>100</x:v>
      </x:c>
      <x:c r="F12" s="664" t="n">
        <x:f>COUNT('Детальная оценка'!G2:G33)/32*100</x:f>
        <x:v>100</x:v>
      </x:c>
      <x:c r="G12" s="664" t="n">
        <x:f>COUNT('Детальная оценка'!H2:H33)/32*100</x:f>
        <x:v>100</x:v>
      </x:c>
      <x:c r="H12" s="664" t="n">
        <x:f>COUNT('Детальная оценка'!I2:I33)/32*100</x:f>
        <x:v>100</x:v>
      </x:c>
      <x:c r="I12" s="664" t="n">
        <x:f>COUNT('Детальная оценка'!J2:J33)/32*100</x:f>
        <x:v>100</x:v>
      </x:c>
      <x:c r="J12" s="664" t="n">
        <x:f>COUNT('Детальная оценка'!K2:K33)/32*100</x:f>
        <x:v>100</x:v>
      </x:c>
      <x:c r="K12" s="664" t="n">
        <x:f>COUNT('Детальная оценка'!L2:L33)/32*100</x:f>
        <x:v>100</x:v>
      </x:c>
      <x:c r="L12" s="664" t="n">
        <x:f>COUNT('Детальная оценка'!M2:M33)/32*100</x:f>
        <x:v>100</x:v>
      </x:c>
      <x:c r="M12" s="664" t="n">
        <x:f>COUNT('Детальная оценка'!N2:N33)/32*100</x:f>
        <x:v>100</x:v>
      </x:c>
      <x:c r="N12" s="664" t="n">
        <x:f>COUNT('Детальная оценка'!O2:O33)/32*100</x:f>
        <x:v>100</x:v>
      </x:c>
      <x:c r="O12" s="664" t="n">
        <x:f>COUNT('Детальная оценка'!P2:P33)/32*100</x:f>
        <x:v>100</x:v>
      </x:c>
      <x:c r="P12" s="664" t="n">
        <x:f>COUNT('Детальная оценка'!Q2:Q33)/32*100</x:f>
        <x:v>100</x:v>
      </x:c>
      <x:c r="Q12" s="664" t="n">
        <x:f>COUNT('Детальная оценка'!R2:R33)/32*100</x:f>
        <x:v>100</x:v>
      </x:c>
      <x:c r="R12" s="664" t="n">
        <x:f>COUNT('Детальная оценка'!S2:S33)/32*100</x:f>
        <x:v>100</x:v>
      </x:c>
      <x:c r="S12" s="664" t="n">
        <x:f>COUNT('Детальная оценка'!T2:T33)/32*100</x:f>
        <x:v>100</x:v>
      </x:c>
      <x:c r="T12" s="664" t="n">
        <x:f>COUNT('Детальная оценка'!U2:U33)/32*100</x:f>
        <x:v>100</x:v>
      </x:c>
      <x:c r="U12" s="664" t="n">
        <x:f>COUNT('Детальная оценка'!V2:V33)/32*100</x:f>
        <x:v>100</x:v>
      </x:c>
      <x:c r="V12" s="664" t="n">
        <x:f>COUNT('Детальная оценка'!W2:W33)/32*100</x:f>
        <x:v>100</x:v>
      </x:c>
      <x:c r="W12" s="664" t="n">
        <x:f>IF(COUNT(C12:V12)=0,"",AVERAGE(C12:V12))</x:f>
        <x:v>100</x:v>
      </x:c>
      <x:c r="X12" s="635"/>
      <x:c r="Y12" s="635"/>
      <x:c r="Z12" s="635"/>
      <x:c r="AA12" s="635"/>
      <x:c r="AB12"/>
    </x:row>
    <x:row r="13">
      <x:c r="A13" s="126" t="str">
        <x:v>КАЧЕСТВО ОТВЕЧЕННЫХ, 0–100</x:v>
      </x:c>
      <x:c r="B13" s="127" t="n">
        <x:v>32</x:v>
      </x:c>
      <x:c r="C13" s="665" t="n">
        <x:f>IFERROR(AVERAGE('Детальная оценка'!D2:D33),"")</x:f>
        <x:v>100</x:v>
      </x:c>
      <x:c r="D13" s="665" t="n">
        <x:f>IFERROR(AVERAGE('Детальная оценка'!E2:E33),"")</x:f>
        <x:v>99.6875</x:v>
      </x:c>
      <x:c r="E13" s="665" t="n">
        <x:f>IFERROR(AVERAGE('Детальная оценка'!F2:F33),"")</x:f>
        <x:v>99.375</x:v>
      </x:c>
      <x:c r="F13" s="665" t="n">
        <x:f>IFERROR(AVERAGE('Детальная оценка'!G2:G33),"")</x:f>
        <x:v>98.75</x:v>
      </x:c>
      <x:c r="G13" s="665" t="n">
        <x:f>IFERROR(AVERAGE('Детальная оценка'!H2:H33),"")</x:f>
        <x:v>98.59375</x:v>
      </x:c>
      <x:c r="H13" s="665" t="n">
        <x:f>IFERROR(AVERAGE('Детальная оценка'!I2:I33),"")</x:f>
        <x:v>98.28125</x:v>
      </x:c>
      <x:c r="I13" s="665" t="n">
        <x:f>IFERROR(AVERAGE('Детальная оценка'!J2:J33),"")</x:f>
        <x:v>98.125</x:v>
      </x:c>
      <x:c r="J13" s="665" t="n">
        <x:f>IFERROR(AVERAGE('Детальная оценка'!K2:K33),"")</x:f>
        <x:v>97.03125</x:v>
      </x:c>
      <x:c r="K13" s="665" t="n">
        <x:f>IFERROR(AVERAGE('Детальная оценка'!L2:L33),"")</x:f>
        <x:v>96.09375</x:v>
      </x:c>
      <x:c r="L13" s="665" t="n">
        <x:f>IFERROR(AVERAGE('Детальная оценка'!M2:M33),"")</x:f>
        <x:v>94.84375</x:v>
      </x:c>
      <x:c r="M13" s="665" t="n">
        <x:f>IFERROR(AVERAGE('Детальная оценка'!N2:N33),"")</x:f>
        <x:v>93.59375</x:v>
      </x:c>
      <x:c r="N13" s="665" t="n">
        <x:f>IFERROR(AVERAGE('Детальная оценка'!O2:O33),"")</x:f>
        <x:v>88.125</x:v>
      </x:c>
      <x:c r="O13" s="665" t="n">
        <x:f>IFERROR(AVERAGE('Детальная оценка'!P2:P33),"")</x:f>
        <x:v>86.25</x:v>
      </x:c>
      <x:c r="P13" s="665" t="n">
        <x:f>IFERROR(AVERAGE('Детальная оценка'!Q2:Q33),"")</x:f>
        <x:v>84.6875</x:v>
      </x:c>
      <x:c r="Q13" s="665" t="n">
        <x:f>IFERROR(AVERAGE('Детальная оценка'!R2:R33),"")</x:f>
        <x:v>82.8125</x:v>
      </x:c>
      <x:c r="R13" s="665" t="n">
        <x:f>IFERROR(AVERAGE('Детальная оценка'!S2:S33),"")</x:f>
        <x:v>81.875</x:v>
      </x:c>
      <x:c r="S13" s="665" t="n">
        <x:f>IFERROR(AVERAGE('Детальная оценка'!T2:T33),"")</x:f>
        <x:v>81.25</x:v>
      </x:c>
      <x:c r="T13" s="665" t="n">
        <x:f>IFERROR(AVERAGE('Детальная оценка'!U2:U33),"")</x:f>
        <x:v>80.625</x:v>
      </x:c>
      <x:c r="U13" s="665" t="n">
        <x:f>IFERROR(AVERAGE('Детальная оценка'!V2:V33),"")</x:f>
        <x:v>79.375</x:v>
      </x:c>
      <x:c r="V13" s="665" t="n">
        <x:f>IFERROR(AVERAGE('Детальная оценка'!W2:W33),"")</x:f>
        <x:v>78.75</x:v>
      </x:c>
      <x:c r="W13" s="665" t="n">
        <x:f>IF(COUNT(C13:V13)=0,"",AVERAGE(C13:V13))</x:f>
        <x:v>90.90625</x:v>
      </x:c>
      <x:c r="X13" s="636"/>
      <x:c r="Y13" s="636"/>
      <x:c r="Z13" s="636"/>
      <x:c r="AA13" s="636"/>
      <x:c r="AB13"/>
    </x:row>
    <x:row r="14"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</x:row>
    <x:row r="15"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</x:row>
    <x:row r="16"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</x:row>
    <x:row r="18"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</x:row>
    <x:row r="19"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</x:row>
    <x:row r="20"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</x:row>
    <x:row r="21"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</x:row>
    <x:row r="22"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</x:row>
    <x:row r="23"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</x:row>
    <x:row r="24"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</x:row>
    <x:row r="25"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</x:row>
    <x:row r="26"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</x:row>
    <x:row r="27"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</x:row>
    <x:row r="28"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</x:row>
    <x:row r="29"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</x:row>
    <x:row r="30"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</x:row>
    <x:row r="31"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</x:row>
    <x:row r="32"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</x:row>
    <x:row r="33"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</x:row>
    <x:row r="34"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</x:row>
    <x:row r="35"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</x:row>
    <x:row r="36"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</x:row>
    <x:row r="37"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</x:row>
    <x:row r="38"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</x:row>
    <x:row r="39"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</x:row>
    <x:row r="40"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</x:row>
  </x:sheetData>
  <x:conditionalFormatting sqref="X2:X13">
    <x:cfRule type="expression" dxfId="2067" priority="838">
      <x:formula>AND(ISNUMBER(X2),X2=100)</x:formula>
    </x:cfRule>
    <x:cfRule type="expression" dxfId="2068" priority="839">
      <x:formula>AND(ISNUMBER(X2),X2&gt;=90,X2&lt;100)</x:formula>
    </x:cfRule>
    <x:cfRule type="expression" dxfId="2069" priority="840">
      <x:formula>AND(ISNUMBER(X2),X2&gt;=80,X2&lt;90)</x:formula>
    </x:cfRule>
    <x:cfRule type="expression" dxfId="2070" priority="841">
      <x:formula>AND(ISNUMBER(X2),X2&gt;=70,X2&lt;80)</x:formula>
    </x:cfRule>
    <x:cfRule type="expression" dxfId="2071" priority="842">
      <x:formula>AND(ISNUMBER(X2),X2&gt;=60,X2&lt;70)</x:formula>
    </x:cfRule>
    <x:cfRule type="expression" dxfId="2072" priority="843">
      <x:formula>AND(ISNUMBER(X2),X2&gt;=50,X2&lt;60)</x:formula>
    </x:cfRule>
    <x:cfRule type="expression" dxfId="2073" priority="844">
      <x:formula>AND(ISNUMBER(X2),X2&gt;=40,X2&lt;50)</x:formula>
    </x:cfRule>
    <x:cfRule type="expression" dxfId="2074" priority="845">
      <x:formula>AND(ISNUMBER(X2),X2&gt;=20,X2&lt;40)</x:formula>
    </x:cfRule>
    <x:cfRule type="expression" dxfId="2075" priority="846">
      <x:formula>AND(ISNUMBER(X2),X2&lt;20)</x:formula>
    </x:cfRule>
  </x:conditionalFormatting>
  <x:conditionalFormatting sqref="Y2:Y13">
    <x:cfRule type="expression" dxfId="2076" priority="847">
      <x:formula>AND(ISNUMBER(Y2),Y2=100)</x:formula>
    </x:cfRule>
    <x:cfRule type="expression" dxfId="2077" priority="848">
      <x:formula>AND(ISNUMBER(Y2),Y2&gt;=90,Y2&lt;100)</x:formula>
    </x:cfRule>
    <x:cfRule type="expression" dxfId="2078" priority="849">
      <x:formula>AND(ISNUMBER(Y2),Y2&gt;=80,Y2&lt;90)</x:formula>
    </x:cfRule>
    <x:cfRule type="expression" dxfId="2079" priority="850">
      <x:formula>AND(ISNUMBER(Y2),Y2&gt;=70,Y2&lt;80)</x:formula>
    </x:cfRule>
    <x:cfRule type="expression" dxfId="2080" priority="851">
      <x:formula>AND(ISNUMBER(Y2),Y2&gt;=60,Y2&lt;70)</x:formula>
    </x:cfRule>
    <x:cfRule type="expression" dxfId="2081" priority="852">
      <x:formula>AND(ISNUMBER(Y2),Y2&gt;=50,Y2&lt;60)</x:formula>
    </x:cfRule>
    <x:cfRule type="expression" dxfId="2082" priority="853">
      <x:formula>AND(ISNUMBER(Y2),Y2&gt;=40,Y2&lt;50)</x:formula>
    </x:cfRule>
    <x:cfRule type="expression" dxfId="2083" priority="854">
      <x:formula>AND(ISNUMBER(Y2),Y2&gt;=20,Y2&lt;40)</x:formula>
    </x:cfRule>
    <x:cfRule type="expression" dxfId="2084" priority="855">
      <x:formula>AND(ISNUMBER(Y2),Y2&lt;20)</x:formula>
    </x:cfRule>
  </x:conditionalFormatting>
  <x:conditionalFormatting sqref="Z2:Z13">
    <x:cfRule type="expression" dxfId="2085" priority="856">
      <x:formula>AND(ISNUMBER(Z2),Z2=100)</x:formula>
    </x:cfRule>
    <x:cfRule type="expression" dxfId="2086" priority="857">
      <x:formula>AND(ISNUMBER(Z2),Z2&gt;=90,Z2&lt;100)</x:formula>
    </x:cfRule>
    <x:cfRule type="expression" dxfId="2087" priority="858">
      <x:formula>AND(ISNUMBER(Z2),Z2&gt;=80,Z2&lt;90)</x:formula>
    </x:cfRule>
    <x:cfRule type="expression" dxfId="2088" priority="859">
      <x:formula>AND(ISNUMBER(Z2),Z2&gt;=70,Z2&lt;80)</x:formula>
    </x:cfRule>
    <x:cfRule type="expression" dxfId="2089" priority="860">
      <x:formula>AND(ISNUMBER(Z2),Z2&gt;=60,Z2&lt;70)</x:formula>
    </x:cfRule>
    <x:cfRule type="expression" dxfId="2090" priority="861">
      <x:formula>AND(ISNUMBER(Z2),Z2&gt;=50,Z2&lt;60)</x:formula>
    </x:cfRule>
    <x:cfRule type="expression" dxfId="2091" priority="862">
      <x:formula>AND(ISNUMBER(Z2),Z2&gt;=40,Z2&lt;50)</x:formula>
    </x:cfRule>
    <x:cfRule type="expression" dxfId="2092" priority="863">
      <x:formula>AND(ISNUMBER(Z2),Z2&gt;=20,Z2&lt;40)</x:formula>
    </x:cfRule>
    <x:cfRule type="expression" dxfId="2093" priority="864">
      <x:formula>AND(ISNUMBER(Z2),Z2&lt;20)</x:formula>
    </x:cfRule>
  </x:conditionalFormatting>
  <x:conditionalFormatting sqref="AA2:AA13">
    <x:cfRule type="expression" dxfId="2094" priority="865">
      <x:formula>AND(ISNUMBER(AA2),AA2=100)</x:formula>
    </x:cfRule>
    <x:cfRule type="expression" dxfId="2095" priority="866">
      <x:formula>AND(ISNUMBER(AA2),AA2&gt;=90,AA2&lt;100)</x:formula>
    </x:cfRule>
    <x:cfRule type="expression" dxfId="2096" priority="867">
      <x:formula>AND(ISNUMBER(AA2),AA2&gt;=80,AA2&lt;90)</x:formula>
    </x:cfRule>
    <x:cfRule type="expression" dxfId="2097" priority="868">
      <x:formula>AND(ISNUMBER(AA2),AA2&gt;=70,AA2&lt;80)</x:formula>
    </x:cfRule>
    <x:cfRule type="expression" dxfId="2098" priority="869">
      <x:formula>AND(ISNUMBER(AA2),AA2&gt;=60,AA2&lt;70)</x:formula>
    </x:cfRule>
    <x:cfRule type="expression" dxfId="2099" priority="870">
      <x:formula>AND(ISNUMBER(AA2),AA2&gt;=50,AA2&lt;60)</x:formula>
    </x:cfRule>
    <x:cfRule type="expression" dxfId="2100" priority="871">
      <x:formula>AND(ISNUMBER(AA2),AA2&gt;=40,AA2&lt;50)</x:formula>
    </x:cfRule>
    <x:cfRule type="expression" dxfId="2101" priority="872">
      <x:formula>AND(ISNUMBER(AA2),AA2&gt;=20,AA2&lt;40)</x:formula>
    </x:cfRule>
    <x:cfRule type="expression" dxfId="2102" priority="873">
      <x:formula>AND(ISNUMBER(AA2),AA2&lt;20)</x:formula>
    </x:cfRule>
  </x:conditionalFormatting>
  <x:conditionalFormatting sqref="C2:C13">
    <x:cfRule type="expression" dxfId="2337" priority="874">
      <x:formula>AND(ISNUMBER(C2),C2=100)</x:formula>
    </x:cfRule>
    <x:cfRule type="expression" dxfId="2338" priority="875">
      <x:formula>AND(ISNUMBER(C2),C2&gt;=90,C2&lt;100)</x:formula>
    </x:cfRule>
    <x:cfRule type="expression" dxfId="2339" priority="876">
      <x:formula>AND(ISNUMBER(C2),C2&gt;=80,C2&lt;90)</x:formula>
    </x:cfRule>
    <x:cfRule type="expression" dxfId="2340" priority="877">
      <x:formula>AND(ISNUMBER(C2),C2&gt;=70,C2&lt;80)</x:formula>
    </x:cfRule>
    <x:cfRule type="expression" dxfId="2341" priority="878">
      <x:formula>AND(ISNUMBER(C2),C2&gt;=60,C2&lt;70)</x:formula>
    </x:cfRule>
    <x:cfRule type="expression" dxfId="2342" priority="879">
      <x:formula>AND(ISNUMBER(C2),C2&gt;=50,C2&lt;60)</x:formula>
    </x:cfRule>
    <x:cfRule type="expression" dxfId="2343" priority="880">
      <x:formula>AND(ISNUMBER(C2),C2&gt;=40,C2&lt;50)</x:formula>
    </x:cfRule>
    <x:cfRule type="expression" dxfId="2344" priority="881">
      <x:formula>AND(ISNUMBER(C2),C2&gt;=20,C2&lt;40)</x:formula>
    </x:cfRule>
    <x:cfRule type="expression" dxfId="2345" priority="882">
      <x:formula>AND(ISNUMBER(C2),C2&lt;20)</x:formula>
    </x:cfRule>
  </x:conditionalFormatting>
  <x:conditionalFormatting sqref="D2:D13">
    <x:cfRule type="expression" dxfId="2346" priority="883">
      <x:formula>AND(ISNUMBER(D2),D2=100)</x:formula>
    </x:cfRule>
    <x:cfRule type="expression" dxfId="2347" priority="884">
      <x:formula>AND(ISNUMBER(D2),D2&gt;=90,D2&lt;100)</x:formula>
    </x:cfRule>
    <x:cfRule type="expression" dxfId="2348" priority="885">
      <x:formula>AND(ISNUMBER(D2),D2&gt;=80,D2&lt;90)</x:formula>
    </x:cfRule>
    <x:cfRule type="expression" dxfId="2349" priority="886">
      <x:formula>AND(ISNUMBER(D2),D2&gt;=70,D2&lt;80)</x:formula>
    </x:cfRule>
    <x:cfRule type="expression" dxfId="2350" priority="887">
      <x:formula>AND(ISNUMBER(D2),D2&gt;=60,D2&lt;70)</x:formula>
    </x:cfRule>
    <x:cfRule type="expression" dxfId="2351" priority="888">
      <x:formula>AND(ISNUMBER(D2),D2&gt;=50,D2&lt;60)</x:formula>
    </x:cfRule>
    <x:cfRule type="expression" dxfId="2352" priority="889">
      <x:formula>AND(ISNUMBER(D2),D2&gt;=40,D2&lt;50)</x:formula>
    </x:cfRule>
    <x:cfRule type="expression" dxfId="2353" priority="890">
      <x:formula>AND(ISNUMBER(D2),D2&gt;=20,D2&lt;40)</x:formula>
    </x:cfRule>
    <x:cfRule type="expression" dxfId="2354" priority="891">
      <x:formula>AND(ISNUMBER(D2),D2&lt;20)</x:formula>
    </x:cfRule>
  </x:conditionalFormatting>
  <x:conditionalFormatting sqref="E2:E13">
    <x:cfRule type="expression" dxfId="2355" priority="892">
      <x:formula>AND(ISNUMBER(E2),E2=100)</x:formula>
    </x:cfRule>
    <x:cfRule type="expression" dxfId="2356" priority="893">
      <x:formula>AND(ISNUMBER(E2),E2&gt;=90,E2&lt;100)</x:formula>
    </x:cfRule>
    <x:cfRule type="expression" dxfId="2357" priority="894">
      <x:formula>AND(ISNUMBER(E2),E2&gt;=80,E2&lt;90)</x:formula>
    </x:cfRule>
    <x:cfRule type="expression" dxfId="2358" priority="895">
      <x:formula>AND(ISNUMBER(E2),E2&gt;=70,E2&lt;80)</x:formula>
    </x:cfRule>
    <x:cfRule type="expression" dxfId="2359" priority="896">
      <x:formula>AND(ISNUMBER(E2),E2&gt;=60,E2&lt;70)</x:formula>
    </x:cfRule>
    <x:cfRule type="expression" dxfId="2360" priority="897">
      <x:formula>AND(ISNUMBER(E2),E2&gt;=50,E2&lt;60)</x:formula>
    </x:cfRule>
    <x:cfRule type="expression" dxfId="2361" priority="898">
      <x:formula>AND(ISNUMBER(E2),E2&gt;=40,E2&lt;50)</x:formula>
    </x:cfRule>
    <x:cfRule type="expression" dxfId="2362" priority="899">
      <x:formula>AND(ISNUMBER(E2),E2&gt;=20,E2&lt;40)</x:formula>
    </x:cfRule>
    <x:cfRule type="expression" dxfId="2363" priority="900">
      <x:formula>AND(ISNUMBER(E2),E2&lt;20)</x:formula>
    </x:cfRule>
  </x:conditionalFormatting>
  <x:conditionalFormatting sqref="F2:F13">
    <x:cfRule type="expression" dxfId="2364" priority="901">
      <x:formula>AND(ISNUMBER(F2),F2=100)</x:formula>
    </x:cfRule>
    <x:cfRule type="expression" dxfId="2365" priority="902">
      <x:formula>AND(ISNUMBER(F2),F2&gt;=90,F2&lt;100)</x:formula>
    </x:cfRule>
    <x:cfRule type="expression" dxfId="2366" priority="903">
      <x:formula>AND(ISNUMBER(F2),F2&gt;=80,F2&lt;90)</x:formula>
    </x:cfRule>
    <x:cfRule type="expression" dxfId="2367" priority="904">
      <x:formula>AND(ISNUMBER(F2),F2&gt;=70,F2&lt;80)</x:formula>
    </x:cfRule>
    <x:cfRule type="expression" dxfId="2368" priority="905">
      <x:formula>AND(ISNUMBER(F2),F2&gt;=60,F2&lt;70)</x:formula>
    </x:cfRule>
    <x:cfRule type="expression" dxfId="2369" priority="906">
      <x:formula>AND(ISNUMBER(F2),F2&gt;=50,F2&lt;60)</x:formula>
    </x:cfRule>
    <x:cfRule type="expression" dxfId="2370" priority="907">
      <x:formula>AND(ISNUMBER(F2),F2&gt;=40,F2&lt;50)</x:formula>
    </x:cfRule>
    <x:cfRule type="expression" dxfId="2371" priority="908">
      <x:formula>AND(ISNUMBER(F2),F2&gt;=20,F2&lt;40)</x:formula>
    </x:cfRule>
    <x:cfRule type="expression" dxfId="2372" priority="909">
      <x:formula>AND(ISNUMBER(F2),F2&lt;20)</x:formula>
    </x:cfRule>
  </x:conditionalFormatting>
  <x:conditionalFormatting sqref="G2:G13">
    <x:cfRule type="expression" dxfId="2373" priority="910">
      <x:formula>AND(ISNUMBER(G2),G2=100)</x:formula>
    </x:cfRule>
    <x:cfRule type="expression" dxfId="2374" priority="911">
      <x:formula>AND(ISNUMBER(G2),G2&gt;=90,G2&lt;100)</x:formula>
    </x:cfRule>
    <x:cfRule type="expression" dxfId="2375" priority="912">
      <x:formula>AND(ISNUMBER(G2),G2&gt;=80,G2&lt;90)</x:formula>
    </x:cfRule>
    <x:cfRule type="expression" dxfId="2376" priority="913">
      <x:formula>AND(ISNUMBER(G2),G2&gt;=70,G2&lt;80)</x:formula>
    </x:cfRule>
    <x:cfRule type="expression" dxfId="2377" priority="914">
      <x:formula>AND(ISNUMBER(G2),G2&gt;=60,G2&lt;70)</x:formula>
    </x:cfRule>
    <x:cfRule type="expression" dxfId="2378" priority="915">
      <x:formula>AND(ISNUMBER(G2),G2&gt;=50,G2&lt;60)</x:formula>
    </x:cfRule>
    <x:cfRule type="expression" dxfId="2379" priority="916">
      <x:formula>AND(ISNUMBER(G2),G2&gt;=40,G2&lt;50)</x:formula>
    </x:cfRule>
    <x:cfRule type="expression" dxfId="2380" priority="917">
      <x:formula>AND(ISNUMBER(G2),G2&gt;=20,G2&lt;40)</x:formula>
    </x:cfRule>
    <x:cfRule type="expression" dxfId="2381" priority="918">
      <x:formula>AND(ISNUMBER(G2),G2&lt;20)</x:formula>
    </x:cfRule>
  </x:conditionalFormatting>
  <x:conditionalFormatting sqref="H2:H13">
    <x:cfRule type="expression" dxfId="2382" priority="919">
      <x:formula>AND(ISNUMBER(H2),H2=100)</x:formula>
    </x:cfRule>
    <x:cfRule type="expression" dxfId="2383" priority="920">
      <x:formula>AND(ISNUMBER(H2),H2&gt;=90,H2&lt;100)</x:formula>
    </x:cfRule>
    <x:cfRule type="expression" dxfId="2384" priority="921">
      <x:formula>AND(ISNUMBER(H2),H2&gt;=80,H2&lt;90)</x:formula>
    </x:cfRule>
    <x:cfRule type="expression" dxfId="2385" priority="922">
      <x:formula>AND(ISNUMBER(H2),H2&gt;=70,H2&lt;80)</x:formula>
    </x:cfRule>
    <x:cfRule type="expression" dxfId="2386" priority="923">
      <x:formula>AND(ISNUMBER(H2),H2&gt;=60,H2&lt;70)</x:formula>
    </x:cfRule>
    <x:cfRule type="expression" dxfId="2387" priority="924">
      <x:formula>AND(ISNUMBER(H2),H2&gt;=50,H2&lt;60)</x:formula>
    </x:cfRule>
    <x:cfRule type="expression" dxfId="2388" priority="925">
      <x:formula>AND(ISNUMBER(H2),H2&gt;=40,H2&lt;50)</x:formula>
    </x:cfRule>
    <x:cfRule type="expression" dxfId="2389" priority="926">
      <x:formula>AND(ISNUMBER(H2),H2&gt;=20,H2&lt;40)</x:formula>
    </x:cfRule>
    <x:cfRule type="expression" dxfId="2390" priority="927">
      <x:formula>AND(ISNUMBER(H2),H2&lt;20)</x:formula>
    </x:cfRule>
  </x:conditionalFormatting>
  <x:conditionalFormatting sqref="I2:I13">
    <x:cfRule type="expression" dxfId="2391" priority="928">
      <x:formula>AND(ISNUMBER(I2),I2=100)</x:formula>
    </x:cfRule>
    <x:cfRule type="expression" dxfId="2392" priority="929">
      <x:formula>AND(ISNUMBER(I2),I2&gt;=90,I2&lt;100)</x:formula>
    </x:cfRule>
    <x:cfRule type="expression" dxfId="2393" priority="930">
      <x:formula>AND(ISNUMBER(I2),I2&gt;=80,I2&lt;90)</x:formula>
    </x:cfRule>
    <x:cfRule type="expression" dxfId="2394" priority="931">
      <x:formula>AND(ISNUMBER(I2),I2&gt;=70,I2&lt;80)</x:formula>
    </x:cfRule>
    <x:cfRule type="expression" dxfId="2395" priority="932">
      <x:formula>AND(ISNUMBER(I2),I2&gt;=60,I2&lt;70)</x:formula>
    </x:cfRule>
    <x:cfRule type="expression" dxfId="2396" priority="933">
      <x:formula>AND(ISNUMBER(I2),I2&gt;=50,I2&lt;60)</x:formula>
    </x:cfRule>
    <x:cfRule type="expression" dxfId="2397" priority="934">
      <x:formula>AND(ISNUMBER(I2),I2&gt;=40,I2&lt;50)</x:formula>
    </x:cfRule>
    <x:cfRule type="expression" dxfId="2398" priority="935">
      <x:formula>AND(ISNUMBER(I2),I2&gt;=20,I2&lt;40)</x:formula>
    </x:cfRule>
    <x:cfRule type="expression" dxfId="2399" priority="936">
      <x:formula>AND(ISNUMBER(I2),I2&lt;20)</x:formula>
    </x:cfRule>
  </x:conditionalFormatting>
  <x:conditionalFormatting sqref="J2:J13">
    <x:cfRule type="expression" dxfId="2400" priority="937">
      <x:formula>AND(ISNUMBER(J2),J2=100)</x:formula>
    </x:cfRule>
    <x:cfRule type="expression" dxfId="2401" priority="938">
      <x:formula>AND(ISNUMBER(J2),J2&gt;=90,J2&lt;100)</x:formula>
    </x:cfRule>
    <x:cfRule type="expression" dxfId="2402" priority="939">
      <x:formula>AND(ISNUMBER(J2),J2&gt;=80,J2&lt;90)</x:formula>
    </x:cfRule>
    <x:cfRule type="expression" dxfId="2403" priority="940">
      <x:formula>AND(ISNUMBER(J2),J2&gt;=70,J2&lt;80)</x:formula>
    </x:cfRule>
    <x:cfRule type="expression" dxfId="2404" priority="941">
      <x:formula>AND(ISNUMBER(J2),J2&gt;=60,J2&lt;70)</x:formula>
    </x:cfRule>
    <x:cfRule type="expression" dxfId="2405" priority="942">
      <x:formula>AND(ISNUMBER(J2),J2&gt;=50,J2&lt;60)</x:formula>
    </x:cfRule>
    <x:cfRule type="expression" dxfId="2406" priority="943">
      <x:formula>AND(ISNUMBER(J2),J2&gt;=40,J2&lt;50)</x:formula>
    </x:cfRule>
    <x:cfRule type="expression" dxfId="2407" priority="944">
      <x:formula>AND(ISNUMBER(J2),J2&gt;=20,J2&lt;40)</x:formula>
    </x:cfRule>
    <x:cfRule type="expression" dxfId="2408" priority="945">
      <x:formula>AND(ISNUMBER(J2),J2&lt;20)</x:formula>
    </x:cfRule>
  </x:conditionalFormatting>
  <x:conditionalFormatting sqref="K2:K13">
    <x:cfRule type="expression" dxfId="2409" priority="946">
      <x:formula>AND(ISNUMBER(K2),K2=100)</x:formula>
    </x:cfRule>
    <x:cfRule type="expression" dxfId="2410" priority="947">
      <x:formula>AND(ISNUMBER(K2),K2&gt;=90,K2&lt;100)</x:formula>
    </x:cfRule>
    <x:cfRule type="expression" dxfId="2411" priority="948">
      <x:formula>AND(ISNUMBER(K2),K2&gt;=80,K2&lt;90)</x:formula>
    </x:cfRule>
    <x:cfRule type="expression" dxfId="2412" priority="949">
      <x:formula>AND(ISNUMBER(K2),K2&gt;=70,K2&lt;80)</x:formula>
    </x:cfRule>
    <x:cfRule type="expression" dxfId="2413" priority="950">
      <x:formula>AND(ISNUMBER(K2),K2&gt;=60,K2&lt;70)</x:formula>
    </x:cfRule>
    <x:cfRule type="expression" dxfId="2414" priority="951">
      <x:formula>AND(ISNUMBER(K2),K2&gt;=50,K2&lt;60)</x:formula>
    </x:cfRule>
    <x:cfRule type="expression" dxfId="2415" priority="952">
      <x:formula>AND(ISNUMBER(K2),K2&gt;=40,K2&lt;50)</x:formula>
    </x:cfRule>
    <x:cfRule type="expression" dxfId="2416" priority="953">
      <x:formula>AND(ISNUMBER(K2),K2&gt;=20,K2&lt;40)</x:formula>
    </x:cfRule>
    <x:cfRule type="expression" dxfId="2417" priority="954">
      <x:formula>AND(ISNUMBER(K2),K2&lt;20)</x:formula>
    </x:cfRule>
  </x:conditionalFormatting>
  <x:conditionalFormatting sqref="L2:L13">
    <x:cfRule type="expression" dxfId="2418" priority="955">
      <x:formula>AND(ISNUMBER(L2),L2=100)</x:formula>
    </x:cfRule>
    <x:cfRule type="expression" dxfId="2419" priority="956">
      <x:formula>AND(ISNUMBER(L2),L2&gt;=90,L2&lt;100)</x:formula>
    </x:cfRule>
    <x:cfRule type="expression" dxfId="2420" priority="957">
      <x:formula>AND(ISNUMBER(L2),L2&gt;=80,L2&lt;90)</x:formula>
    </x:cfRule>
    <x:cfRule type="expression" dxfId="2421" priority="958">
      <x:formula>AND(ISNUMBER(L2),L2&gt;=70,L2&lt;80)</x:formula>
    </x:cfRule>
    <x:cfRule type="expression" dxfId="2422" priority="959">
      <x:formula>AND(ISNUMBER(L2),L2&gt;=60,L2&lt;70)</x:formula>
    </x:cfRule>
    <x:cfRule type="expression" dxfId="2423" priority="960">
      <x:formula>AND(ISNUMBER(L2),L2&gt;=50,L2&lt;60)</x:formula>
    </x:cfRule>
    <x:cfRule type="expression" dxfId="2424" priority="961">
      <x:formula>AND(ISNUMBER(L2),L2&gt;=40,L2&lt;50)</x:formula>
    </x:cfRule>
    <x:cfRule type="expression" dxfId="2425" priority="962">
      <x:formula>AND(ISNUMBER(L2),L2&gt;=20,L2&lt;40)</x:formula>
    </x:cfRule>
    <x:cfRule type="expression" dxfId="2426" priority="963">
      <x:formula>AND(ISNUMBER(L2),L2&lt;20)</x:formula>
    </x:cfRule>
  </x:conditionalFormatting>
  <x:conditionalFormatting sqref="M2:M13">
    <x:cfRule type="expression" dxfId="2427" priority="964">
      <x:formula>AND(ISNUMBER(M2),M2=100)</x:formula>
    </x:cfRule>
    <x:cfRule type="expression" dxfId="2428" priority="965">
      <x:formula>AND(ISNUMBER(M2),M2&gt;=90,M2&lt;100)</x:formula>
    </x:cfRule>
    <x:cfRule type="expression" dxfId="2429" priority="966">
      <x:formula>AND(ISNUMBER(M2),M2&gt;=80,M2&lt;90)</x:formula>
    </x:cfRule>
    <x:cfRule type="expression" dxfId="2430" priority="967">
      <x:formula>AND(ISNUMBER(M2),M2&gt;=70,M2&lt;80)</x:formula>
    </x:cfRule>
    <x:cfRule type="expression" dxfId="2431" priority="968">
      <x:formula>AND(ISNUMBER(M2),M2&gt;=60,M2&lt;70)</x:formula>
    </x:cfRule>
    <x:cfRule type="expression" dxfId="2432" priority="969">
      <x:formula>AND(ISNUMBER(M2),M2&gt;=50,M2&lt;60)</x:formula>
    </x:cfRule>
    <x:cfRule type="expression" dxfId="2433" priority="970">
      <x:formula>AND(ISNUMBER(M2),M2&gt;=40,M2&lt;50)</x:formula>
    </x:cfRule>
    <x:cfRule type="expression" dxfId="2434" priority="971">
      <x:formula>AND(ISNUMBER(M2),M2&gt;=20,M2&lt;40)</x:formula>
    </x:cfRule>
    <x:cfRule type="expression" dxfId="2435" priority="972">
      <x:formula>AND(ISNUMBER(M2),M2&lt;20)</x:formula>
    </x:cfRule>
  </x:conditionalFormatting>
  <x:conditionalFormatting sqref="N2:N13">
    <x:cfRule type="expression" dxfId="2436" priority="973">
      <x:formula>AND(ISNUMBER(N2),N2=100)</x:formula>
    </x:cfRule>
    <x:cfRule type="expression" dxfId="2437" priority="974">
      <x:formula>AND(ISNUMBER(N2),N2&gt;=90,N2&lt;100)</x:formula>
    </x:cfRule>
    <x:cfRule type="expression" dxfId="2438" priority="975">
      <x:formula>AND(ISNUMBER(N2),N2&gt;=80,N2&lt;90)</x:formula>
    </x:cfRule>
    <x:cfRule type="expression" dxfId="2439" priority="976">
      <x:formula>AND(ISNUMBER(N2),N2&gt;=70,N2&lt;80)</x:formula>
    </x:cfRule>
    <x:cfRule type="expression" dxfId="2440" priority="977">
      <x:formula>AND(ISNUMBER(N2),N2&gt;=60,N2&lt;70)</x:formula>
    </x:cfRule>
    <x:cfRule type="expression" dxfId="2441" priority="978">
      <x:formula>AND(ISNUMBER(N2),N2&gt;=50,N2&lt;60)</x:formula>
    </x:cfRule>
    <x:cfRule type="expression" dxfId="2442" priority="979">
      <x:formula>AND(ISNUMBER(N2),N2&gt;=40,N2&lt;50)</x:formula>
    </x:cfRule>
    <x:cfRule type="expression" dxfId="2443" priority="980">
      <x:formula>AND(ISNUMBER(N2),N2&gt;=20,N2&lt;40)</x:formula>
    </x:cfRule>
    <x:cfRule type="expression" dxfId="2444" priority="981">
      <x:formula>AND(ISNUMBER(N2),N2&lt;20)</x:formula>
    </x:cfRule>
  </x:conditionalFormatting>
  <x:conditionalFormatting sqref="O2:O13">
    <x:cfRule type="expression" dxfId="2445" priority="982">
      <x:formula>AND(ISNUMBER(O2),O2=100)</x:formula>
    </x:cfRule>
    <x:cfRule type="expression" dxfId="2446" priority="983">
      <x:formula>AND(ISNUMBER(O2),O2&gt;=90,O2&lt;100)</x:formula>
    </x:cfRule>
    <x:cfRule type="expression" dxfId="2447" priority="984">
      <x:formula>AND(ISNUMBER(O2),O2&gt;=80,O2&lt;90)</x:formula>
    </x:cfRule>
    <x:cfRule type="expression" dxfId="2448" priority="985">
      <x:formula>AND(ISNUMBER(O2),O2&gt;=70,O2&lt;80)</x:formula>
    </x:cfRule>
    <x:cfRule type="expression" dxfId="2449" priority="986">
      <x:formula>AND(ISNUMBER(O2),O2&gt;=60,O2&lt;70)</x:formula>
    </x:cfRule>
    <x:cfRule type="expression" dxfId="2450" priority="987">
      <x:formula>AND(ISNUMBER(O2),O2&gt;=50,O2&lt;60)</x:formula>
    </x:cfRule>
    <x:cfRule type="expression" dxfId="2451" priority="988">
      <x:formula>AND(ISNUMBER(O2),O2&gt;=40,O2&lt;50)</x:formula>
    </x:cfRule>
    <x:cfRule type="expression" dxfId="2452" priority="989">
      <x:formula>AND(ISNUMBER(O2),O2&gt;=20,O2&lt;40)</x:formula>
    </x:cfRule>
    <x:cfRule type="expression" dxfId="2453" priority="990">
      <x:formula>AND(ISNUMBER(O2),O2&lt;20)</x:formula>
    </x:cfRule>
  </x:conditionalFormatting>
  <x:conditionalFormatting sqref="P2:P13">
    <x:cfRule type="expression" dxfId="2454" priority="991">
      <x:formula>AND(ISNUMBER(P2),P2=100)</x:formula>
    </x:cfRule>
    <x:cfRule type="expression" dxfId="2455" priority="992">
      <x:formula>AND(ISNUMBER(P2),P2&gt;=90,P2&lt;100)</x:formula>
    </x:cfRule>
    <x:cfRule type="expression" dxfId="2456" priority="993">
      <x:formula>AND(ISNUMBER(P2),P2&gt;=80,P2&lt;90)</x:formula>
    </x:cfRule>
    <x:cfRule type="expression" dxfId="2457" priority="994">
      <x:formula>AND(ISNUMBER(P2),P2&gt;=70,P2&lt;80)</x:formula>
    </x:cfRule>
    <x:cfRule type="expression" dxfId="2458" priority="995">
      <x:formula>AND(ISNUMBER(P2),P2&gt;=60,P2&lt;70)</x:formula>
    </x:cfRule>
    <x:cfRule type="expression" dxfId="2459" priority="996">
      <x:formula>AND(ISNUMBER(P2),P2&gt;=50,P2&lt;60)</x:formula>
    </x:cfRule>
    <x:cfRule type="expression" dxfId="2460" priority="997">
      <x:formula>AND(ISNUMBER(P2),P2&gt;=40,P2&lt;50)</x:formula>
    </x:cfRule>
    <x:cfRule type="expression" dxfId="2461" priority="998">
      <x:formula>AND(ISNUMBER(P2),P2&gt;=20,P2&lt;40)</x:formula>
    </x:cfRule>
    <x:cfRule type="expression" dxfId="2462" priority="999">
      <x:formula>AND(ISNUMBER(P2),P2&lt;20)</x:formula>
    </x:cfRule>
  </x:conditionalFormatting>
  <x:conditionalFormatting sqref="Q2:Q13">
    <x:cfRule type="expression" dxfId="2463" priority="1000">
      <x:formula>AND(ISNUMBER(Q2),Q2=100)</x:formula>
    </x:cfRule>
    <x:cfRule type="expression" dxfId="2464" priority="1001">
      <x:formula>AND(ISNUMBER(Q2),Q2&gt;=90,Q2&lt;100)</x:formula>
    </x:cfRule>
    <x:cfRule type="expression" dxfId="2465" priority="1002">
      <x:formula>AND(ISNUMBER(Q2),Q2&gt;=80,Q2&lt;90)</x:formula>
    </x:cfRule>
    <x:cfRule type="expression" dxfId="2466" priority="1003">
      <x:formula>AND(ISNUMBER(Q2),Q2&gt;=70,Q2&lt;80)</x:formula>
    </x:cfRule>
    <x:cfRule type="expression" dxfId="2467" priority="1004">
      <x:formula>AND(ISNUMBER(Q2),Q2&gt;=60,Q2&lt;70)</x:formula>
    </x:cfRule>
    <x:cfRule type="expression" dxfId="2468" priority="1005">
      <x:formula>AND(ISNUMBER(Q2),Q2&gt;=50,Q2&lt;60)</x:formula>
    </x:cfRule>
    <x:cfRule type="expression" dxfId="2469" priority="1006">
      <x:formula>AND(ISNUMBER(Q2),Q2&gt;=40,Q2&lt;50)</x:formula>
    </x:cfRule>
    <x:cfRule type="expression" dxfId="2470" priority="1007">
      <x:formula>AND(ISNUMBER(Q2),Q2&gt;=20,Q2&lt;40)</x:formula>
    </x:cfRule>
    <x:cfRule type="expression" dxfId="2471" priority="1008">
      <x:formula>AND(ISNUMBER(Q2),Q2&lt;20)</x:formula>
    </x:cfRule>
  </x:conditionalFormatting>
  <x:conditionalFormatting sqref="R2:R13">
    <x:cfRule type="expression" dxfId="2472" priority="1009">
      <x:formula>AND(ISNUMBER(R2),R2=100)</x:formula>
    </x:cfRule>
    <x:cfRule type="expression" dxfId="2473" priority="1010">
      <x:formula>AND(ISNUMBER(R2),R2&gt;=90,R2&lt;100)</x:formula>
    </x:cfRule>
    <x:cfRule type="expression" dxfId="2474" priority="1011">
      <x:formula>AND(ISNUMBER(R2),R2&gt;=80,R2&lt;90)</x:formula>
    </x:cfRule>
    <x:cfRule type="expression" dxfId="2475" priority="1012">
      <x:formula>AND(ISNUMBER(R2),R2&gt;=70,R2&lt;80)</x:formula>
    </x:cfRule>
    <x:cfRule type="expression" dxfId="2476" priority="1013">
      <x:formula>AND(ISNUMBER(R2),R2&gt;=60,R2&lt;70)</x:formula>
    </x:cfRule>
    <x:cfRule type="expression" dxfId="2477" priority="1014">
      <x:formula>AND(ISNUMBER(R2),R2&gt;=50,R2&lt;60)</x:formula>
    </x:cfRule>
    <x:cfRule type="expression" dxfId="2478" priority="1015">
      <x:formula>AND(ISNUMBER(R2),R2&gt;=40,R2&lt;50)</x:formula>
    </x:cfRule>
    <x:cfRule type="expression" dxfId="2479" priority="1016">
      <x:formula>AND(ISNUMBER(R2),R2&gt;=20,R2&lt;40)</x:formula>
    </x:cfRule>
    <x:cfRule type="expression" dxfId="2480" priority="1017">
      <x:formula>AND(ISNUMBER(R2),R2&lt;20)</x:formula>
    </x:cfRule>
  </x:conditionalFormatting>
  <x:conditionalFormatting sqref="S2:S13">
    <x:cfRule type="expression" dxfId="2481" priority="1018">
      <x:formula>AND(ISNUMBER(S2),S2=100)</x:formula>
    </x:cfRule>
    <x:cfRule type="expression" dxfId="2482" priority="1019">
      <x:formula>AND(ISNUMBER(S2),S2&gt;=90,S2&lt;100)</x:formula>
    </x:cfRule>
    <x:cfRule type="expression" dxfId="2483" priority="1020">
      <x:formula>AND(ISNUMBER(S2),S2&gt;=80,S2&lt;90)</x:formula>
    </x:cfRule>
    <x:cfRule type="expression" dxfId="2484" priority="1021">
      <x:formula>AND(ISNUMBER(S2),S2&gt;=70,S2&lt;80)</x:formula>
    </x:cfRule>
    <x:cfRule type="expression" dxfId="2485" priority="1022">
      <x:formula>AND(ISNUMBER(S2),S2&gt;=60,S2&lt;70)</x:formula>
    </x:cfRule>
    <x:cfRule type="expression" dxfId="2486" priority="1023">
      <x:formula>AND(ISNUMBER(S2),S2&gt;=50,S2&lt;60)</x:formula>
    </x:cfRule>
    <x:cfRule type="expression" dxfId="2487" priority="1024">
      <x:formula>AND(ISNUMBER(S2),S2&gt;=40,S2&lt;50)</x:formula>
    </x:cfRule>
    <x:cfRule type="expression" dxfId="2488" priority="1025">
      <x:formula>AND(ISNUMBER(S2),S2&gt;=20,S2&lt;40)</x:formula>
    </x:cfRule>
    <x:cfRule type="expression" dxfId="2489" priority="1026">
      <x:formula>AND(ISNUMBER(S2),S2&lt;20)</x:formula>
    </x:cfRule>
  </x:conditionalFormatting>
  <x:conditionalFormatting sqref="T2:T13">
    <x:cfRule type="expression" dxfId="2490" priority="1027">
      <x:formula>AND(ISNUMBER(T2),T2=100)</x:formula>
    </x:cfRule>
    <x:cfRule type="expression" dxfId="2491" priority="1028">
      <x:formula>AND(ISNUMBER(T2),T2&gt;=90,T2&lt;100)</x:formula>
    </x:cfRule>
    <x:cfRule type="expression" dxfId="2492" priority="1029">
      <x:formula>AND(ISNUMBER(T2),T2&gt;=80,T2&lt;90)</x:formula>
    </x:cfRule>
    <x:cfRule type="expression" dxfId="2493" priority="1030">
      <x:formula>AND(ISNUMBER(T2),T2&gt;=70,T2&lt;80)</x:formula>
    </x:cfRule>
    <x:cfRule type="expression" dxfId="2494" priority="1031">
      <x:formula>AND(ISNUMBER(T2),T2&gt;=60,T2&lt;70)</x:formula>
    </x:cfRule>
    <x:cfRule type="expression" dxfId="2495" priority="1032">
      <x:formula>AND(ISNUMBER(T2),T2&gt;=50,T2&lt;60)</x:formula>
    </x:cfRule>
    <x:cfRule type="expression" dxfId="2496" priority="1033">
      <x:formula>AND(ISNUMBER(T2),T2&gt;=40,T2&lt;50)</x:formula>
    </x:cfRule>
    <x:cfRule type="expression" dxfId="2497" priority="1034">
      <x:formula>AND(ISNUMBER(T2),T2&gt;=20,T2&lt;40)</x:formula>
    </x:cfRule>
    <x:cfRule type="expression" dxfId="2498" priority="1035">
      <x:formula>AND(ISNUMBER(T2),T2&lt;20)</x:formula>
    </x:cfRule>
  </x:conditionalFormatting>
  <x:conditionalFormatting sqref="U2:U13">
    <x:cfRule type="expression" dxfId="2499" priority="1036">
      <x:formula>AND(ISNUMBER(U2),U2=100)</x:formula>
    </x:cfRule>
    <x:cfRule type="expression" dxfId="2500" priority="1037">
      <x:formula>AND(ISNUMBER(U2),U2&gt;=90,U2&lt;100)</x:formula>
    </x:cfRule>
    <x:cfRule type="expression" dxfId="2501" priority="1038">
      <x:formula>AND(ISNUMBER(U2),U2&gt;=80,U2&lt;90)</x:formula>
    </x:cfRule>
    <x:cfRule type="expression" dxfId="2502" priority="1039">
      <x:formula>AND(ISNUMBER(U2),U2&gt;=70,U2&lt;80)</x:formula>
    </x:cfRule>
    <x:cfRule type="expression" dxfId="2503" priority="1040">
      <x:formula>AND(ISNUMBER(U2),U2&gt;=60,U2&lt;70)</x:formula>
    </x:cfRule>
    <x:cfRule type="expression" dxfId="2504" priority="1041">
      <x:formula>AND(ISNUMBER(U2),U2&gt;=50,U2&lt;60)</x:formula>
    </x:cfRule>
    <x:cfRule type="expression" dxfId="2505" priority="1042">
      <x:formula>AND(ISNUMBER(U2),U2&gt;=40,U2&lt;50)</x:formula>
    </x:cfRule>
    <x:cfRule type="expression" dxfId="2506" priority="1043">
      <x:formula>AND(ISNUMBER(U2),U2&gt;=20,U2&lt;40)</x:formula>
    </x:cfRule>
    <x:cfRule type="expression" dxfId="2507" priority="1044">
      <x:formula>AND(ISNUMBER(U2),U2&lt;20)</x:formula>
    </x:cfRule>
  </x:conditionalFormatting>
  <x:conditionalFormatting sqref="V2:V13">
    <x:cfRule type="expression" dxfId="2508" priority="1045">
      <x:formula>AND(ISNUMBER(V2),V2=100)</x:formula>
    </x:cfRule>
    <x:cfRule type="expression" dxfId="2509" priority="1046">
      <x:formula>AND(ISNUMBER(V2),V2&gt;=90,V2&lt;100)</x:formula>
    </x:cfRule>
    <x:cfRule type="expression" dxfId="2510" priority="1047">
      <x:formula>AND(ISNUMBER(V2),V2&gt;=80,V2&lt;90)</x:formula>
    </x:cfRule>
    <x:cfRule type="expression" dxfId="2511" priority="1048">
      <x:formula>AND(ISNUMBER(V2),V2&gt;=70,V2&lt;80)</x:formula>
    </x:cfRule>
    <x:cfRule type="expression" dxfId="2512" priority="1049">
      <x:formula>AND(ISNUMBER(V2),V2&gt;=60,V2&lt;70)</x:formula>
    </x:cfRule>
    <x:cfRule type="expression" dxfId="2513" priority="1050">
      <x:formula>AND(ISNUMBER(V2),V2&gt;=50,V2&lt;60)</x:formula>
    </x:cfRule>
    <x:cfRule type="expression" dxfId="2514" priority="1051">
      <x:formula>AND(ISNUMBER(V2),V2&gt;=40,V2&lt;50)</x:formula>
    </x:cfRule>
    <x:cfRule type="expression" dxfId="2515" priority="1052">
      <x:formula>AND(ISNUMBER(V2),V2&gt;=20,V2&lt;40)</x:formula>
    </x:cfRule>
    <x:cfRule type="expression" dxfId="2516" priority="1053">
      <x:formula>AND(ISNUMBER(V2),V2&lt;20)</x:formula>
    </x:cfRule>
  </x:conditionalFormatting>
  <x:conditionalFormatting sqref="W2:W13">
    <x:cfRule type="expression" dxfId="2517" priority="1054">
      <x:formula>AND(ISNUMBER(W2),W2=100)</x:formula>
    </x:cfRule>
    <x:cfRule type="expression" dxfId="2518" priority="1055">
      <x:formula>AND(ISNUMBER(W2),W2&gt;=90,W2&lt;100)</x:formula>
    </x:cfRule>
    <x:cfRule type="expression" dxfId="2519" priority="1056">
      <x:formula>AND(ISNUMBER(W2),W2&gt;=80,W2&lt;90)</x:formula>
    </x:cfRule>
    <x:cfRule type="expression" dxfId="2520" priority="1057">
      <x:formula>AND(ISNUMBER(W2),W2&gt;=70,W2&lt;80)</x:formula>
    </x:cfRule>
    <x:cfRule type="expression" dxfId="2521" priority="1058">
      <x:formula>AND(ISNUMBER(W2),W2&gt;=60,W2&lt;70)</x:formula>
    </x:cfRule>
    <x:cfRule type="expression" dxfId="2522" priority="1059">
      <x:formula>AND(ISNUMBER(W2),W2&gt;=50,W2&lt;60)</x:formula>
    </x:cfRule>
    <x:cfRule type="expression" dxfId="2523" priority="1060">
      <x:formula>AND(ISNUMBER(W2),W2&gt;=40,W2&lt;50)</x:formula>
    </x:cfRule>
    <x:cfRule type="expression" dxfId="2524" priority="1061">
      <x:formula>AND(ISNUMBER(W2),W2&gt;=20,W2&lt;40)</x:formula>
    </x:cfRule>
    <x:cfRule type="expression" dxfId="2525" priority="1062">
      <x:formula>AND(ISNUMBER(W2),W2&lt;20)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20" hidden="0" customWidth="1"/>
    <x:col min="26" max="26" width="20" hidden="0" customWidth="1"/>
    <x:col min="27" max="27" width="20" hidden="0" customWidth="1"/>
    <x:col min="28" max="28" width="18" hidden="0" customWidth="1"/>
  </x:cols>
  <x:sheetData>
    <x:row r="1" ht="42" customHeight="1">
      <x:c r="A1" s="13" t="str">
        <x:v>ID</x:v>
      </x:c>
      <x:c r="B1" s="14" t="str">
        <x:v>Раздел</x:v>
      </x:c>
      <x:c r="C1" s="14" t="str">
        <x:v>Задание</x:v>
      </x:c>
      <x:c r="D1" s="14" t="str">
        <x:v>GPT 5.6 Sol high</x:v>
      </x:c>
      <x:c r="E1" s="14" t="str">
        <x:v>GPT 5.6 Sol medium</x:v>
      </x:c>
      <x:c r="F1" s="14" t="str">
        <x:v>GPT 5.6 Sol low</x:v>
      </x:c>
      <x:c r="G1" s="14" t="str">
        <x:v>GPT 5.5 high</x:v>
      </x:c>
      <x:c r="H1" s="14" t="str">
        <x:v>Qwen 3.8 max</x:v>
      </x:c>
      <x:c r="I1" s="14" t="str">
        <x:v>GPT 5.5 medium</x:v>
      </x:c>
      <x:c r="J1" s="14" t="str">
        <x:v>Qwen 3.8 Flash Next с thinking</x:v>
      </x:c>
      <x:c r="K1" s="14" t="str">
        <x:v>DeepSeek chat</x:v>
      </x:c>
      <x:c r="L1" s="14" t="str">
        <x:v>GPT 5.5 — low</x:v>
      </x:c>
      <x:c r="M1" s="14" t="str">
        <x:v>Qwen 3.8 27b с thinking</x:v>
      </x:c>
      <x:c r="N1" s="14" t="str">
        <x:v>Qwen 3.8 27b uncensored с thinking</x:v>
      </x:c>
      <x:c r="O1" s="14" t="str">
        <x:v>Qwen 3.8 Flash Next без thinking</x:v>
      </x:c>
      <x:c r="P1" s="14" t="str">
        <x:v>Qwen 3.6 35b a3b mtp без thinking</x:v>
      </x:c>
      <x:c r="Q1" s="14" t="str">
        <x:v>Qwen 3.6 35b a3b mtp с thinking</x:v>
      </x:c>
      <x:c r="R1" s="14" t="str">
        <x:v>Qwen 3.6 35b a3b HauhauCS с thinking</x:v>
      </x:c>
      <x:c r="S1" s="14" t="str">
        <x:v>gemma4-12b-qat-uncensored-hauhaucs-balanced с thinking</x:v>
      </x:c>
      <x:c r="T1" s="440" t="str">
        <x:v>Qwen 3.8 27b без thinking</x:v>
      </x:c>
      <x:c r="U1" s="518" t="str">
        <x:v>Qwen 3.8 27b uncensored без thinking</x:v>
      </x:c>
      <x:c r="V1" s="525" t="str">
        <x:v>Qwen 3.6 35b a3b HauhauCS без thinking</x:v>
      </x:c>
      <x:c r="W1" s="515" t="str">
        <x:v>gemma4-12b-qat-uncensored-hauhaucs-balanced без thinking</x:v>
      </x:c>
      <x:c r="X1" t="str">
        <x:v>Среднее оценённых, 0–100</x:v>
      </x:c>
      <x:c r="Y1"/>
      <x:c r="Z1"/>
      <x:c r="AA1"/>
      <x:c r="AB1"/>
      <x:c r="AC1"/>
      <x:c r="AD1"/>
      <x:c r="AE1"/>
      <x:c r="AF1"/>
    </x:row>
    <x:row r="2">
      <x:c r="A2" s="49" t="str">
        <x:v>SQLX-1</x:v>
      </x:c>
      <x:c r="B2" s="50" t="str">
        <x:v>INDEXING / QUERY DESIGN</x:v>
      </x:c>
      <x:c r="C2" s="50" t="str">
        <x:v>SQLX-1</x:v>
      </x:c>
      <x:c r="D2" s="663" t="n">
        <x:v>100</x:v>
      </x:c>
      <x:c r="E2" s="663" t="n">
        <x:v>100</x:v>
      </x:c>
      <x:c r="F2" s="663" t="n">
        <x:v>100</x:v>
      </x:c>
      <x:c r="G2" s="663" t="n">
        <x:v>100</x:v>
      </x:c>
      <x:c r="H2" s="663" t="n">
        <x:v>100</x:v>
      </x:c>
      <x:c r="I2" s="663" t="n">
        <x:v>100</x:v>
      </x:c>
      <x:c r="J2" s="663" t="n">
        <x:v>100</x:v>
      </x:c>
      <x:c r="K2" s="663" t="n">
        <x:v>100</x:v>
      </x:c>
      <x:c r="L2" s="663" t="n">
        <x:v>100</x:v>
      </x:c>
      <x:c r="M2" s="663" t="n">
        <x:v>100</x:v>
      </x:c>
      <x:c r="N2" s="663" t="n">
        <x:v>100</x:v>
      </x:c>
      <x:c r="O2" s="663" t="n">
        <x:v>90</x:v>
      </x:c>
      <x:c r="P2" s="663" t="n">
        <x:v>100</x:v>
      </x:c>
      <x:c r="Q2" s="663" t="n">
        <x:v>100</x:v>
      </x:c>
      <x:c r="R2" s="663" t="n">
        <x:v>90</x:v>
      </x:c>
      <x:c r="S2" s="663" t="n">
        <x:v>100</x:v>
      </x:c>
      <x:c r="T2" s="663" t="n">
        <x:v>95</x:v>
      </x:c>
      <x:c r="U2" s="663" t="n">
        <x:v>90</x:v>
      </x:c>
      <x:c r="V2" s="663" t="n">
        <x:v>90</x:v>
      </x:c>
      <x:c r="W2" s="663" t="n">
        <x:v>80</x:v>
      </x:c>
      <x:c r="X2" s="663" t="n">
        <x:f>IF(COUNT(D2:W2)=0,"",AVERAGE(D2:W2))</x:f>
        <x:v>96.75</x:v>
      </x:c>
      <x:c r="Y2" s="634"/>
      <x:c r="Z2" s="634"/>
      <x:c r="AA2" s="634"/>
      <x:c r="AB2" s="634"/>
    </x:row>
    <x:row r="3">
      <x:c r="A3" s="52" t="str">
        <x:v>SQLX-2</x:v>
      </x:c>
      <x:c r="B3" s="53" t="str">
        <x:v>INDEXING / QUERY DESIGN</x:v>
      </x:c>
      <x:c r="C3" s="53" t="str">
        <x:v>SQLX-2</x:v>
      </x:c>
      <x:c r="D3" s="664" t="n">
        <x:v>100</x:v>
      </x:c>
      <x:c r="E3" s="664" t="n">
        <x:v>100</x:v>
      </x:c>
      <x:c r="F3" s="664" t="n">
        <x:v>100</x:v>
      </x:c>
      <x:c r="G3" s="664" t="n">
        <x:v>60</x:v>
      </x:c>
      <x:c r="H3" s="664" t="n">
        <x:v>90</x:v>
      </x:c>
      <x:c r="I3" s="664" t="n">
        <x:v>60</x:v>
      </x:c>
      <x:c r="J3" s="664" t="n">
        <x:v>90</x:v>
      </x:c>
      <x:c r="K3" s="664" t="n">
        <x:v>70</x:v>
      </x:c>
      <x:c r="L3" s="664" t="n">
        <x:v>60</x:v>
      </x:c>
      <x:c r="M3" s="664" t="n">
        <x:v>90</x:v>
      </x:c>
      <x:c r="N3" s="664" t="n">
        <x:v>60</x:v>
      </x:c>
      <x:c r="O3" s="664" t="n">
        <x:v>60</x:v>
      </x:c>
      <x:c r="P3" s="664" t="n">
        <x:v>60</x:v>
      </x:c>
      <x:c r="Q3" s="664" t="n">
        <x:v>60</x:v>
      </x:c>
      <x:c r="R3" s="664" t="n">
        <x:v>60</x:v>
      </x:c>
      <x:c r="S3" s="664" t="n">
        <x:v>80</x:v>
      </x:c>
      <x:c r="T3" s="664" t="n">
        <x:v>50</x:v>
      </x:c>
      <x:c r="U3" s="664" t="n">
        <x:v>50</x:v>
      </x:c>
      <x:c r="V3" s="664" t="n">
        <x:v>60</x:v>
      </x:c>
      <x:c r="W3" s="664" t="n">
        <x:v>70</x:v>
      </x:c>
      <x:c r="X3" s="664" t="n">
        <x:f>IF(COUNT(D3:W3)=0,"",AVERAGE(D3:W3))</x:f>
        <x:v>71.5</x:v>
      </x:c>
      <x:c r="Y3" s="635"/>
      <x:c r="Z3" s="635"/>
      <x:c r="AA3" s="635"/>
      <x:c r="AB3" s="635"/>
    </x:row>
    <x:row r="4">
      <x:c r="A4" s="52" t="str">
        <x:v>SQLX-3</x:v>
      </x:c>
      <x:c r="B4" s="53" t="str">
        <x:v>INDEXING / QUERY DESIGN</x:v>
      </x:c>
      <x:c r="C4" s="53" t="str">
        <x:v>SQLX-3</x:v>
      </x:c>
      <x:c r="D4" s="664" t="n">
        <x:v>100</x:v>
      </x:c>
      <x:c r="E4" s="664" t="n">
        <x:v>100</x:v>
      </x:c>
      <x:c r="F4" s="664" t="n">
        <x:v>100</x:v>
      </x:c>
      <x:c r="G4" s="664" t="n">
        <x:v>100</x:v>
      </x:c>
      <x:c r="H4" s="664" t="n">
        <x:v>100</x:v>
      </x:c>
      <x:c r="I4" s="664" t="n">
        <x:v>100</x:v>
      </x:c>
      <x:c r="J4" s="664" t="n">
        <x:v>100</x:v>
      </x:c>
      <x:c r="K4" s="664" t="n">
        <x:v>100</x:v>
      </x:c>
      <x:c r="L4" s="664" t="n">
        <x:v>100</x:v>
      </x:c>
      <x:c r="M4" s="664" t="n">
        <x:v>100</x:v>
      </x:c>
      <x:c r="N4" s="664" t="n">
        <x:v>100</x:v>
      </x:c>
      <x:c r="O4" s="664" t="n">
        <x:v>100</x:v>
      </x:c>
      <x:c r="P4" s="664" t="n">
        <x:v>100</x:v>
      </x:c>
      <x:c r="Q4" s="664" t="n">
        <x:v>100</x:v>
      </x:c>
      <x:c r="R4" s="664" t="n">
        <x:v>100</x:v>
      </x:c>
      <x:c r="S4" s="664" t="n">
        <x:v>100</x:v>
      </x:c>
      <x:c r="T4" s="664" t="n">
        <x:v>100</x:v>
      </x:c>
      <x:c r="U4" s="664" t="n">
        <x:v>100</x:v>
      </x:c>
      <x:c r="V4" s="664" t="n">
        <x:v>100</x:v>
      </x:c>
      <x:c r="W4" s="664" t="n">
        <x:v>80</x:v>
      </x:c>
      <x:c r="X4" s="664" t="n">
        <x:f>IF(COUNT(D4:W4)=0,"",AVERAGE(D4:W4))</x:f>
        <x:v>99</x:v>
      </x:c>
      <x:c r="Y4" s="635"/>
      <x:c r="Z4" s="635"/>
      <x:c r="AA4" s="635"/>
      <x:c r="AB4" s="635"/>
    </x:row>
    <x:row r="5">
      <x:c r="A5" s="52" t="str">
        <x:v>SQLX-4</x:v>
      </x:c>
      <x:c r="B5" s="53" t="str">
        <x:v>INDEXING / QUERY DESIGN</x:v>
      </x:c>
      <x:c r="C5" s="53" t="str">
        <x:v>SQLX-4</x:v>
      </x:c>
      <x:c r="D5" s="664" t="n">
        <x:v>100</x:v>
      </x:c>
      <x:c r="E5" s="664" t="n">
        <x:v>100</x:v>
      </x:c>
      <x:c r="F5" s="664" t="n">
        <x:v>100</x:v>
      </x:c>
      <x:c r="G5" s="664" t="n">
        <x:v>100</x:v>
      </x:c>
      <x:c r="H5" s="664" t="n">
        <x:v>100</x:v>
      </x:c>
      <x:c r="I5" s="664" t="n">
        <x:v>100</x:v>
      </x:c>
      <x:c r="J5" s="664" t="n">
        <x:v>100</x:v>
      </x:c>
      <x:c r="K5" s="664" t="n">
        <x:v>100</x:v>
      </x:c>
      <x:c r="L5" s="664" t="n">
        <x:v>100</x:v>
      </x:c>
      <x:c r="M5" s="664" t="n">
        <x:v>100</x:v>
      </x:c>
      <x:c r="N5" s="664" t="n">
        <x:v>100</x:v>
      </x:c>
      <x:c r="O5" s="664" t="n">
        <x:v>100</x:v>
      </x:c>
      <x:c r="P5" s="664" t="n">
        <x:v>90</x:v>
      </x:c>
      <x:c r="Q5" s="664" t="n">
        <x:v>80</x:v>
      </x:c>
      <x:c r="R5" s="664" t="n">
        <x:v>100</x:v>
      </x:c>
      <x:c r="S5" s="664" t="n">
        <x:v>100</x:v>
      </x:c>
      <x:c r="T5" s="664" t="n">
        <x:v>100</x:v>
      </x:c>
      <x:c r="U5" s="664" t="n">
        <x:v>90</x:v>
      </x:c>
      <x:c r="V5" s="664" t="n">
        <x:v>100</x:v>
      </x:c>
      <x:c r="W5" s="664" t="n">
        <x:v>100</x:v>
      </x:c>
      <x:c r="X5" s="664" t="n">
        <x:f>IF(COUNT(D5:W5)=0,"",AVERAGE(D5:W5))</x:f>
        <x:v>98</x:v>
      </x:c>
      <x:c r="Y5" s="635"/>
      <x:c r="Z5" s="635"/>
      <x:c r="AA5" s="635"/>
      <x:c r="AB5" s="635"/>
    </x:row>
    <x:row r="6">
      <x:c r="A6" s="52" t="str">
        <x:v>SQLX-5</x:v>
      </x:c>
      <x:c r="B6" s="53" t="str">
        <x:v>INDEXING / QUERY DESIGN</x:v>
      </x:c>
      <x:c r="C6" s="53" t="str">
        <x:v>SQLX-5</x:v>
      </x:c>
      <x:c r="D6" s="664" t="n">
        <x:v>100</x:v>
      </x:c>
      <x:c r="E6" s="664" t="n">
        <x:v>100</x:v>
      </x:c>
      <x:c r="F6" s="664" t="n">
        <x:v>100</x:v>
      </x:c>
      <x:c r="G6" s="664" t="n">
        <x:v>100</x:v>
      </x:c>
      <x:c r="H6" s="664" t="n">
        <x:v>100</x:v>
      </x:c>
      <x:c r="I6" s="664" t="n">
        <x:v>100</x:v>
      </x:c>
      <x:c r="J6" s="664" t="n">
        <x:v>100</x:v>
      </x:c>
      <x:c r="K6" s="664" t="n">
        <x:v>95</x:v>
      </x:c>
      <x:c r="L6" s="664" t="n">
        <x:v>80</x:v>
      </x:c>
      <x:c r="M6" s="664" t="n">
        <x:v>90</x:v>
      </x:c>
      <x:c r="N6" s="664" t="n">
        <x:v>80</x:v>
      </x:c>
      <x:c r="O6" s="664" t="n">
        <x:v>80</x:v>
      </x:c>
      <x:c r="P6" s="664" t="n">
        <x:v>90</x:v>
      </x:c>
      <x:c r="Q6" s="664" t="n">
        <x:v>80</x:v>
      </x:c>
      <x:c r="R6" s="664" t="n">
        <x:v>60</x:v>
      </x:c>
      <x:c r="S6" s="664" t="n">
        <x:v>90</x:v>
      </x:c>
      <x:c r="T6" s="664" t="n">
        <x:v>80</x:v>
      </x:c>
      <x:c r="U6" s="664" t="n">
        <x:v>70</x:v>
      </x:c>
      <x:c r="V6" s="664" t="n">
        <x:v>60</x:v>
      </x:c>
      <x:c r="W6" s="664" t="n">
        <x:v>80</x:v>
      </x:c>
      <x:c r="X6" s="664" t="n">
        <x:f>IF(COUNT(D6:W6)=0,"",AVERAGE(D6:W6))</x:f>
        <x:v>86.75</x:v>
      </x:c>
      <x:c r="Y6" s="635"/>
      <x:c r="Z6" s="635"/>
      <x:c r="AA6" s="635"/>
      <x:c r="AB6" s="635"/>
    </x:row>
    <x:row r="7">
      <x:c r="A7" s="52" t="str">
        <x:v>SQLX-6</x:v>
      </x:c>
      <x:c r="B7" s="53" t="str">
        <x:v>TRANSACTIONS / LOCKS / MVCC</x:v>
      </x:c>
      <x:c r="C7" s="53" t="str">
        <x:v>SQLX-6</x:v>
      </x:c>
      <x:c r="D7" s="664" t="n">
        <x:v>100</x:v>
      </x:c>
      <x:c r="E7" s="664" t="n">
        <x:v>100</x:v>
      </x:c>
      <x:c r="F7" s="664" t="n">
        <x:v>100</x:v>
      </x:c>
      <x:c r="G7" s="664" t="n">
        <x:v>100</x:v>
      </x:c>
      <x:c r="H7" s="664" t="n">
        <x:v>100</x:v>
      </x:c>
      <x:c r="I7" s="664" t="n">
        <x:v>100</x:v>
      </x:c>
      <x:c r="J7" s="664" t="n">
        <x:v>100</x:v>
      </x:c>
      <x:c r="K7" s="664" t="n">
        <x:v>100</x:v>
      </x:c>
      <x:c r="L7" s="664" t="n">
        <x:v>100</x:v>
      </x:c>
      <x:c r="M7" s="664" t="n">
        <x:v>85</x:v>
      </x:c>
      <x:c r="N7" s="664" t="n">
        <x:v>95</x:v>
      </x:c>
      <x:c r="O7" s="664" t="n">
        <x:v>100</x:v>
      </x:c>
      <x:c r="P7" s="664" t="n">
        <x:v>90</x:v>
      </x:c>
      <x:c r="Q7" s="664" t="n">
        <x:v>90</x:v>
      </x:c>
      <x:c r="R7" s="664" t="n">
        <x:v>80</x:v>
      </x:c>
      <x:c r="S7" s="664" t="n">
        <x:v>90</x:v>
      </x:c>
      <x:c r="T7" s="664" t="n">
        <x:v>80</x:v>
      </x:c>
      <x:c r="U7" s="664" t="n">
        <x:v>90</x:v>
      </x:c>
      <x:c r="V7" s="664" t="n">
        <x:v>80</x:v>
      </x:c>
      <x:c r="W7" s="664" t="n">
        <x:v>90</x:v>
      </x:c>
      <x:c r="X7" s="664" t="n">
        <x:f>IF(COUNT(D7:W7)=0,"",AVERAGE(D7:W7))</x:f>
        <x:v>93.5</x:v>
      </x:c>
      <x:c r="Y7" s="635"/>
      <x:c r="Z7" s="635"/>
      <x:c r="AA7" s="635"/>
      <x:c r="AB7" s="635"/>
    </x:row>
    <x:row r="8">
      <x:c r="A8" s="52" t="str">
        <x:v>SQLX-7</x:v>
      </x:c>
      <x:c r="B8" s="53" t="str">
        <x:v>TRANSACTIONS / LOCKS / MVCC</x:v>
      </x:c>
      <x:c r="C8" s="53" t="str">
        <x:v>SQLX-7</x:v>
      </x:c>
      <x:c r="D8" s="664" t="n">
        <x:v>100</x:v>
      </x:c>
      <x:c r="E8" s="664" t="n">
        <x:v>100</x:v>
      </x:c>
      <x:c r="F8" s="664" t="n">
        <x:v>100</x:v>
      </x:c>
      <x:c r="G8" s="664" t="n">
        <x:v>100</x:v>
      </x:c>
      <x:c r="H8" s="664" t="n">
        <x:v>100</x:v>
      </x:c>
      <x:c r="I8" s="664" t="n">
        <x:v>100</x:v>
      </x:c>
      <x:c r="J8" s="664" t="n">
        <x:v>100</x:v>
      </x:c>
      <x:c r="K8" s="664" t="n">
        <x:v>100</x:v>
      </x:c>
      <x:c r="L8" s="664" t="n">
        <x:v>100</x:v>
      </x:c>
      <x:c r="M8" s="664" t="n">
        <x:v>100</x:v>
      </x:c>
      <x:c r="N8" s="664" t="n">
        <x:v>100</x:v>
      </x:c>
      <x:c r="O8" s="664" t="n">
        <x:v>20</x:v>
      </x:c>
      <x:c r="P8" s="664" t="n">
        <x:v>90</x:v>
      </x:c>
      <x:c r="Q8" s="664" t="n">
        <x:v>70</x:v>
      </x:c>
      <x:c r="R8" s="664" t="n">
        <x:v>100</x:v>
      </x:c>
      <x:c r="S8" s="664" t="n">
        <x:v>80</x:v>
      </x:c>
      <x:c r="T8" s="664" t="n">
        <x:v>100</x:v>
      </x:c>
      <x:c r="U8" s="664" t="n">
        <x:v>100</x:v>
      </x:c>
      <x:c r="V8" s="664" t="n">
        <x:v>50</x:v>
      </x:c>
      <x:c r="W8" s="664" t="n">
        <x:v>80</x:v>
      </x:c>
      <x:c r="X8" s="664" t="n">
        <x:f>IF(COUNT(D8:W8)=0,"",AVERAGE(D8:W8))</x:f>
        <x:v>89.5</x:v>
      </x:c>
      <x:c r="Y8" s="635"/>
      <x:c r="Z8" s="635"/>
      <x:c r="AA8" s="635"/>
      <x:c r="AB8" s="635"/>
    </x:row>
    <x:row r="9">
      <x:c r="A9" s="52" t="str">
        <x:v>SQLX-8</x:v>
      </x:c>
      <x:c r="B9" s="53" t="str">
        <x:v>TRANSACTIONS / LOCKS / MVCC</x:v>
      </x:c>
      <x:c r="C9" s="53" t="str">
        <x:v>SQLX-8</x:v>
      </x:c>
      <x:c r="D9" s="664" t="n">
        <x:v>100</x:v>
      </x:c>
      <x:c r="E9" s="664" t="n">
        <x:v>100</x:v>
      </x:c>
      <x:c r="F9" s="664" t="n">
        <x:v>100</x:v>
      </x:c>
      <x:c r="G9" s="664" t="n">
        <x:v>100</x:v>
      </x:c>
      <x:c r="H9" s="664" t="n">
        <x:v>100</x:v>
      </x:c>
      <x:c r="I9" s="664" t="n">
        <x:v>100</x:v>
      </x:c>
      <x:c r="J9" s="664" t="n">
        <x:v>100</x:v>
      </x:c>
      <x:c r="K9" s="664" t="n">
        <x:v>100</x:v>
      </x:c>
      <x:c r="L9" s="664" t="n">
        <x:v>100</x:v>
      </x:c>
      <x:c r="M9" s="664" t="n">
        <x:v>100</x:v>
      </x:c>
      <x:c r="N9" s="664" t="n">
        <x:v>100</x:v>
      </x:c>
      <x:c r="O9" s="664" t="n">
        <x:v>100</x:v>
      </x:c>
      <x:c r="P9" s="664" t="n">
        <x:v>100</x:v>
      </x:c>
      <x:c r="Q9" s="664" t="n">
        <x:v>80</x:v>
      </x:c>
      <x:c r="R9" s="664" t="n">
        <x:v>100</x:v>
      </x:c>
      <x:c r="S9" s="664" t="n">
        <x:v>80</x:v>
      </x:c>
      <x:c r="T9" s="664" t="n">
        <x:v>100</x:v>
      </x:c>
      <x:c r="U9" s="664" t="n">
        <x:v>90</x:v>
      </x:c>
      <x:c r="V9" s="664" t="n">
        <x:v>100</x:v>
      </x:c>
      <x:c r="W9" s="664" t="n">
        <x:v>80</x:v>
      </x:c>
      <x:c r="X9" s="664" t="n">
        <x:f>IF(COUNT(D9:W9)=0,"",AVERAGE(D9:W9))</x:f>
        <x:v>96.5</x:v>
      </x:c>
      <x:c r="Y9" s="635"/>
      <x:c r="Z9" s="635"/>
      <x:c r="AA9" s="635"/>
      <x:c r="AB9" s="635"/>
    </x:row>
    <x:row r="10">
      <x:c r="A10" s="52" t="str">
        <x:v>SQLX-9</x:v>
      </x:c>
      <x:c r="B10" s="53" t="str">
        <x:v>TRANSACTIONS / LOCKS / MVCC</x:v>
      </x:c>
      <x:c r="C10" s="53" t="str">
        <x:v>SQLX-9</x:v>
      </x:c>
      <x:c r="D10" s="664" t="n">
        <x:v>100</x:v>
      </x:c>
      <x:c r="E10" s="664" t="n">
        <x:v>100</x:v>
      </x:c>
      <x:c r="F10" s="664" t="n">
        <x:v>100</x:v>
      </x:c>
      <x:c r="G10" s="664" t="n">
        <x:v>100</x:v>
      </x:c>
      <x:c r="H10" s="664" t="n">
        <x:v>100</x:v>
      </x:c>
      <x:c r="I10" s="664" t="n">
        <x:v>100</x:v>
      </x:c>
      <x:c r="J10" s="664" t="n">
        <x:v>100</x:v>
      </x:c>
      <x:c r="K10" s="664" t="n">
        <x:v>100</x:v>
      </x:c>
      <x:c r="L10" s="664" t="n">
        <x:v>100</x:v>
      </x:c>
      <x:c r="M10" s="664" t="n">
        <x:v>100</x:v>
      </x:c>
      <x:c r="N10" s="664" t="n">
        <x:v>100</x:v>
      </x:c>
      <x:c r="O10" s="664" t="n">
        <x:v>60</x:v>
      </x:c>
      <x:c r="P10" s="664" t="n">
        <x:v>80</x:v>
      </x:c>
      <x:c r="Q10" s="664" t="n">
        <x:v>80</x:v>
      </x:c>
      <x:c r="R10" s="664" t="n">
        <x:v>90</x:v>
      </x:c>
      <x:c r="S10" s="664" t="n">
        <x:v>70</x:v>
      </x:c>
      <x:c r="T10" s="664" t="n">
        <x:v>100</x:v>
      </x:c>
      <x:c r="U10" s="664" t="n">
        <x:v>90</x:v>
      </x:c>
      <x:c r="V10" s="664" t="n">
        <x:v>90</x:v>
      </x:c>
      <x:c r="W10" s="664" t="n">
        <x:v>100</x:v>
      </x:c>
      <x:c r="X10" s="664" t="n">
        <x:f>IF(COUNT(D10:W10)=0,"",AVERAGE(D10:W10))</x:f>
        <x:v>93</x:v>
      </x:c>
      <x:c r="Y10" s="635"/>
      <x:c r="Z10" s="635"/>
      <x:c r="AA10" s="635"/>
      <x:c r="AB10" s="635"/>
    </x:row>
    <x:row r="11">
      <x:c r="A11" s="52" t="str">
        <x:v>SQLX-10</x:v>
      </x:c>
      <x:c r="B11" s="53" t="str">
        <x:v>TRANSACTIONS / LOCKS / MVCC</x:v>
      </x:c>
      <x:c r="C11" s="53" t="str">
        <x:v>SQLX-10</x:v>
      </x:c>
      <x:c r="D11" s="664" t="n">
        <x:v>100</x:v>
      </x:c>
      <x:c r="E11" s="664" t="n">
        <x:v>100</x:v>
      </x:c>
      <x:c r="F11" s="664" t="n">
        <x:v>100</x:v>
      </x:c>
      <x:c r="G11" s="664" t="n">
        <x:v>100</x:v>
      </x:c>
      <x:c r="H11" s="664" t="n">
        <x:v>100</x:v>
      </x:c>
      <x:c r="I11" s="664" t="n">
        <x:v>100</x:v>
      </x:c>
      <x:c r="J11" s="664" t="n">
        <x:v>100</x:v>
      </x:c>
      <x:c r="K11" s="664" t="n">
        <x:v>100</x:v>
      </x:c>
      <x:c r="L11" s="664" t="n">
        <x:v>100</x:v>
      </x:c>
      <x:c r="M11" s="664" t="n">
        <x:v>100</x:v>
      </x:c>
      <x:c r="N11" s="664" t="n">
        <x:v>100</x:v>
      </x:c>
      <x:c r="O11" s="664" t="n">
        <x:v>100</x:v>
      </x:c>
      <x:c r="P11" s="664" t="n">
        <x:v>100</x:v>
      </x:c>
      <x:c r="Q11" s="664" t="n">
        <x:v>100</x:v>
      </x:c>
      <x:c r="R11" s="664" t="n">
        <x:v>90</x:v>
      </x:c>
      <x:c r="S11" s="664" t="n">
        <x:v>100</x:v>
      </x:c>
      <x:c r="T11" s="664" t="n">
        <x:v>70</x:v>
      </x:c>
      <x:c r="U11" s="664" t="n">
        <x:v>100</x:v>
      </x:c>
      <x:c r="V11" s="664" t="n">
        <x:v>100</x:v>
      </x:c>
      <x:c r="W11" s="664" t="n">
        <x:v>90</x:v>
      </x:c>
      <x:c r="X11" s="664" t="n">
        <x:f>IF(COUNT(D11:W11)=0,"",AVERAGE(D11:W11))</x:f>
        <x:v>97.5</x:v>
      </x:c>
      <x:c r="Y11" s="635"/>
      <x:c r="Z11" s="635"/>
      <x:c r="AA11" s="635"/>
      <x:c r="AB11" s="635"/>
    </x:row>
    <x:row r="12">
      <x:c r="A12" s="52" t="str">
        <x:v>SQLX-11</x:v>
      </x:c>
      <x:c r="B12" s="53" t="str">
        <x:v>CONSTRAINTS / DATA MODEL</x:v>
      </x:c>
      <x:c r="C12" s="53" t="str">
        <x:v>SQLX-11</x:v>
      </x:c>
      <x:c r="D12" s="664" t="n">
        <x:v>100</x:v>
      </x:c>
      <x:c r="E12" s="664" t="n">
        <x:v>100</x:v>
      </x:c>
      <x:c r="F12" s="664" t="n">
        <x:v>100</x:v>
      </x:c>
      <x:c r="G12" s="664" t="n">
        <x:v>100</x:v>
      </x:c>
      <x:c r="H12" s="664" t="n">
        <x:v>100</x:v>
      </x:c>
      <x:c r="I12" s="664" t="n">
        <x:v>100</x:v>
      </x:c>
      <x:c r="J12" s="664" t="n">
        <x:v>100</x:v>
      </x:c>
      <x:c r="K12" s="664" t="n">
        <x:v>100</x:v>
      </x:c>
      <x:c r="L12" s="664" t="n">
        <x:v>100</x:v>
      </x:c>
      <x:c r="M12" s="664" t="n">
        <x:v>95</x:v>
      </x:c>
      <x:c r="N12" s="664" t="n">
        <x:v>100</x:v>
      </x:c>
      <x:c r="O12" s="664" t="n">
        <x:v>80</x:v>
      </x:c>
      <x:c r="P12" s="664" t="n">
        <x:v>90</x:v>
      </x:c>
      <x:c r="Q12" s="664" t="n">
        <x:v>90</x:v>
      </x:c>
      <x:c r="R12" s="664" t="n">
        <x:v>90</x:v>
      </x:c>
      <x:c r="S12" s="664" t="n">
        <x:v>80</x:v>
      </x:c>
      <x:c r="T12" s="664" t="n">
        <x:v>90</x:v>
      </x:c>
      <x:c r="U12" s="664" t="n">
        <x:v>100</x:v>
      </x:c>
      <x:c r="V12" s="664" t="n">
        <x:v>90</x:v>
      </x:c>
      <x:c r="W12" s="664" t="n">
        <x:v>80</x:v>
      </x:c>
      <x:c r="X12" s="664" t="n">
        <x:f>IF(COUNT(D12:W12)=0,"",AVERAGE(D12:W12))</x:f>
        <x:v>94.25</x:v>
      </x:c>
      <x:c r="Y12" s="635"/>
      <x:c r="Z12" s="635"/>
      <x:c r="AA12" s="635"/>
      <x:c r="AB12" s="635"/>
    </x:row>
    <x:row r="13">
      <x:c r="A13" s="52" t="str">
        <x:v>SQLX-12</x:v>
      </x:c>
      <x:c r="B13" s="53" t="str">
        <x:v>CONSTRAINTS / DATA MODEL</x:v>
      </x:c>
      <x:c r="C13" s="53" t="str">
        <x:v>SQLX-12</x:v>
      </x:c>
      <x:c r="D13" s="664" t="n">
        <x:v>100</x:v>
      </x:c>
      <x:c r="E13" s="664" t="n">
        <x:v>100</x:v>
      </x:c>
      <x:c r="F13" s="664" t="n">
        <x:v>100</x:v>
      </x:c>
      <x:c r="G13" s="664" t="n">
        <x:v>100</x:v>
      </x:c>
      <x:c r="H13" s="664" t="n">
        <x:v>100</x:v>
      </x:c>
      <x:c r="I13" s="664" t="n">
        <x:v>100</x:v>
      </x:c>
      <x:c r="J13" s="664" t="n">
        <x:v>100</x:v>
      </x:c>
      <x:c r="K13" s="664" t="n">
        <x:v>100</x:v>
      </x:c>
      <x:c r="L13" s="664" t="n">
        <x:v>100</x:v>
      </x:c>
      <x:c r="M13" s="664" t="n">
        <x:v>100</x:v>
      </x:c>
      <x:c r="N13" s="664" t="n">
        <x:v>20</x:v>
      </x:c>
      <x:c r="O13" s="664" t="n">
        <x:v>80</x:v>
      </x:c>
      <x:c r="P13" s="664" t="n">
        <x:v>80</x:v>
      </x:c>
      <x:c r="Q13" s="664" t="n">
        <x:v>80</x:v>
      </x:c>
      <x:c r="R13" s="664" t="n">
        <x:v>90</x:v>
      </x:c>
      <x:c r="S13" s="664" t="n">
        <x:v>90</x:v>
      </x:c>
      <x:c r="T13" s="664" t="n">
        <x:v>20</x:v>
      </x:c>
      <x:c r="U13" s="664" t="n">
        <x:v>20</x:v>
      </x:c>
      <x:c r="V13" s="664" t="n">
        <x:v>70</x:v>
      </x:c>
      <x:c r="W13" s="664" t="n">
        <x:v>40</x:v>
      </x:c>
      <x:c r="X13" s="664" t="n">
        <x:f>IF(COUNT(D13:W13)=0,"",AVERAGE(D13:W13))</x:f>
        <x:v>79.5</x:v>
      </x:c>
      <x:c r="Y13" s="635"/>
      <x:c r="Z13" s="635"/>
      <x:c r="AA13" s="635"/>
      <x:c r="AB13" s="635"/>
    </x:row>
    <x:row r="14">
      <x:c r="A14" s="52" t="str">
        <x:v>SQLX-13</x:v>
      </x:c>
      <x:c r="B14" s="53" t="str">
        <x:v>CONSTRAINTS / DATA MODEL</x:v>
      </x:c>
      <x:c r="C14" s="53" t="str">
        <x:v>SQLX-13</x:v>
      </x:c>
      <x:c r="D14" s="664" t="n">
        <x:v>100</x:v>
      </x:c>
      <x:c r="E14" s="664" t="n">
        <x:v>100</x:v>
      </x:c>
      <x:c r="F14" s="664" t="n">
        <x:v>100</x:v>
      </x:c>
      <x:c r="G14" s="664" t="n">
        <x:v>100</x:v>
      </x:c>
      <x:c r="H14" s="664" t="n">
        <x:v>100</x:v>
      </x:c>
      <x:c r="I14" s="664" t="n">
        <x:v>100</x:v>
      </x:c>
      <x:c r="J14" s="664" t="n">
        <x:v>100</x:v>
      </x:c>
      <x:c r="K14" s="664" t="n">
        <x:v>100</x:v>
      </x:c>
      <x:c r="L14" s="664" t="n">
        <x:v>100</x:v>
      </x:c>
      <x:c r="M14" s="664" t="n">
        <x:v>100</x:v>
      </x:c>
      <x:c r="N14" s="664" t="n">
        <x:v>100</x:v>
      </x:c>
      <x:c r="O14" s="664" t="n">
        <x:v>100</x:v>
      </x:c>
      <x:c r="P14" s="664" t="n">
        <x:v>100</x:v>
      </x:c>
      <x:c r="Q14" s="664" t="n">
        <x:v>100</x:v>
      </x:c>
      <x:c r="R14" s="664" t="n">
        <x:v>100</x:v>
      </x:c>
      <x:c r="S14" s="664" t="n">
        <x:v>80</x:v>
      </x:c>
      <x:c r="T14" s="664" t="n">
        <x:v>100</x:v>
      </x:c>
      <x:c r="U14" s="664" t="n">
        <x:v>100</x:v>
      </x:c>
      <x:c r="V14" s="664" t="n">
        <x:v>100</x:v>
      </x:c>
      <x:c r="W14" s="664" t="n">
        <x:v>90</x:v>
      </x:c>
      <x:c r="X14" s="664" t="n">
        <x:f>IF(COUNT(D14:W14)=0,"",AVERAGE(D14:W14))</x:f>
        <x:v>98.5</x:v>
      </x:c>
      <x:c r="Y14" s="635"/>
      <x:c r="Z14" s="635"/>
      <x:c r="AA14" s="635"/>
      <x:c r="AB14" s="635"/>
    </x:row>
    <x:row r="15">
      <x:c r="A15" s="52" t="str">
        <x:v>SQLX-14</x:v>
      </x:c>
      <x:c r="B15" s="53" t="str">
        <x:v>CONSTRAINTS / DATA MODEL</x:v>
      </x:c>
      <x:c r="C15" s="53" t="str">
        <x:v>SQLX-14</x:v>
      </x:c>
      <x:c r="D15" s="664" t="n">
        <x:v>100</x:v>
      </x:c>
      <x:c r="E15" s="664" t="n">
        <x:v>100</x:v>
      </x:c>
      <x:c r="F15" s="664" t="n">
        <x:v>100</x:v>
      </x:c>
      <x:c r="G15" s="664" t="n">
        <x:v>100</x:v>
      </x:c>
      <x:c r="H15" s="664" t="n">
        <x:v>100</x:v>
      </x:c>
      <x:c r="I15" s="664" t="n">
        <x:v>100</x:v>
      </x:c>
      <x:c r="J15" s="664" t="n">
        <x:v>100</x:v>
      </x:c>
      <x:c r="K15" s="664" t="n">
        <x:v>100</x:v>
      </x:c>
      <x:c r="L15" s="664" t="n">
        <x:v>100</x:v>
      </x:c>
      <x:c r="M15" s="664" t="n">
        <x:v>100</x:v>
      </x:c>
      <x:c r="N15" s="664" t="n">
        <x:v>100</x:v>
      </x:c>
      <x:c r="O15" s="664" t="n">
        <x:v>100</x:v>
      </x:c>
      <x:c r="P15" s="664" t="n">
        <x:v>70</x:v>
      </x:c>
      <x:c r="Q15" s="664" t="n">
        <x:v>70</x:v>
      </x:c>
      <x:c r="R15" s="664" t="n">
        <x:v>100</x:v>
      </x:c>
      <x:c r="S15" s="664" t="n">
        <x:v>90</x:v>
      </x:c>
      <x:c r="T15" s="664" t="n">
        <x:v>70</x:v>
      </x:c>
      <x:c r="U15" s="664" t="n">
        <x:v>80</x:v>
      </x:c>
      <x:c r="V15" s="664" t="n">
        <x:v>60</x:v>
      </x:c>
      <x:c r="W15" s="664" t="n">
        <x:v>80</x:v>
      </x:c>
      <x:c r="X15" s="664" t="n">
        <x:f>IF(COUNT(D15:W15)=0,"",AVERAGE(D15:W15))</x:f>
        <x:v>91</x:v>
      </x:c>
      <x:c r="Y15" s="635"/>
      <x:c r="Z15" s="635"/>
      <x:c r="AA15" s="635"/>
      <x:c r="AB15" s="635"/>
    </x:row>
    <x:row r="16">
      <x:c r="A16" s="52" t="str">
        <x:v>SQLX-15</x:v>
      </x:c>
      <x:c r="B16" s="53" t="str">
        <x:v>ADVANCED SQL</x:v>
      </x:c>
      <x:c r="C16" s="53" t="str">
        <x:v>SQLX-15</x:v>
      </x:c>
      <x:c r="D16" s="664" t="n">
        <x:v>100</x:v>
      </x:c>
      <x:c r="E16" s="664" t="n">
        <x:v>100</x:v>
      </x:c>
      <x:c r="F16" s="664" t="n">
        <x:v>100</x:v>
      </x:c>
      <x:c r="G16" s="664" t="n">
        <x:v>100</x:v>
      </x:c>
      <x:c r="H16" s="664" t="n">
        <x:v>95</x:v>
      </x:c>
      <x:c r="I16" s="664" t="n">
        <x:v>95</x:v>
      </x:c>
      <x:c r="J16" s="664" t="n">
        <x:v>90</x:v>
      </x:c>
      <x:c r="K16" s="664" t="n">
        <x:v>80</x:v>
      </x:c>
      <x:c r="L16" s="664" t="n">
        <x:v>90</x:v>
      </x:c>
      <x:c r="M16" s="664" t="n">
        <x:v>90</x:v>
      </x:c>
      <x:c r="N16" s="664" t="n">
        <x:v>95</x:v>
      </x:c>
      <x:c r="O16" s="664" t="n">
        <x:v>80</x:v>
      </x:c>
      <x:c r="P16" s="664" t="n">
        <x:v>40</x:v>
      </x:c>
      <x:c r="Q16" s="664" t="n">
        <x:v>70</x:v>
      </x:c>
      <x:c r="R16" s="664" t="n">
        <x:v>70</x:v>
      </x:c>
      <x:c r="S16" s="664" t="n">
        <x:v>90</x:v>
      </x:c>
      <x:c r="T16" s="664" t="n">
        <x:v>80</x:v>
      </x:c>
      <x:c r="U16" s="664" t="n">
        <x:v>60</x:v>
      </x:c>
      <x:c r="V16" s="664" t="n">
        <x:v>60</x:v>
      </x:c>
      <x:c r="W16" s="664" t="n">
        <x:v>90</x:v>
      </x:c>
      <x:c r="X16" s="664" t="n">
        <x:f>IF(COUNT(D16:W16)=0,"",AVERAGE(D16:W16))</x:f>
        <x:v>83.75</x:v>
      </x:c>
      <x:c r="Y16" s="635"/>
      <x:c r="Z16" s="635"/>
      <x:c r="AA16" s="635"/>
      <x:c r="AB16" s="635"/>
    </x:row>
    <x:row r="17">
      <x:c r="A17" s="52" t="str">
        <x:v>SQLX-16</x:v>
      </x:c>
      <x:c r="B17" s="53" t="str">
        <x:v>ADVANCED SQL</x:v>
      </x:c>
      <x:c r="C17" s="53" t="str">
        <x:v>SQLX-16</x:v>
      </x:c>
      <x:c r="D17" s="664" t="n">
        <x:v>100</x:v>
      </x:c>
      <x:c r="E17" s="664" t="n">
        <x:v>100</x:v>
      </x:c>
      <x:c r="F17" s="664" t="n">
        <x:v>100</x:v>
      </x:c>
      <x:c r="G17" s="664" t="n">
        <x:v>100</x:v>
      </x:c>
      <x:c r="H17" s="664" t="n">
        <x:v>100</x:v>
      </x:c>
      <x:c r="I17" s="664" t="n">
        <x:v>100</x:v>
      </x:c>
      <x:c r="J17" s="664" t="n">
        <x:v>100</x:v>
      </x:c>
      <x:c r="K17" s="664" t="n">
        <x:v>100</x:v>
      </x:c>
      <x:c r="L17" s="664" t="n">
        <x:v>100</x:v>
      </x:c>
      <x:c r="M17" s="664" t="n">
        <x:v>100</x:v>
      </x:c>
      <x:c r="N17" s="664" t="n">
        <x:v>100</x:v>
      </x:c>
      <x:c r="O17" s="664" t="n">
        <x:v>100</x:v>
      </x:c>
      <x:c r="P17" s="664" t="n">
        <x:v>100</x:v>
      </x:c>
      <x:c r="Q17" s="664" t="n">
        <x:v>100</x:v>
      </x:c>
      <x:c r="R17" s="664" t="n">
        <x:v>100</x:v>
      </x:c>
      <x:c r="S17" s="664" t="n">
        <x:v>50</x:v>
      </x:c>
      <x:c r="T17" s="664" t="n">
        <x:v>100</x:v>
      </x:c>
      <x:c r="U17" s="664" t="n">
        <x:v>100</x:v>
      </x:c>
      <x:c r="V17" s="664" t="n">
        <x:v>100</x:v>
      </x:c>
      <x:c r="W17" s="664" t="n">
        <x:v>70</x:v>
      </x:c>
      <x:c r="X17" s="664" t="n">
        <x:f>IF(COUNT(D17:W17)=0,"",AVERAGE(D17:W17))</x:f>
        <x:v>96</x:v>
      </x:c>
      <x:c r="Y17" s="635"/>
      <x:c r="Z17" s="635"/>
      <x:c r="AA17" s="635"/>
      <x:c r="AB17" s="635"/>
    </x:row>
    <x:row r="18">
      <x:c r="A18" s="52" t="str">
        <x:v>SQLX-17</x:v>
      </x:c>
      <x:c r="B18" s="53" t="str">
        <x:v>ADVANCED SQL</x:v>
      </x:c>
      <x:c r="C18" s="53" t="str">
        <x:v>SQLX-17</x:v>
      </x:c>
      <x:c r="D18" s="664" t="n">
        <x:v>100</x:v>
      </x:c>
      <x:c r="E18" s="664" t="n">
        <x:v>100</x:v>
      </x:c>
      <x:c r="F18" s="664" t="n">
        <x:v>100</x:v>
      </x:c>
      <x:c r="G18" s="664" t="n">
        <x:v>100</x:v>
      </x:c>
      <x:c r="H18" s="664" t="n">
        <x:v>100</x:v>
      </x:c>
      <x:c r="I18" s="664" t="n">
        <x:v>100</x:v>
      </x:c>
      <x:c r="J18" s="664" t="n">
        <x:v>100</x:v>
      </x:c>
      <x:c r="K18" s="664" t="n">
        <x:v>100</x:v>
      </x:c>
      <x:c r="L18" s="664" t="n">
        <x:v>100</x:v>
      </x:c>
      <x:c r="M18" s="664" t="n">
        <x:v>95</x:v>
      </x:c>
      <x:c r="N18" s="664" t="n">
        <x:v>100</x:v>
      </x:c>
      <x:c r="O18" s="664" t="n">
        <x:v>90</x:v>
      </x:c>
      <x:c r="P18" s="664" t="n">
        <x:v>90</x:v>
      </x:c>
      <x:c r="Q18" s="664" t="n">
        <x:v>100</x:v>
      </x:c>
      <x:c r="R18" s="664" t="n">
        <x:v>80</x:v>
      </x:c>
      <x:c r="S18" s="664" t="n">
        <x:v>90</x:v>
      </x:c>
      <x:c r="T18" s="664" t="n">
        <x:v>90</x:v>
      </x:c>
      <x:c r="U18" s="664" t="n">
        <x:v>90</x:v>
      </x:c>
      <x:c r="V18" s="664" t="n">
        <x:v>80</x:v>
      </x:c>
      <x:c r="W18" s="664" t="n">
        <x:v>70</x:v>
      </x:c>
      <x:c r="X18" s="664" t="n">
        <x:f>IF(COUNT(D18:W18)=0,"",AVERAGE(D18:W18))</x:f>
        <x:v>93.75</x:v>
      </x:c>
      <x:c r="Y18" s="635"/>
      <x:c r="Z18" s="635"/>
      <x:c r="AA18" s="635"/>
      <x:c r="AB18" s="635"/>
    </x:row>
    <x:row r="19">
      <x:c r="A19" s="52" t="str">
        <x:v>SQLX-18</x:v>
      </x:c>
      <x:c r="B19" s="53" t="str">
        <x:v>ADVANCED SQL</x:v>
      </x:c>
      <x:c r="C19" s="53" t="str">
        <x:v>SQLX-18</x:v>
      </x:c>
      <x:c r="D19" s="664" t="n">
        <x:v>100</x:v>
      </x:c>
      <x:c r="E19" s="664" t="n">
        <x:v>100</x:v>
      </x:c>
      <x:c r="F19" s="664" t="n">
        <x:v>100</x:v>
      </x:c>
      <x:c r="G19" s="664" t="n">
        <x:v>100</x:v>
      </x:c>
      <x:c r="H19" s="664" t="n">
        <x:v>100</x:v>
      </x:c>
      <x:c r="I19" s="664" t="n">
        <x:v>100</x:v>
      </x:c>
      <x:c r="J19" s="664" t="n">
        <x:v>100</x:v>
      </x:c>
      <x:c r="K19" s="664" t="n">
        <x:v>100</x:v>
      </x:c>
      <x:c r="L19" s="664" t="n">
        <x:v>90</x:v>
      </x:c>
      <x:c r="M19" s="664" t="n">
        <x:v>95</x:v>
      </x:c>
      <x:c r="N19" s="664" t="n">
        <x:v>100</x:v>
      </x:c>
      <x:c r="O19" s="664" t="n">
        <x:v>80</x:v>
      </x:c>
      <x:c r="P19" s="664" t="n">
        <x:v>100</x:v>
      </x:c>
      <x:c r="Q19" s="664" t="n">
        <x:v>80</x:v>
      </x:c>
      <x:c r="R19" s="664" t="n">
        <x:v>80</x:v>
      </x:c>
      <x:c r="S19" s="664" t="n">
        <x:v>0</x:v>
      </x:c>
      <x:c r="T19" s="664" t="n">
        <x:v>20</x:v>
      </x:c>
      <x:c r="U19" s="664" t="n">
        <x:v>20</x:v>
      </x:c>
      <x:c r="V19" s="664" t="n">
        <x:v>100</x:v>
      </x:c>
      <x:c r="W19" s="664" t="n">
        <x:v>20</x:v>
      </x:c>
      <x:c r="X19" s="664" t="n">
        <x:f>IF(COUNT(D19:W19)=0,"",AVERAGE(D19:W19))</x:f>
        <x:v>79.25</x:v>
      </x:c>
      <x:c r="Y19" s="635"/>
      <x:c r="Z19" s="635"/>
      <x:c r="AA19" s="635"/>
      <x:c r="AB19" s="635"/>
    </x:row>
    <x:row r="20">
      <x:c r="A20" s="52" t="str">
        <x:v>SQLX-19</x:v>
      </x:c>
      <x:c r="B20" s="53" t="str">
        <x:v>ADVANCED SQL</x:v>
      </x:c>
      <x:c r="C20" s="53" t="str">
        <x:v>SQLX-19</x:v>
      </x:c>
      <x:c r="D20" s="664" t="n">
        <x:v>100</x:v>
      </x:c>
      <x:c r="E20" s="664" t="n">
        <x:v>100</x:v>
      </x:c>
      <x:c r="F20" s="664" t="n">
        <x:v>100</x:v>
      </x:c>
      <x:c r="G20" s="664" t="n">
        <x:v>100</x:v>
      </x:c>
      <x:c r="H20" s="664" t="n">
        <x:v>100</x:v>
      </x:c>
      <x:c r="I20" s="664" t="n">
        <x:v>100</x:v>
      </x:c>
      <x:c r="J20" s="664" t="n">
        <x:v>100</x:v>
      </x:c>
      <x:c r="K20" s="664" t="n">
        <x:v>100</x:v>
      </x:c>
      <x:c r="L20" s="664" t="n">
        <x:v>100</x:v>
      </x:c>
      <x:c r="M20" s="664" t="n">
        <x:v>100</x:v>
      </x:c>
      <x:c r="N20" s="664" t="n">
        <x:v>100</x:v>
      </x:c>
      <x:c r="O20" s="664" t="n">
        <x:v>100</x:v>
      </x:c>
      <x:c r="P20" s="664" t="n">
        <x:v>100</x:v>
      </x:c>
      <x:c r="Q20" s="664" t="n">
        <x:v>100</x:v>
      </x:c>
      <x:c r="R20" s="664" t="n">
        <x:v>100</x:v>
      </x:c>
      <x:c r="S20" s="664" t="n">
        <x:v>100</x:v>
      </x:c>
      <x:c r="T20" s="664" t="n">
        <x:v>100</x:v>
      </x:c>
      <x:c r="U20" s="664" t="n">
        <x:v>100</x:v>
      </x:c>
      <x:c r="V20" s="664" t="n">
        <x:v>80</x:v>
      </x:c>
      <x:c r="W20" s="664" t="n">
        <x:v>100</x:v>
      </x:c>
      <x:c r="X20" s="664" t="n">
        <x:f>IF(COUNT(D20:W20)=0,"",AVERAGE(D20:W20))</x:f>
        <x:v>99</x:v>
      </x:c>
      <x:c r="Y20" s="635"/>
      <x:c r="Z20" s="635"/>
      <x:c r="AA20" s="635"/>
      <x:c r="AB20" s="635"/>
    </x:row>
    <x:row r="21">
      <x:c r="A21" s="52" t="str">
        <x:v>SQLX-20</x:v>
      </x:c>
      <x:c r="B21" s="53" t="str">
        <x:v>OUTBOX / QUEUES / CONCURRENCY</x:v>
      </x:c>
      <x:c r="C21" s="53" t="str">
        <x:v>SQLX-20</x:v>
      </x:c>
      <x:c r="D21" s="664" t="n">
        <x:v>100</x:v>
      </x:c>
      <x:c r="E21" s="664" t="n">
        <x:v>95</x:v>
      </x:c>
      <x:c r="F21" s="664" t="n">
        <x:v>85</x:v>
      </x:c>
      <x:c r="G21" s="664" t="n">
        <x:v>100</x:v>
      </x:c>
      <x:c r="H21" s="664" t="n">
        <x:v>80</x:v>
      </x:c>
      <x:c r="I21" s="664" t="n">
        <x:v>95</x:v>
      </x:c>
      <x:c r="J21" s="664" t="n">
        <x:v>70</x:v>
      </x:c>
      <x:c r="K21" s="664" t="n">
        <x:v>70</x:v>
      </x:c>
      <x:c r="L21" s="664" t="n">
        <x:v>80</x:v>
      </x:c>
      <x:c r="M21" s="664" t="n">
        <x:v>75</x:v>
      </x:c>
      <x:c r="N21" s="664" t="n">
        <x:v>70</x:v>
      </x:c>
      <x:c r="O21" s="664" t="n">
        <x:v>60</x:v>
      </x:c>
      <x:c r="P21" s="664" t="n">
        <x:v>40</x:v>
      </x:c>
      <x:c r="Q21" s="664" t="n">
        <x:v>80</x:v>
      </x:c>
      <x:c r="R21" s="664" t="n">
        <x:v>40</x:v>
      </x:c>
      <x:c r="S21" s="664" t="n">
        <x:v>60</x:v>
      </x:c>
      <x:c r="T21" s="664" t="n">
        <x:v>70</x:v>
      </x:c>
      <x:c r="U21" s="664" t="n">
        <x:v>70</x:v>
      </x:c>
      <x:c r="V21" s="664" t="n">
        <x:v>40</x:v>
      </x:c>
      <x:c r="W21" s="664" t="n">
        <x:v>70</x:v>
      </x:c>
      <x:c r="X21" s="664" t="n">
        <x:f>IF(COUNT(D21:W21)=0,"",AVERAGE(D21:W21))</x:f>
        <x:v>72.5</x:v>
      </x:c>
      <x:c r="Y21" s="635"/>
      <x:c r="Z21" s="635"/>
      <x:c r="AA21" s="635"/>
      <x:c r="AB21" s="635"/>
    </x:row>
    <x:row r="22">
      <x:c r="A22" s="52" t="str">
        <x:v>SQLX-21</x:v>
      </x:c>
      <x:c r="B22" s="53" t="str">
        <x:v>OUTBOX / QUEUES / CONCURRENCY</x:v>
      </x:c>
      <x:c r="C22" s="53" t="str">
        <x:v>SQLX-21</x:v>
      </x:c>
      <x:c r="D22" s="664" t="n">
        <x:v>100</x:v>
      </x:c>
      <x:c r="E22" s="664" t="n">
        <x:v>100</x:v>
      </x:c>
      <x:c r="F22" s="664" t="n">
        <x:v>100</x:v>
      </x:c>
      <x:c r="G22" s="664" t="n">
        <x:v>100</x:v>
      </x:c>
      <x:c r="H22" s="664" t="n">
        <x:v>100</x:v>
      </x:c>
      <x:c r="I22" s="664" t="n">
        <x:v>100</x:v>
      </x:c>
      <x:c r="J22" s="664" t="n">
        <x:v>100</x:v>
      </x:c>
      <x:c r="K22" s="664" t="n">
        <x:v>100</x:v>
      </x:c>
      <x:c r="L22" s="664" t="n">
        <x:v>100</x:v>
      </x:c>
      <x:c r="M22" s="664" t="n">
        <x:v>95</x:v>
      </x:c>
      <x:c r="N22" s="664" t="n">
        <x:v>95</x:v>
      </x:c>
      <x:c r="O22" s="664" t="n">
        <x:v>100</x:v>
      </x:c>
      <x:c r="P22" s="664" t="n">
        <x:v>90</x:v>
      </x:c>
      <x:c r="Q22" s="664" t="n">
        <x:v>100</x:v>
      </x:c>
      <x:c r="R22" s="664" t="n">
        <x:v>100</x:v>
      </x:c>
      <x:c r="S22" s="664" t="n">
        <x:v>80</x:v>
      </x:c>
      <x:c r="T22" s="664" t="n">
        <x:v>90</x:v>
      </x:c>
      <x:c r="U22" s="664" t="n">
        <x:v>80</x:v>
      </x:c>
      <x:c r="V22" s="664" t="n">
        <x:v>90</x:v>
      </x:c>
      <x:c r="W22" s="664" t="n">
        <x:v>70</x:v>
      </x:c>
      <x:c r="X22" s="664" t="n">
        <x:f>IF(COUNT(D22:W22)=0,"",AVERAGE(D22:W22))</x:f>
        <x:v>94.5</x:v>
      </x:c>
      <x:c r="Y22" s="635"/>
      <x:c r="Z22" s="635"/>
      <x:c r="AA22" s="635"/>
      <x:c r="AB22" s="635"/>
    </x:row>
    <x:row r="23">
      <x:c r="A23" s="52" t="str">
        <x:v>SQLX-22</x:v>
      </x:c>
      <x:c r="B23" s="53" t="str">
        <x:v>OUTBOX / QUEUES / CONCURRENCY</x:v>
      </x:c>
      <x:c r="C23" s="53" t="str">
        <x:v>SQLX-22</x:v>
      </x:c>
      <x:c r="D23" s="664" t="n">
        <x:v>100</x:v>
      </x:c>
      <x:c r="E23" s="664" t="n">
        <x:v>100</x:v>
      </x:c>
      <x:c r="F23" s="664" t="n">
        <x:v>100</x:v>
      </x:c>
      <x:c r="G23" s="664" t="n">
        <x:v>100</x:v>
      </x:c>
      <x:c r="H23" s="664" t="n">
        <x:v>100</x:v>
      </x:c>
      <x:c r="I23" s="664" t="n">
        <x:v>100</x:v>
      </x:c>
      <x:c r="J23" s="664" t="n">
        <x:v>100</x:v>
      </x:c>
      <x:c r="K23" s="664" t="n">
        <x:v>100</x:v>
      </x:c>
      <x:c r="L23" s="664" t="n">
        <x:v>100</x:v>
      </x:c>
      <x:c r="M23" s="664" t="n">
        <x:v>95</x:v>
      </x:c>
      <x:c r="N23" s="664" t="n">
        <x:v>100</x:v>
      </x:c>
      <x:c r="O23" s="664" t="n">
        <x:v>100</x:v>
      </x:c>
      <x:c r="P23" s="664" t="n">
        <x:v>90</x:v>
      </x:c>
      <x:c r="Q23" s="664" t="n">
        <x:v>80</x:v>
      </x:c>
      <x:c r="R23" s="664" t="n">
        <x:v>100</x:v>
      </x:c>
      <x:c r="S23" s="664" t="n">
        <x:v>100</x:v>
      </x:c>
      <x:c r="T23" s="664" t="n">
        <x:v>80</x:v>
      </x:c>
      <x:c r="U23" s="664" t="n">
        <x:v>80</x:v>
      </x:c>
      <x:c r="V23" s="664" t="n">
        <x:v>90</x:v>
      </x:c>
      <x:c r="W23" s="664" t="n">
        <x:v>100</x:v>
      </x:c>
      <x:c r="X23" s="664" t="n">
        <x:f>IF(COUNT(D23:W23)=0,"",AVERAGE(D23:W23))</x:f>
        <x:v>95.75</x:v>
      </x:c>
      <x:c r="Y23" s="635"/>
      <x:c r="Z23" s="635"/>
      <x:c r="AA23" s="635"/>
      <x:c r="AB23" s="635"/>
    </x:row>
    <x:row r="24">
      <x:c r="A24" s="52" t="str">
        <x:v>SQLX-23</x:v>
      </x:c>
      <x:c r="B24" s="53" t="str">
        <x:v>PERFORMANCE / PLANNER / MAINTENANCE</x:v>
      </x:c>
      <x:c r="C24" s="53" t="str">
        <x:v>SQLX-23</x:v>
      </x:c>
      <x:c r="D24" s="664" t="n">
        <x:v>100</x:v>
      </x:c>
      <x:c r="E24" s="664" t="n">
        <x:v>100</x:v>
      </x:c>
      <x:c r="F24" s="664" t="n">
        <x:v>100</x:v>
      </x:c>
      <x:c r="G24" s="664" t="n">
        <x:v>100</x:v>
      </x:c>
      <x:c r="H24" s="664" t="n">
        <x:v>100</x:v>
      </x:c>
      <x:c r="I24" s="664" t="n">
        <x:v>100</x:v>
      </x:c>
      <x:c r="J24" s="664" t="n">
        <x:v>100</x:v>
      </x:c>
      <x:c r="K24" s="664" t="n">
        <x:v>100</x:v>
      </x:c>
      <x:c r="L24" s="664" t="n">
        <x:v>100</x:v>
      </x:c>
      <x:c r="M24" s="664" t="n">
        <x:v>100</x:v>
      </x:c>
      <x:c r="N24" s="664" t="n">
        <x:v>100</x:v>
      </x:c>
      <x:c r="O24" s="664" t="n">
        <x:v>100</x:v>
      </x:c>
      <x:c r="P24" s="664" t="n">
        <x:v>100</x:v>
      </x:c>
      <x:c r="Q24" s="664" t="n">
        <x:v>90</x:v>
      </x:c>
      <x:c r="R24" s="664" t="n">
        <x:v>90</x:v>
      </x:c>
      <x:c r="S24" s="664" t="n">
        <x:v>90</x:v>
      </x:c>
      <x:c r="T24" s="664" t="n">
        <x:v>90</x:v>
      </x:c>
      <x:c r="U24" s="664" t="n">
        <x:v>90</x:v>
      </x:c>
      <x:c r="V24" s="664" t="n">
        <x:v>100</x:v>
      </x:c>
      <x:c r="W24" s="664" t="n">
        <x:v>90</x:v>
      </x:c>
      <x:c r="X24" s="664" t="n">
        <x:f>IF(COUNT(D24:W24)=0,"",AVERAGE(D24:W24))</x:f>
        <x:v>97</x:v>
      </x:c>
      <x:c r="Y24" s="635"/>
      <x:c r="Z24" s="635"/>
      <x:c r="AA24" s="635"/>
      <x:c r="AB24" s="635"/>
    </x:row>
    <x:row r="25">
      <x:c r="A25" s="52" t="str">
        <x:v>SQLX-24</x:v>
      </x:c>
      <x:c r="B25" s="53" t="str">
        <x:v>PERFORMANCE / PLANNER / MAINTENANCE</x:v>
      </x:c>
      <x:c r="C25" s="53" t="str">
        <x:v>SQLX-24</x:v>
      </x:c>
      <x:c r="D25" s="664" t="n">
        <x:v>100</x:v>
      </x:c>
      <x:c r="E25" s="664" t="n">
        <x:v>100</x:v>
      </x:c>
      <x:c r="F25" s="664" t="n">
        <x:v>100</x:v>
      </x:c>
      <x:c r="G25" s="664" t="n">
        <x:v>100</x:v>
      </x:c>
      <x:c r="H25" s="664" t="n">
        <x:v>100</x:v>
      </x:c>
      <x:c r="I25" s="664" t="n">
        <x:v>100</x:v>
      </x:c>
      <x:c r="J25" s="664" t="n">
        <x:v>100</x:v>
      </x:c>
      <x:c r="K25" s="664" t="n">
        <x:v>100</x:v>
      </x:c>
      <x:c r="L25" s="664" t="n">
        <x:v>100</x:v>
      </x:c>
      <x:c r="M25" s="664" t="n">
        <x:v>95</x:v>
      </x:c>
      <x:c r="N25" s="664" t="n">
        <x:v>100</x:v>
      </x:c>
      <x:c r="O25" s="664" t="n">
        <x:v>100</x:v>
      </x:c>
      <x:c r="P25" s="664" t="n">
        <x:v>100</x:v>
      </x:c>
      <x:c r="Q25" s="664" t="n">
        <x:v>80</x:v>
      </x:c>
      <x:c r="R25" s="664" t="n">
        <x:v>80</x:v>
      </x:c>
      <x:c r="S25" s="664" t="n">
        <x:v>100</x:v>
      </x:c>
      <x:c r="T25" s="664" t="n">
        <x:v>90</x:v>
      </x:c>
      <x:c r="U25" s="664" t="n">
        <x:v>80</x:v>
      </x:c>
      <x:c r="V25" s="664" t="n">
        <x:v>60</x:v>
      </x:c>
      <x:c r="W25" s="664" t="n">
        <x:v>100</x:v>
      </x:c>
      <x:c r="X25" s="664" t="n">
        <x:f>IF(COUNT(D25:W25)=0,"",AVERAGE(D25:W25))</x:f>
        <x:v>94.25</x:v>
      </x:c>
      <x:c r="Y25" s="635"/>
      <x:c r="Z25" s="635"/>
      <x:c r="AA25" s="635"/>
      <x:c r="AB25" s="635"/>
    </x:row>
    <x:row r="26">
      <x:c r="A26" s="52" t="str">
        <x:v>SQLX-25</x:v>
      </x:c>
      <x:c r="B26" s="53" t="str">
        <x:v>PERFORMANCE / PLANNER / MAINTENANCE</x:v>
      </x:c>
      <x:c r="C26" s="53" t="str">
        <x:v>SQLX-25</x:v>
      </x:c>
      <x:c r="D26" s="664" t="n">
        <x:v>100</x:v>
      </x:c>
      <x:c r="E26" s="664" t="n">
        <x:v>100</x:v>
      </x:c>
      <x:c r="F26" s="664" t="n">
        <x:v>100</x:v>
      </x:c>
      <x:c r="G26" s="664" t="n">
        <x:v>100</x:v>
      </x:c>
      <x:c r="H26" s="664" t="n">
        <x:v>100</x:v>
      </x:c>
      <x:c r="I26" s="664" t="n">
        <x:v>100</x:v>
      </x:c>
      <x:c r="J26" s="664" t="n">
        <x:v>100</x:v>
      </x:c>
      <x:c r="K26" s="664" t="n">
        <x:v>100</x:v>
      </x:c>
      <x:c r="L26" s="664" t="n">
        <x:v>100</x:v>
      </x:c>
      <x:c r="M26" s="664" t="n">
        <x:v>100</x:v>
      </x:c>
      <x:c r="N26" s="664" t="n">
        <x:v>100</x:v>
      </x:c>
      <x:c r="O26" s="664" t="n">
        <x:v>90</x:v>
      </x:c>
      <x:c r="P26" s="664" t="n">
        <x:v>90</x:v>
      </x:c>
      <x:c r="Q26" s="664" t="n">
        <x:v>100</x:v>
      </x:c>
      <x:c r="R26" s="664" t="n">
        <x:v>90</x:v>
      </x:c>
      <x:c r="S26" s="664" t="n">
        <x:v>100</x:v>
      </x:c>
      <x:c r="T26" s="664" t="n">
        <x:v>80</x:v>
      </x:c>
      <x:c r="U26" s="664" t="n">
        <x:v>100</x:v>
      </x:c>
      <x:c r="V26" s="664" t="n">
        <x:v>90</x:v>
      </x:c>
      <x:c r="W26" s="664" t="n">
        <x:v>90</x:v>
      </x:c>
      <x:c r="X26" s="664" t="n">
        <x:f>IF(COUNT(D26:W26)=0,"",AVERAGE(D26:W26))</x:f>
        <x:v>96.5</x:v>
      </x:c>
      <x:c r="Y26" s="635"/>
      <x:c r="Z26" s="635"/>
      <x:c r="AA26" s="635"/>
      <x:c r="AB26" s="635"/>
    </x:row>
    <x:row r="27">
      <x:c r="A27" s="52" t="str">
        <x:v>SQLX-26</x:v>
      </x:c>
      <x:c r="B27" s="53" t="str">
        <x:v>PERFORMANCE / PLANNER / MAINTENANCE</x:v>
      </x:c>
      <x:c r="C27" s="53" t="str">
        <x:v>SQLX-26</x:v>
      </x:c>
      <x:c r="D27" s="664" t="n">
        <x:v>100</x:v>
      </x:c>
      <x:c r="E27" s="664" t="n">
        <x:v>100</x:v>
      </x:c>
      <x:c r="F27" s="664" t="n">
        <x:v>100</x:v>
      </x:c>
      <x:c r="G27" s="664" t="n">
        <x:v>100</x:v>
      </x:c>
      <x:c r="H27" s="664" t="n">
        <x:v>100</x:v>
      </x:c>
      <x:c r="I27" s="664" t="n">
        <x:v>100</x:v>
      </x:c>
      <x:c r="J27" s="664" t="n">
        <x:v>100</x:v>
      </x:c>
      <x:c r="K27" s="664" t="n">
        <x:v>100</x:v>
      </x:c>
      <x:c r="L27" s="664" t="n">
        <x:v>100</x:v>
      </x:c>
      <x:c r="M27" s="664" t="n">
        <x:v>100</x:v>
      </x:c>
      <x:c r="N27" s="664" t="n">
        <x:v>100</x:v>
      </x:c>
      <x:c r="O27" s="664" t="n">
        <x:v>100</x:v>
      </x:c>
      <x:c r="P27" s="664" t="n">
        <x:v>90</x:v>
      </x:c>
      <x:c r="Q27" s="664" t="n">
        <x:v>80</x:v>
      </x:c>
      <x:c r="R27" s="664" t="n">
        <x:v>90</x:v>
      </x:c>
      <x:c r="S27" s="664" t="n">
        <x:v>50</x:v>
      </x:c>
      <x:c r="T27" s="664" t="n">
        <x:v>70</x:v>
      </x:c>
      <x:c r="U27" s="664" t="n">
        <x:v>70</x:v>
      </x:c>
      <x:c r="V27" s="664" t="n">
        <x:v>80</x:v>
      </x:c>
      <x:c r="W27" s="664" t="n">
        <x:v>70</x:v>
      </x:c>
      <x:c r="X27" s="664" t="n">
        <x:f>IF(COUNT(D27:W27)=0,"",AVERAGE(D27:W27))</x:f>
        <x:v>90</x:v>
      </x:c>
      <x:c r="Y27" s="635"/>
      <x:c r="Z27" s="635"/>
      <x:c r="AA27" s="635"/>
      <x:c r="AB27" s="635"/>
    </x:row>
    <x:row r="28">
      <x:c r="A28" s="52" t="str">
        <x:v>SQLX-27</x:v>
      </x:c>
      <x:c r="B28" s="53" t="str">
        <x:v>PERFORMANCE / PLANNER / MAINTENANCE</x:v>
      </x:c>
      <x:c r="C28" s="53" t="str">
        <x:v>SQLX-27</x:v>
      </x:c>
      <x:c r="D28" s="664" t="n">
        <x:v>100</x:v>
      </x:c>
      <x:c r="E28" s="664" t="n">
        <x:v>100</x:v>
      </x:c>
      <x:c r="F28" s="664" t="n">
        <x:v>100</x:v>
      </x:c>
      <x:c r="G28" s="664" t="n">
        <x:v>100</x:v>
      </x:c>
      <x:c r="H28" s="664" t="n">
        <x:v>95</x:v>
      </x:c>
      <x:c r="I28" s="664" t="n">
        <x:v>100</x:v>
      </x:c>
      <x:c r="J28" s="664" t="n">
        <x:v>100</x:v>
      </x:c>
      <x:c r="K28" s="664" t="n">
        <x:v>100</x:v>
      </x:c>
      <x:c r="L28" s="664" t="n">
        <x:v>95</x:v>
      </x:c>
      <x:c r="M28" s="664" t="n">
        <x:v>70</x:v>
      </x:c>
      <x:c r="N28" s="664" t="n">
        <x:v>95</x:v>
      </x:c>
      <x:c r="O28" s="664" t="n">
        <x:v>90</x:v>
      </x:c>
      <x:c r="P28" s="664" t="n">
        <x:v>100</x:v>
      </x:c>
      <x:c r="Q28" s="664" t="n">
        <x:v>60</x:v>
      </x:c>
      <x:c r="R28" s="664" t="n">
        <x:v>30</x:v>
      </x:c>
      <x:c r="S28" s="664" t="n">
        <x:v>60</x:v>
      </x:c>
      <x:c r="T28" s="664" t="n">
        <x:v>60</x:v>
      </x:c>
      <x:c r="U28" s="664" t="n">
        <x:v>80</x:v>
      </x:c>
      <x:c r="V28" s="664" t="n">
        <x:v>40</x:v>
      </x:c>
      <x:c r="W28" s="664" t="n">
        <x:v>80</x:v>
      </x:c>
      <x:c r="X28" s="664" t="n">
        <x:f>IF(COUNT(D28:W28)=0,"",AVERAGE(D28:W28))</x:f>
        <x:v>82.75</x:v>
      </x:c>
      <x:c r="Y28" s="635"/>
      <x:c r="Z28" s="635"/>
      <x:c r="AA28" s="635"/>
      <x:c r="AB28" s="635"/>
    </x:row>
    <x:row r="29">
      <x:c r="A29" s="52" t="str">
        <x:v>SQLX-28</x:v>
      </x:c>
      <x:c r="B29" s="53" t="str">
        <x:v>MIGRATIONS / RLS / RELIABILITY</x:v>
      </x:c>
      <x:c r="C29" s="53" t="str">
        <x:v>SQLX-28</x:v>
      </x:c>
      <x:c r="D29" s="664" t="n">
        <x:v>100</x:v>
      </x:c>
      <x:c r="E29" s="664" t="n">
        <x:v>100</x:v>
      </x:c>
      <x:c r="F29" s="664" t="n">
        <x:v>100</x:v>
      </x:c>
      <x:c r="G29" s="664" t="n">
        <x:v>100</x:v>
      </x:c>
      <x:c r="H29" s="664" t="n">
        <x:v>100</x:v>
      </x:c>
      <x:c r="I29" s="664" t="n">
        <x:v>100</x:v>
      </x:c>
      <x:c r="J29" s="664" t="n">
        <x:v>90</x:v>
      </x:c>
      <x:c r="K29" s="664" t="n">
        <x:v>100</x:v>
      </x:c>
      <x:c r="L29" s="664" t="n">
        <x:v>100</x:v>
      </x:c>
      <x:c r="M29" s="664" t="n">
        <x:v>100</x:v>
      </x:c>
      <x:c r="N29" s="664" t="n">
        <x:v>100</x:v>
      </x:c>
      <x:c r="O29" s="664" t="n">
        <x:v>80</x:v>
      </x:c>
      <x:c r="P29" s="664" t="n">
        <x:v>70</x:v>
      </x:c>
      <x:c r="Q29" s="664" t="n">
        <x:v>100</x:v>
      </x:c>
      <x:c r="R29" s="664" t="n">
        <x:v>60</x:v>
      </x:c>
      <x:c r="S29" s="664" t="n">
        <x:v>80</x:v>
      </x:c>
      <x:c r="T29" s="664" t="n">
        <x:v>90</x:v>
      </x:c>
      <x:c r="U29" s="664" t="n">
        <x:v>80</x:v>
      </x:c>
      <x:c r="V29" s="664" t="n">
        <x:v>90</x:v>
      </x:c>
      <x:c r="W29" s="664" t="n">
        <x:v>50</x:v>
      </x:c>
      <x:c r="X29" s="664" t="n">
        <x:f>IF(COUNT(D29:W29)=0,"",AVERAGE(D29:W29))</x:f>
        <x:v>89.5</x:v>
      </x:c>
      <x:c r="Y29" s="635"/>
      <x:c r="Z29" s="635"/>
      <x:c r="AA29" s="635"/>
      <x:c r="AB29" s="635"/>
    </x:row>
    <x:row r="30">
      <x:c r="A30" s="52" t="str">
        <x:v>SQLX-29</x:v>
      </x:c>
      <x:c r="B30" s="53" t="str">
        <x:v>MIGRATIONS / RLS / RELIABILITY</x:v>
      </x:c>
      <x:c r="C30" s="53" t="str">
        <x:v>SQLX-29</x:v>
      </x:c>
      <x:c r="D30" s="664" t="n">
        <x:v>100</x:v>
      </x:c>
      <x:c r="E30" s="664" t="n">
        <x:v>100</x:v>
      </x:c>
      <x:c r="F30" s="664" t="n">
        <x:v>100</x:v>
      </x:c>
      <x:c r="G30" s="664" t="n">
        <x:v>100</x:v>
      </x:c>
      <x:c r="H30" s="664" t="n">
        <x:v>100</x:v>
      </x:c>
      <x:c r="I30" s="664" t="n">
        <x:v>100</x:v>
      </x:c>
      <x:c r="J30" s="664" t="n">
        <x:v>100</x:v>
      </x:c>
      <x:c r="K30" s="664" t="n">
        <x:v>100</x:v>
      </x:c>
      <x:c r="L30" s="664" t="n">
        <x:v>90</x:v>
      </x:c>
      <x:c r="M30" s="664" t="n">
        <x:v>100</x:v>
      </x:c>
      <x:c r="N30" s="664" t="n">
        <x:v>100</x:v>
      </x:c>
      <x:c r="O30" s="664" t="n">
        <x:v>90</x:v>
      </x:c>
      <x:c r="P30" s="664" t="n">
        <x:v>90</x:v>
      </x:c>
      <x:c r="Q30" s="664" t="n">
        <x:v>70</x:v>
      </x:c>
      <x:c r="R30" s="664" t="n">
        <x:v>80</x:v>
      </x:c>
      <x:c r="S30" s="664" t="n">
        <x:v>90</x:v>
      </x:c>
      <x:c r="T30" s="664" t="n">
        <x:v>100</x:v>
      </x:c>
      <x:c r="U30" s="664" t="n">
        <x:v>80</x:v>
      </x:c>
      <x:c r="V30" s="664" t="n">
        <x:v>70</x:v>
      </x:c>
      <x:c r="W30" s="664" t="n">
        <x:v>80</x:v>
      </x:c>
      <x:c r="X30" s="664" t="n">
        <x:f>IF(COUNT(D30:W30)=0,"",AVERAGE(D30:W30))</x:f>
        <x:v>92</x:v>
      </x:c>
      <x:c r="Y30" s="635"/>
      <x:c r="Z30" s="635"/>
      <x:c r="AA30" s="635"/>
      <x:c r="AB30" s="635"/>
    </x:row>
    <x:row r="31">
      <x:c r="A31" s="52" t="str">
        <x:v>SQLX-30</x:v>
      </x:c>
      <x:c r="B31" s="53" t="str">
        <x:v>MIGRATIONS / RLS / RELIABILITY</x:v>
      </x:c>
      <x:c r="C31" s="53" t="str">
        <x:v>SQLX-30</x:v>
      </x:c>
      <x:c r="D31" s="664" t="n">
        <x:v>100</x:v>
      </x:c>
      <x:c r="E31" s="664" t="n">
        <x:v>100</x:v>
      </x:c>
      <x:c r="F31" s="664" t="n">
        <x:v>100</x:v>
      </x:c>
      <x:c r="G31" s="664" t="n">
        <x:v>100</x:v>
      </x:c>
      <x:c r="H31" s="664" t="n">
        <x:v>100</x:v>
      </x:c>
      <x:c r="I31" s="664" t="n">
        <x:v>100</x:v>
      </x:c>
      <x:c r="J31" s="664" t="n">
        <x:v>100</x:v>
      </x:c>
      <x:c r="K31" s="664" t="n">
        <x:v>100</x:v>
      </x:c>
      <x:c r="L31" s="664" t="n">
        <x:v>100</x:v>
      </x:c>
      <x:c r="M31" s="664" t="n">
        <x:v>70</x:v>
      </x:c>
      <x:c r="N31" s="664" t="n">
        <x:v>90</x:v>
      </x:c>
      <x:c r="O31" s="664" t="n">
        <x:v>100</x:v>
      </x:c>
      <x:c r="P31" s="664" t="n">
        <x:v>80</x:v>
      </x:c>
      <x:c r="Q31" s="664" t="n">
        <x:v>80</x:v>
      </x:c>
      <x:c r="R31" s="664" t="n">
        <x:v>60</x:v>
      </x:c>
      <x:c r="S31" s="664" t="n">
        <x:v>100</x:v>
      </x:c>
      <x:c r="T31" s="664" t="n">
        <x:v>60</x:v>
      </x:c>
      <x:c r="U31" s="664" t="n">
        <x:v>60</x:v>
      </x:c>
      <x:c r="V31" s="664" t="n">
        <x:v>80</x:v>
      </x:c>
      <x:c r="W31" s="664" t="n">
        <x:v>80</x:v>
      </x:c>
      <x:c r="X31" s="664" t="n">
        <x:f>IF(COUNT(D31:W31)=0,"",AVERAGE(D31:W31))</x:f>
        <x:v>88</x:v>
      </x:c>
      <x:c r="Y31" s="635"/>
      <x:c r="Z31" s="635"/>
      <x:c r="AA31" s="635"/>
      <x:c r="AB31" s="635"/>
    </x:row>
    <x:row r="32">
      <x:c r="A32" s="52" t="str">
        <x:v>SQLX-31</x:v>
      </x:c>
      <x:c r="B32" s="53" t="str">
        <x:v>LONG CONTEXT / SYSTEM DESIGN</x:v>
      </x:c>
      <x:c r="C32" s="53" t="str">
        <x:v>SQLX-31</x:v>
      </x:c>
      <x:c r="D32" s="664" t="n">
        <x:v>100</x:v>
      </x:c>
      <x:c r="E32" s="664" t="n">
        <x:v>100</x:v>
      </x:c>
      <x:c r="F32" s="664" t="n">
        <x:v>100</x:v>
      </x:c>
      <x:c r="G32" s="664" t="n">
        <x:v>100</x:v>
      </x:c>
      <x:c r="H32" s="664" t="n">
        <x:v>100</x:v>
      </x:c>
      <x:c r="I32" s="664" t="n">
        <x:v>100</x:v>
      </x:c>
      <x:c r="J32" s="664" t="n">
        <x:v>100</x:v>
      </x:c>
      <x:c r="K32" s="664" t="n">
        <x:v>100</x:v>
      </x:c>
      <x:c r="L32" s="664" t="n">
        <x:v>100</x:v>
      </x:c>
      <x:c r="M32" s="664" t="n">
        <x:v>100</x:v>
      </x:c>
      <x:c r="N32" s="664" t="n">
        <x:v>100</x:v>
      </x:c>
      <x:c r="O32" s="664" t="n">
        <x:v>100</x:v>
      </x:c>
      <x:c r="P32" s="664" t="n">
        <x:v>100</x:v>
      </x:c>
      <x:c r="Q32" s="664" t="n">
        <x:v>100</x:v>
      </x:c>
      <x:c r="R32" s="664" t="n">
        <x:v>100</x:v>
      </x:c>
      <x:c r="S32" s="664" t="n">
        <x:v>100</x:v>
      </x:c>
      <x:c r="T32" s="664" t="n">
        <x:v>100</x:v>
      </x:c>
      <x:c r="U32" s="664" t="n">
        <x:v>100</x:v>
      </x:c>
      <x:c r="V32" s="664" t="n">
        <x:v>100</x:v>
      </x:c>
      <x:c r="W32" s="664" t="n">
        <x:v>100</x:v>
      </x:c>
      <x:c r="X32" s="664" t="n">
        <x:f>IF(COUNT(D32:W32)=0,"",AVERAGE(D32:W32))</x:f>
        <x:v>100</x:v>
      </x:c>
      <x:c r="Y32" s="635"/>
      <x:c r="Z32" s="635"/>
      <x:c r="AA32" s="635"/>
      <x:c r="AB32" s="635"/>
    </x:row>
    <x:row r="33">
      <x:c r="A33" s="55" t="str">
        <x:v>SQLX-32</x:v>
      </x:c>
      <x:c r="B33" s="56" t="str">
        <x:v>LONG CONTEXT / SYSTEM DESIGN</x:v>
      </x:c>
      <x:c r="C33" s="56" t="str">
        <x:v>SQLX-32</x:v>
      </x:c>
      <x:c r="D33" s="665" t="n">
        <x:v>100</x:v>
      </x:c>
      <x:c r="E33" s="665" t="n">
        <x:v>95</x:v>
      </x:c>
      <x:c r="F33" s="665" t="n">
        <x:v>95</x:v>
      </x:c>
      <x:c r="G33" s="665" t="n">
        <x:v>100</x:v>
      </x:c>
      <x:c r="H33" s="665" t="n">
        <x:v>95</x:v>
      </x:c>
      <x:c r="I33" s="665" t="n">
        <x:v>95</x:v>
      </x:c>
      <x:c r="J33" s="665" t="n">
        <x:v>100</x:v>
      </x:c>
      <x:c r="K33" s="665" t="n">
        <x:v>90</x:v>
      </x:c>
      <x:c r="L33" s="665" t="n">
        <x:v>90</x:v>
      </x:c>
      <x:c r="M33" s="665" t="n">
        <x:v>95</x:v>
      </x:c>
      <x:c r="N33" s="665" t="n">
        <x:v>95</x:v>
      </x:c>
      <x:c r="O33" s="665" t="n">
        <x:v>90</x:v>
      </x:c>
      <x:c r="P33" s="665" t="n">
        <x:v>50</x:v>
      </x:c>
      <x:c r="Q33" s="665" t="n">
        <x:v>60</x:v>
      </x:c>
      <x:c r="R33" s="665" t="n">
        <x:v>50</x:v>
      </x:c>
      <x:c r="S33" s="665" t="n">
        <x:v>50</x:v>
      </x:c>
      <x:c r="T33" s="665" t="n">
        <x:v>75</x:v>
      </x:c>
      <x:c r="U33" s="665" t="n">
        <x:v>70</x:v>
      </x:c>
      <x:c r="V33" s="665" t="n">
        <x:v>40</x:v>
      </x:c>
      <x:c r="W33" s="665" t="n">
        <x:v>50</x:v>
      </x:c>
      <x:c r="X33" s="665" t="n">
        <x:f>IF(COUNT(D33:W33)=0,"",AVERAGE(D33:W33))</x:f>
        <x:v>79.25</x:v>
      </x:c>
      <x:c r="Y33" s="636"/>
      <x:c r="Z33" s="636"/>
      <x:c r="AA33" s="636"/>
      <x:c r="AB33" s="636"/>
    </x:row>
  </x:sheetData>
  <x:conditionalFormatting sqref="Y2:Y33">
    <x:cfRule type="expression" dxfId="1842" priority="838">
      <x:formula>AND(ISNUMBER(Y2),Y2=100)</x:formula>
    </x:cfRule>
    <x:cfRule type="expression" dxfId="1843" priority="839">
      <x:formula>AND(ISNUMBER(Y2),Y2&gt;=90,Y2&lt;100)</x:formula>
    </x:cfRule>
    <x:cfRule type="expression" dxfId="1844" priority="840">
      <x:formula>AND(ISNUMBER(Y2),Y2&gt;=80,Y2&lt;90)</x:formula>
    </x:cfRule>
    <x:cfRule type="expression" dxfId="1845" priority="841">
      <x:formula>AND(ISNUMBER(Y2),Y2&gt;=70,Y2&lt;80)</x:formula>
    </x:cfRule>
    <x:cfRule type="expression" dxfId="1846" priority="842">
      <x:formula>AND(ISNUMBER(Y2),Y2&gt;=60,Y2&lt;70)</x:formula>
    </x:cfRule>
    <x:cfRule type="expression" dxfId="1847" priority="843">
      <x:formula>AND(ISNUMBER(Y2),Y2&gt;=50,Y2&lt;60)</x:formula>
    </x:cfRule>
    <x:cfRule type="expression" dxfId="1848" priority="844">
      <x:formula>AND(ISNUMBER(Y2),Y2&gt;=40,Y2&lt;50)</x:formula>
    </x:cfRule>
    <x:cfRule type="expression" dxfId="1849" priority="845">
      <x:formula>AND(ISNUMBER(Y2),Y2&gt;=20,Y2&lt;40)</x:formula>
    </x:cfRule>
    <x:cfRule type="expression" dxfId="1850" priority="846">
      <x:formula>AND(ISNUMBER(Y2),Y2&lt;20)</x:formula>
    </x:cfRule>
  </x:conditionalFormatting>
  <x:conditionalFormatting sqref="Z2:Z33">
    <x:cfRule type="expression" dxfId="1851" priority="847">
      <x:formula>AND(ISNUMBER(Z2),Z2=100)</x:formula>
    </x:cfRule>
    <x:cfRule type="expression" dxfId="1852" priority="848">
      <x:formula>AND(ISNUMBER(Z2),Z2&gt;=90,Z2&lt;100)</x:formula>
    </x:cfRule>
    <x:cfRule type="expression" dxfId="1853" priority="849">
      <x:formula>AND(ISNUMBER(Z2),Z2&gt;=80,Z2&lt;90)</x:formula>
    </x:cfRule>
    <x:cfRule type="expression" dxfId="1854" priority="850">
      <x:formula>AND(ISNUMBER(Z2),Z2&gt;=70,Z2&lt;80)</x:formula>
    </x:cfRule>
    <x:cfRule type="expression" dxfId="1855" priority="851">
      <x:formula>AND(ISNUMBER(Z2),Z2&gt;=60,Z2&lt;70)</x:formula>
    </x:cfRule>
    <x:cfRule type="expression" dxfId="1856" priority="852">
      <x:formula>AND(ISNUMBER(Z2),Z2&gt;=50,Z2&lt;60)</x:formula>
    </x:cfRule>
    <x:cfRule type="expression" dxfId="1857" priority="853">
      <x:formula>AND(ISNUMBER(Z2),Z2&gt;=40,Z2&lt;50)</x:formula>
    </x:cfRule>
    <x:cfRule type="expression" dxfId="1858" priority="854">
      <x:formula>AND(ISNUMBER(Z2),Z2&gt;=20,Z2&lt;40)</x:formula>
    </x:cfRule>
    <x:cfRule type="expression" dxfId="1859" priority="855">
      <x:formula>AND(ISNUMBER(Z2),Z2&lt;20)</x:formula>
    </x:cfRule>
  </x:conditionalFormatting>
  <x:conditionalFormatting sqref="AA2:AA33">
    <x:cfRule type="expression" dxfId="1860" priority="856">
      <x:formula>AND(ISNUMBER(AA2),AA2=100)</x:formula>
    </x:cfRule>
    <x:cfRule type="expression" dxfId="1861" priority="857">
      <x:formula>AND(ISNUMBER(AA2),AA2&gt;=90,AA2&lt;100)</x:formula>
    </x:cfRule>
    <x:cfRule type="expression" dxfId="1862" priority="858">
      <x:formula>AND(ISNUMBER(AA2),AA2&gt;=80,AA2&lt;90)</x:formula>
    </x:cfRule>
    <x:cfRule type="expression" dxfId="1863" priority="859">
      <x:formula>AND(ISNUMBER(AA2),AA2&gt;=70,AA2&lt;80)</x:formula>
    </x:cfRule>
    <x:cfRule type="expression" dxfId="1864" priority="860">
      <x:formula>AND(ISNUMBER(AA2),AA2&gt;=60,AA2&lt;70)</x:formula>
    </x:cfRule>
    <x:cfRule type="expression" dxfId="1865" priority="861">
      <x:formula>AND(ISNUMBER(AA2),AA2&gt;=50,AA2&lt;60)</x:formula>
    </x:cfRule>
    <x:cfRule type="expression" dxfId="1866" priority="862">
      <x:formula>AND(ISNUMBER(AA2),AA2&gt;=40,AA2&lt;50)</x:formula>
    </x:cfRule>
    <x:cfRule type="expression" dxfId="1867" priority="863">
      <x:formula>AND(ISNUMBER(AA2),AA2&gt;=20,AA2&lt;40)</x:formula>
    </x:cfRule>
    <x:cfRule type="expression" dxfId="1868" priority="864">
      <x:formula>AND(ISNUMBER(AA2),AA2&lt;20)</x:formula>
    </x:cfRule>
  </x:conditionalFormatting>
  <x:conditionalFormatting sqref="AB2:AB33">
    <x:cfRule type="expression" dxfId="1869" priority="865">
      <x:formula>AND(ISNUMBER(AB2),AB2=100)</x:formula>
    </x:cfRule>
    <x:cfRule type="expression" dxfId="1870" priority="866">
      <x:formula>AND(ISNUMBER(AB2),AB2&gt;=90,AB2&lt;100)</x:formula>
    </x:cfRule>
    <x:cfRule type="expression" dxfId="1871" priority="867">
      <x:formula>AND(ISNUMBER(AB2),AB2&gt;=80,AB2&lt;90)</x:formula>
    </x:cfRule>
    <x:cfRule type="expression" dxfId="1872" priority="868">
      <x:formula>AND(ISNUMBER(AB2),AB2&gt;=70,AB2&lt;80)</x:formula>
    </x:cfRule>
    <x:cfRule type="expression" dxfId="1873" priority="869">
      <x:formula>AND(ISNUMBER(AB2),AB2&gt;=60,AB2&lt;70)</x:formula>
    </x:cfRule>
    <x:cfRule type="expression" dxfId="1874" priority="870">
      <x:formula>AND(ISNUMBER(AB2),AB2&gt;=50,AB2&lt;60)</x:formula>
    </x:cfRule>
    <x:cfRule type="expression" dxfId="1875" priority="871">
      <x:formula>AND(ISNUMBER(AB2),AB2&gt;=40,AB2&lt;50)</x:formula>
    </x:cfRule>
    <x:cfRule type="expression" dxfId="1876" priority="872">
      <x:formula>AND(ISNUMBER(AB2),AB2&gt;=20,AB2&lt;40)</x:formula>
    </x:cfRule>
    <x:cfRule type="expression" dxfId="1877" priority="873">
      <x:formula>AND(ISNUMBER(AB2),AB2&lt;20)</x:formula>
    </x:cfRule>
  </x:conditionalFormatting>
  <x:conditionalFormatting sqref="D2:D33">
    <x:cfRule type="expression" dxfId="2148" priority="874">
      <x:formula>AND(ISNUMBER(D2),D2=100)</x:formula>
    </x:cfRule>
    <x:cfRule type="expression" dxfId="2149" priority="875">
      <x:formula>AND(ISNUMBER(D2),D2&gt;=90,D2&lt;100)</x:formula>
    </x:cfRule>
    <x:cfRule type="expression" dxfId="2150" priority="876">
      <x:formula>AND(ISNUMBER(D2),D2&gt;=80,D2&lt;90)</x:formula>
    </x:cfRule>
    <x:cfRule type="expression" dxfId="2151" priority="877">
      <x:formula>AND(ISNUMBER(D2),D2&gt;=70,D2&lt;80)</x:formula>
    </x:cfRule>
    <x:cfRule type="expression" dxfId="2152" priority="878">
      <x:formula>AND(ISNUMBER(D2),D2&gt;=60,D2&lt;70)</x:formula>
    </x:cfRule>
    <x:cfRule type="expression" dxfId="2153" priority="879">
      <x:formula>AND(ISNUMBER(D2),D2&gt;=50,D2&lt;60)</x:formula>
    </x:cfRule>
    <x:cfRule type="expression" dxfId="2154" priority="880">
      <x:formula>AND(ISNUMBER(D2),D2&gt;=40,D2&lt;50)</x:formula>
    </x:cfRule>
    <x:cfRule type="expression" dxfId="2155" priority="881">
      <x:formula>AND(ISNUMBER(D2),D2&gt;=20,D2&lt;40)</x:formula>
    </x:cfRule>
    <x:cfRule type="expression" dxfId="2156" priority="882">
      <x:formula>AND(ISNUMBER(D2),D2&lt;20)</x:formula>
    </x:cfRule>
  </x:conditionalFormatting>
  <x:conditionalFormatting sqref="E2:E33">
    <x:cfRule type="expression" dxfId="2157" priority="883">
      <x:formula>AND(ISNUMBER(E2),E2=100)</x:formula>
    </x:cfRule>
    <x:cfRule type="expression" dxfId="2158" priority="884">
      <x:formula>AND(ISNUMBER(E2),E2&gt;=90,E2&lt;100)</x:formula>
    </x:cfRule>
    <x:cfRule type="expression" dxfId="2159" priority="885">
      <x:formula>AND(ISNUMBER(E2),E2&gt;=80,E2&lt;90)</x:formula>
    </x:cfRule>
    <x:cfRule type="expression" dxfId="2160" priority="886">
      <x:formula>AND(ISNUMBER(E2),E2&gt;=70,E2&lt;80)</x:formula>
    </x:cfRule>
    <x:cfRule type="expression" dxfId="2161" priority="887">
      <x:formula>AND(ISNUMBER(E2),E2&gt;=60,E2&lt;70)</x:formula>
    </x:cfRule>
    <x:cfRule type="expression" dxfId="2162" priority="888">
      <x:formula>AND(ISNUMBER(E2),E2&gt;=50,E2&lt;60)</x:formula>
    </x:cfRule>
    <x:cfRule type="expression" dxfId="2163" priority="889">
      <x:formula>AND(ISNUMBER(E2),E2&gt;=40,E2&lt;50)</x:formula>
    </x:cfRule>
    <x:cfRule type="expression" dxfId="2164" priority="890">
      <x:formula>AND(ISNUMBER(E2),E2&gt;=20,E2&lt;40)</x:formula>
    </x:cfRule>
    <x:cfRule type="expression" dxfId="2165" priority="891">
      <x:formula>AND(ISNUMBER(E2),E2&lt;20)</x:formula>
    </x:cfRule>
  </x:conditionalFormatting>
  <x:conditionalFormatting sqref="F2:F33">
    <x:cfRule type="expression" dxfId="2166" priority="892">
      <x:formula>AND(ISNUMBER(F2),F2=100)</x:formula>
    </x:cfRule>
    <x:cfRule type="expression" dxfId="2167" priority="893">
      <x:formula>AND(ISNUMBER(F2),F2&gt;=90,F2&lt;100)</x:formula>
    </x:cfRule>
    <x:cfRule type="expression" dxfId="2168" priority="894">
      <x:formula>AND(ISNUMBER(F2),F2&gt;=80,F2&lt;90)</x:formula>
    </x:cfRule>
    <x:cfRule type="expression" dxfId="2169" priority="895">
      <x:formula>AND(ISNUMBER(F2),F2&gt;=70,F2&lt;80)</x:formula>
    </x:cfRule>
    <x:cfRule type="expression" dxfId="2170" priority="896">
      <x:formula>AND(ISNUMBER(F2),F2&gt;=60,F2&lt;70)</x:formula>
    </x:cfRule>
    <x:cfRule type="expression" dxfId="2171" priority="897">
      <x:formula>AND(ISNUMBER(F2),F2&gt;=50,F2&lt;60)</x:formula>
    </x:cfRule>
    <x:cfRule type="expression" dxfId="2172" priority="898">
      <x:formula>AND(ISNUMBER(F2),F2&gt;=40,F2&lt;50)</x:formula>
    </x:cfRule>
    <x:cfRule type="expression" dxfId="2173" priority="899">
      <x:formula>AND(ISNUMBER(F2),F2&gt;=20,F2&lt;40)</x:formula>
    </x:cfRule>
    <x:cfRule type="expression" dxfId="2174" priority="900">
      <x:formula>AND(ISNUMBER(F2),F2&lt;20)</x:formula>
    </x:cfRule>
  </x:conditionalFormatting>
  <x:conditionalFormatting sqref="G2:G33">
    <x:cfRule type="expression" dxfId="2175" priority="901">
      <x:formula>AND(ISNUMBER(G2),G2=100)</x:formula>
    </x:cfRule>
    <x:cfRule type="expression" dxfId="2176" priority="902">
      <x:formula>AND(ISNUMBER(G2),G2&gt;=90,G2&lt;100)</x:formula>
    </x:cfRule>
    <x:cfRule type="expression" dxfId="2177" priority="903">
      <x:formula>AND(ISNUMBER(G2),G2&gt;=80,G2&lt;90)</x:formula>
    </x:cfRule>
    <x:cfRule type="expression" dxfId="2178" priority="904">
      <x:formula>AND(ISNUMBER(G2),G2&gt;=70,G2&lt;80)</x:formula>
    </x:cfRule>
    <x:cfRule type="expression" dxfId="2179" priority="905">
      <x:formula>AND(ISNUMBER(G2),G2&gt;=60,G2&lt;70)</x:formula>
    </x:cfRule>
    <x:cfRule type="expression" dxfId="2180" priority="906">
      <x:formula>AND(ISNUMBER(G2),G2&gt;=50,G2&lt;60)</x:formula>
    </x:cfRule>
    <x:cfRule type="expression" dxfId="2181" priority="907">
      <x:formula>AND(ISNUMBER(G2),G2&gt;=40,G2&lt;50)</x:formula>
    </x:cfRule>
    <x:cfRule type="expression" dxfId="2182" priority="908">
      <x:formula>AND(ISNUMBER(G2),G2&gt;=20,G2&lt;40)</x:formula>
    </x:cfRule>
    <x:cfRule type="expression" dxfId="2183" priority="909">
      <x:formula>AND(ISNUMBER(G2),G2&lt;20)</x:formula>
    </x:cfRule>
  </x:conditionalFormatting>
  <x:conditionalFormatting sqref="H2:H33">
    <x:cfRule type="expression" dxfId="2184" priority="910">
      <x:formula>AND(ISNUMBER(H2),H2=100)</x:formula>
    </x:cfRule>
    <x:cfRule type="expression" dxfId="2185" priority="911">
      <x:formula>AND(ISNUMBER(H2),H2&gt;=90,H2&lt;100)</x:formula>
    </x:cfRule>
    <x:cfRule type="expression" dxfId="2186" priority="912">
      <x:formula>AND(ISNUMBER(H2),H2&gt;=80,H2&lt;90)</x:formula>
    </x:cfRule>
    <x:cfRule type="expression" dxfId="2187" priority="913">
      <x:formula>AND(ISNUMBER(H2),H2&gt;=70,H2&lt;80)</x:formula>
    </x:cfRule>
    <x:cfRule type="expression" dxfId="2188" priority="914">
      <x:formula>AND(ISNUMBER(H2),H2&gt;=60,H2&lt;70)</x:formula>
    </x:cfRule>
    <x:cfRule type="expression" dxfId="2189" priority="915">
      <x:formula>AND(ISNUMBER(H2),H2&gt;=50,H2&lt;60)</x:formula>
    </x:cfRule>
    <x:cfRule type="expression" dxfId="2190" priority="916">
      <x:formula>AND(ISNUMBER(H2),H2&gt;=40,H2&lt;50)</x:formula>
    </x:cfRule>
    <x:cfRule type="expression" dxfId="2191" priority="917">
      <x:formula>AND(ISNUMBER(H2),H2&gt;=20,H2&lt;40)</x:formula>
    </x:cfRule>
    <x:cfRule type="expression" dxfId="2192" priority="918">
      <x:formula>AND(ISNUMBER(H2),H2&lt;20)</x:formula>
    </x:cfRule>
  </x:conditionalFormatting>
  <x:conditionalFormatting sqref="I2:I33">
    <x:cfRule type="expression" dxfId="2193" priority="919">
      <x:formula>AND(ISNUMBER(I2),I2=100)</x:formula>
    </x:cfRule>
    <x:cfRule type="expression" dxfId="2194" priority="920">
      <x:formula>AND(ISNUMBER(I2),I2&gt;=90,I2&lt;100)</x:formula>
    </x:cfRule>
    <x:cfRule type="expression" dxfId="2195" priority="921">
      <x:formula>AND(ISNUMBER(I2),I2&gt;=80,I2&lt;90)</x:formula>
    </x:cfRule>
    <x:cfRule type="expression" dxfId="2196" priority="922">
      <x:formula>AND(ISNUMBER(I2),I2&gt;=70,I2&lt;80)</x:formula>
    </x:cfRule>
    <x:cfRule type="expression" dxfId="2197" priority="923">
      <x:formula>AND(ISNUMBER(I2),I2&gt;=60,I2&lt;70)</x:formula>
    </x:cfRule>
    <x:cfRule type="expression" dxfId="2198" priority="924">
      <x:formula>AND(ISNUMBER(I2),I2&gt;=50,I2&lt;60)</x:formula>
    </x:cfRule>
    <x:cfRule type="expression" dxfId="2199" priority="925">
      <x:formula>AND(ISNUMBER(I2),I2&gt;=40,I2&lt;50)</x:formula>
    </x:cfRule>
    <x:cfRule type="expression" dxfId="2200" priority="926">
      <x:formula>AND(ISNUMBER(I2),I2&gt;=20,I2&lt;40)</x:formula>
    </x:cfRule>
    <x:cfRule type="expression" dxfId="2201" priority="927">
      <x:formula>AND(ISNUMBER(I2),I2&lt;20)</x:formula>
    </x:cfRule>
  </x:conditionalFormatting>
  <x:conditionalFormatting sqref="J2:J33">
    <x:cfRule type="expression" dxfId="2202" priority="928">
      <x:formula>AND(ISNUMBER(J2),J2=100)</x:formula>
    </x:cfRule>
    <x:cfRule type="expression" dxfId="2203" priority="929">
      <x:formula>AND(ISNUMBER(J2),J2&gt;=90,J2&lt;100)</x:formula>
    </x:cfRule>
    <x:cfRule type="expression" dxfId="2204" priority="930">
      <x:formula>AND(ISNUMBER(J2),J2&gt;=80,J2&lt;90)</x:formula>
    </x:cfRule>
    <x:cfRule type="expression" dxfId="2205" priority="931">
      <x:formula>AND(ISNUMBER(J2),J2&gt;=70,J2&lt;80)</x:formula>
    </x:cfRule>
    <x:cfRule type="expression" dxfId="2206" priority="932">
      <x:formula>AND(ISNUMBER(J2),J2&gt;=60,J2&lt;70)</x:formula>
    </x:cfRule>
    <x:cfRule type="expression" dxfId="2207" priority="933">
      <x:formula>AND(ISNUMBER(J2),J2&gt;=50,J2&lt;60)</x:formula>
    </x:cfRule>
    <x:cfRule type="expression" dxfId="2208" priority="934">
      <x:formula>AND(ISNUMBER(J2),J2&gt;=40,J2&lt;50)</x:formula>
    </x:cfRule>
    <x:cfRule type="expression" dxfId="2209" priority="935">
      <x:formula>AND(ISNUMBER(J2),J2&gt;=20,J2&lt;40)</x:formula>
    </x:cfRule>
    <x:cfRule type="expression" dxfId="2210" priority="936">
      <x:formula>AND(ISNUMBER(J2),J2&lt;20)</x:formula>
    </x:cfRule>
  </x:conditionalFormatting>
  <x:conditionalFormatting sqref="K2:K33">
    <x:cfRule type="expression" dxfId="2211" priority="937">
      <x:formula>AND(ISNUMBER(K2),K2=100)</x:formula>
    </x:cfRule>
    <x:cfRule type="expression" dxfId="2212" priority="938">
      <x:formula>AND(ISNUMBER(K2),K2&gt;=90,K2&lt;100)</x:formula>
    </x:cfRule>
    <x:cfRule type="expression" dxfId="2213" priority="939">
      <x:formula>AND(ISNUMBER(K2),K2&gt;=80,K2&lt;90)</x:formula>
    </x:cfRule>
    <x:cfRule type="expression" dxfId="2214" priority="940">
      <x:formula>AND(ISNUMBER(K2),K2&gt;=70,K2&lt;80)</x:formula>
    </x:cfRule>
    <x:cfRule type="expression" dxfId="2215" priority="941">
      <x:formula>AND(ISNUMBER(K2),K2&gt;=60,K2&lt;70)</x:formula>
    </x:cfRule>
    <x:cfRule type="expression" dxfId="2216" priority="942">
      <x:formula>AND(ISNUMBER(K2),K2&gt;=50,K2&lt;60)</x:formula>
    </x:cfRule>
    <x:cfRule type="expression" dxfId="2217" priority="943">
      <x:formula>AND(ISNUMBER(K2),K2&gt;=40,K2&lt;50)</x:formula>
    </x:cfRule>
    <x:cfRule type="expression" dxfId="2218" priority="944">
      <x:formula>AND(ISNUMBER(K2),K2&gt;=20,K2&lt;40)</x:formula>
    </x:cfRule>
    <x:cfRule type="expression" dxfId="2219" priority="945">
      <x:formula>AND(ISNUMBER(K2),K2&lt;20)</x:formula>
    </x:cfRule>
  </x:conditionalFormatting>
  <x:conditionalFormatting sqref="L2:L33">
    <x:cfRule type="expression" dxfId="2220" priority="946">
      <x:formula>AND(ISNUMBER(L2),L2=100)</x:formula>
    </x:cfRule>
    <x:cfRule type="expression" dxfId="2221" priority="947">
      <x:formula>AND(ISNUMBER(L2),L2&gt;=90,L2&lt;100)</x:formula>
    </x:cfRule>
    <x:cfRule type="expression" dxfId="2222" priority="948">
      <x:formula>AND(ISNUMBER(L2),L2&gt;=80,L2&lt;90)</x:formula>
    </x:cfRule>
    <x:cfRule type="expression" dxfId="2223" priority="949">
      <x:formula>AND(ISNUMBER(L2),L2&gt;=70,L2&lt;80)</x:formula>
    </x:cfRule>
    <x:cfRule type="expression" dxfId="2224" priority="950">
      <x:formula>AND(ISNUMBER(L2),L2&gt;=60,L2&lt;70)</x:formula>
    </x:cfRule>
    <x:cfRule type="expression" dxfId="2225" priority="951">
      <x:formula>AND(ISNUMBER(L2),L2&gt;=50,L2&lt;60)</x:formula>
    </x:cfRule>
    <x:cfRule type="expression" dxfId="2226" priority="952">
      <x:formula>AND(ISNUMBER(L2),L2&gt;=40,L2&lt;50)</x:formula>
    </x:cfRule>
    <x:cfRule type="expression" dxfId="2227" priority="953">
      <x:formula>AND(ISNUMBER(L2),L2&gt;=20,L2&lt;40)</x:formula>
    </x:cfRule>
    <x:cfRule type="expression" dxfId="2228" priority="954">
      <x:formula>AND(ISNUMBER(L2),L2&lt;20)</x:formula>
    </x:cfRule>
  </x:conditionalFormatting>
  <x:conditionalFormatting sqref="M2:M33">
    <x:cfRule type="expression" dxfId="2229" priority="955">
      <x:formula>AND(ISNUMBER(M2),M2=100)</x:formula>
    </x:cfRule>
    <x:cfRule type="expression" dxfId="2230" priority="956">
      <x:formula>AND(ISNUMBER(M2),M2&gt;=90,M2&lt;100)</x:formula>
    </x:cfRule>
    <x:cfRule type="expression" dxfId="2231" priority="957">
      <x:formula>AND(ISNUMBER(M2),M2&gt;=80,M2&lt;90)</x:formula>
    </x:cfRule>
    <x:cfRule type="expression" dxfId="2232" priority="958">
      <x:formula>AND(ISNUMBER(M2),M2&gt;=70,M2&lt;80)</x:formula>
    </x:cfRule>
    <x:cfRule type="expression" dxfId="2233" priority="959">
      <x:formula>AND(ISNUMBER(M2),M2&gt;=60,M2&lt;70)</x:formula>
    </x:cfRule>
    <x:cfRule type="expression" dxfId="2234" priority="960">
      <x:formula>AND(ISNUMBER(M2),M2&gt;=50,M2&lt;60)</x:formula>
    </x:cfRule>
    <x:cfRule type="expression" dxfId="2235" priority="961">
      <x:formula>AND(ISNUMBER(M2),M2&gt;=40,M2&lt;50)</x:formula>
    </x:cfRule>
    <x:cfRule type="expression" dxfId="2236" priority="962">
      <x:formula>AND(ISNUMBER(M2),M2&gt;=20,M2&lt;40)</x:formula>
    </x:cfRule>
    <x:cfRule type="expression" dxfId="2237" priority="963">
      <x:formula>AND(ISNUMBER(M2),M2&lt;20)</x:formula>
    </x:cfRule>
  </x:conditionalFormatting>
  <x:conditionalFormatting sqref="N2:N33">
    <x:cfRule type="expression" dxfId="2238" priority="964">
      <x:formula>AND(ISNUMBER(N2),N2=100)</x:formula>
    </x:cfRule>
    <x:cfRule type="expression" dxfId="2239" priority="965">
      <x:formula>AND(ISNUMBER(N2),N2&gt;=90,N2&lt;100)</x:formula>
    </x:cfRule>
    <x:cfRule type="expression" dxfId="2240" priority="966">
      <x:formula>AND(ISNUMBER(N2),N2&gt;=80,N2&lt;90)</x:formula>
    </x:cfRule>
    <x:cfRule type="expression" dxfId="2241" priority="967">
      <x:formula>AND(ISNUMBER(N2),N2&gt;=70,N2&lt;80)</x:formula>
    </x:cfRule>
    <x:cfRule type="expression" dxfId="2242" priority="968">
      <x:formula>AND(ISNUMBER(N2),N2&gt;=60,N2&lt;70)</x:formula>
    </x:cfRule>
    <x:cfRule type="expression" dxfId="2243" priority="969">
      <x:formula>AND(ISNUMBER(N2),N2&gt;=50,N2&lt;60)</x:formula>
    </x:cfRule>
    <x:cfRule type="expression" dxfId="2244" priority="970">
      <x:formula>AND(ISNUMBER(N2),N2&gt;=40,N2&lt;50)</x:formula>
    </x:cfRule>
    <x:cfRule type="expression" dxfId="2245" priority="971">
      <x:formula>AND(ISNUMBER(N2),N2&gt;=20,N2&lt;40)</x:formula>
    </x:cfRule>
    <x:cfRule type="expression" dxfId="2246" priority="972">
      <x:formula>AND(ISNUMBER(N2),N2&lt;20)</x:formula>
    </x:cfRule>
  </x:conditionalFormatting>
  <x:conditionalFormatting sqref="O2:O33">
    <x:cfRule type="expression" dxfId="2247" priority="973">
      <x:formula>AND(ISNUMBER(O2),O2=100)</x:formula>
    </x:cfRule>
    <x:cfRule type="expression" dxfId="2248" priority="974">
      <x:formula>AND(ISNUMBER(O2),O2&gt;=90,O2&lt;100)</x:formula>
    </x:cfRule>
    <x:cfRule type="expression" dxfId="2249" priority="975">
      <x:formula>AND(ISNUMBER(O2),O2&gt;=80,O2&lt;90)</x:formula>
    </x:cfRule>
    <x:cfRule type="expression" dxfId="2250" priority="976">
      <x:formula>AND(ISNUMBER(O2),O2&gt;=70,O2&lt;80)</x:formula>
    </x:cfRule>
    <x:cfRule type="expression" dxfId="2251" priority="977">
      <x:formula>AND(ISNUMBER(O2),O2&gt;=60,O2&lt;70)</x:formula>
    </x:cfRule>
    <x:cfRule type="expression" dxfId="2252" priority="978">
      <x:formula>AND(ISNUMBER(O2),O2&gt;=50,O2&lt;60)</x:formula>
    </x:cfRule>
    <x:cfRule type="expression" dxfId="2253" priority="979">
      <x:formula>AND(ISNUMBER(O2),O2&gt;=40,O2&lt;50)</x:formula>
    </x:cfRule>
    <x:cfRule type="expression" dxfId="2254" priority="980">
      <x:formula>AND(ISNUMBER(O2),O2&gt;=20,O2&lt;40)</x:formula>
    </x:cfRule>
    <x:cfRule type="expression" dxfId="2255" priority="981">
      <x:formula>AND(ISNUMBER(O2),O2&lt;20)</x:formula>
    </x:cfRule>
  </x:conditionalFormatting>
  <x:conditionalFormatting sqref="P2:P33">
    <x:cfRule type="expression" dxfId="2256" priority="982">
      <x:formula>AND(ISNUMBER(P2),P2=100)</x:formula>
    </x:cfRule>
    <x:cfRule type="expression" dxfId="2257" priority="983">
      <x:formula>AND(ISNUMBER(P2),P2&gt;=90,P2&lt;100)</x:formula>
    </x:cfRule>
    <x:cfRule type="expression" dxfId="2258" priority="984">
      <x:formula>AND(ISNUMBER(P2),P2&gt;=80,P2&lt;90)</x:formula>
    </x:cfRule>
    <x:cfRule type="expression" dxfId="2259" priority="985">
      <x:formula>AND(ISNUMBER(P2),P2&gt;=70,P2&lt;80)</x:formula>
    </x:cfRule>
    <x:cfRule type="expression" dxfId="2260" priority="986">
      <x:formula>AND(ISNUMBER(P2),P2&gt;=60,P2&lt;70)</x:formula>
    </x:cfRule>
    <x:cfRule type="expression" dxfId="2261" priority="987">
      <x:formula>AND(ISNUMBER(P2),P2&gt;=50,P2&lt;60)</x:formula>
    </x:cfRule>
    <x:cfRule type="expression" dxfId="2262" priority="988">
      <x:formula>AND(ISNUMBER(P2),P2&gt;=40,P2&lt;50)</x:formula>
    </x:cfRule>
    <x:cfRule type="expression" dxfId="2263" priority="989">
      <x:formula>AND(ISNUMBER(P2),P2&gt;=20,P2&lt;40)</x:formula>
    </x:cfRule>
    <x:cfRule type="expression" dxfId="2264" priority="990">
      <x:formula>AND(ISNUMBER(P2),P2&lt;20)</x:formula>
    </x:cfRule>
  </x:conditionalFormatting>
  <x:conditionalFormatting sqref="Q2:Q33">
    <x:cfRule type="expression" dxfId="2265" priority="991">
      <x:formula>AND(ISNUMBER(Q2),Q2=100)</x:formula>
    </x:cfRule>
    <x:cfRule type="expression" dxfId="2266" priority="992">
      <x:formula>AND(ISNUMBER(Q2),Q2&gt;=90,Q2&lt;100)</x:formula>
    </x:cfRule>
    <x:cfRule type="expression" dxfId="2267" priority="993">
      <x:formula>AND(ISNUMBER(Q2),Q2&gt;=80,Q2&lt;90)</x:formula>
    </x:cfRule>
    <x:cfRule type="expression" dxfId="2268" priority="994">
      <x:formula>AND(ISNUMBER(Q2),Q2&gt;=70,Q2&lt;80)</x:formula>
    </x:cfRule>
    <x:cfRule type="expression" dxfId="2269" priority="995">
      <x:formula>AND(ISNUMBER(Q2),Q2&gt;=60,Q2&lt;70)</x:formula>
    </x:cfRule>
    <x:cfRule type="expression" dxfId="2270" priority="996">
      <x:formula>AND(ISNUMBER(Q2),Q2&gt;=50,Q2&lt;60)</x:formula>
    </x:cfRule>
    <x:cfRule type="expression" dxfId="2271" priority="997">
      <x:formula>AND(ISNUMBER(Q2),Q2&gt;=40,Q2&lt;50)</x:formula>
    </x:cfRule>
    <x:cfRule type="expression" dxfId="2272" priority="998">
      <x:formula>AND(ISNUMBER(Q2),Q2&gt;=20,Q2&lt;40)</x:formula>
    </x:cfRule>
    <x:cfRule type="expression" dxfId="2273" priority="999">
      <x:formula>AND(ISNUMBER(Q2),Q2&lt;20)</x:formula>
    </x:cfRule>
  </x:conditionalFormatting>
  <x:conditionalFormatting sqref="R2:R33">
    <x:cfRule type="expression" dxfId="2274" priority="1000">
      <x:formula>AND(ISNUMBER(R2),R2=100)</x:formula>
    </x:cfRule>
    <x:cfRule type="expression" dxfId="2275" priority="1001">
      <x:formula>AND(ISNUMBER(R2),R2&gt;=90,R2&lt;100)</x:formula>
    </x:cfRule>
    <x:cfRule type="expression" dxfId="2276" priority="1002">
      <x:formula>AND(ISNUMBER(R2),R2&gt;=80,R2&lt;90)</x:formula>
    </x:cfRule>
    <x:cfRule type="expression" dxfId="2277" priority="1003">
      <x:formula>AND(ISNUMBER(R2),R2&gt;=70,R2&lt;80)</x:formula>
    </x:cfRule>
    <x:cfRule type="expression" dxfId="2278" priority="1004">
      <x:formula>AND(ISNUMBER(R2),R2&gt;=60,R2&lt;70)</x:formula>
    </x:cfRule>
    <x:cfRule type="expression" dxfId="2279" priority="1005">
      <x:formula>AND(ISNUMBER(R2),R2&gt;=50,R2&lt;60)</x:formula>
    </x:cfRule>
    <x:cfRule type="expression" dxfId="2280" priority="1006">
      <x:formula>AND(ISNUMBER(R2),R2&gt;=40,R2&lt;50)</x:formula>
    </x:cfRule>
    <x:cfRule type="expression" dxfId="2281" priority="1007">
      <x:formula>AND(ISNUMBER(R2),R2&gt;=20,R2&lt;40)</x:formula>
    </x:cfRule>
    <x:cfRule type="expression" dxfId="2282" priority="1008">
      <x:formula>AND(ISNUMBER(R2),R2&lt;20)</x:formula>
    </x:cfRule>
  </x:conditionalFormatting>
  <x:conditionalFormatting sqref="S2:S33">
    <x:cfRule type="expression" dxfId="2283" priority="1009">
      <x:formula>AND(ISNUMBER(S2),S2=100)</x:formula>
    </x:cfRule>
    <x:cfRule type="expression" dxfId="2284" priority="1010">
      <x:formula>AND(ISNUMBER(S2),S2&gt;=90,S2&lt;100)</x:formula>
    </x:cfRule>
    <x:cfRule type="expression" dxfId="2285" priority="1011">
      <x:formula>AND(ISNUMBER(S2),S2&gt;=80,S2&lt;90)</x:formula>
    </x:cfRule>
    <x:cfRule type="expression" dxfId="2286" priority="1012">
      <x:formula>AND(ISNUMBER(S2),S2&gt;=70,S2&lt;80)</x:formula>
    </x:cfRule>
    <x:cfRule type="expression" dxfId="2287" priority="1013">
      <x:formula>AND(ISNUMBER(S2),S2&gt;=60,S2&lt;70)</x:formula>
    </x:cfRule>
    <x:cfRule type="expression" dxfId="2288" priority="1014">
      <x:formula>AND(ISNUMBER(S2),S2&gt;=50,S2&lt;60)</x:formula>
    </x:cfRule>
    <x:cfRule type="expression" dxfId="2289" priority="1015">
      <x:formula>AND(ISNUMBER(S2),S2&gt;=40,S2&lt;50)</x:formula>
    </x:cfRule>
    <x:cfRule type="expression" dxfId="2290" priority="1016">
      <x:formula>AND(ISNUMBER(S2),S2&gt;=20,S2&lt;40)</x:formula>
    </x:cfRule>
    <x:cfRule type="expression" dxfId="2291" priority="1017">
      <x:formula>AND(ISNUMBER(S2),S2&lt;20)</x:formula>
    </x:cfRule>
  </x:conditionalFormatting>
  <x:conditionalFormatting sqref="T2:T33">
    <x:cfRule type="expression" dxfId="2292" priority="1018">
      <x:formula>AND(ISNUMBER(T2),T2=100)</x:formula>
    </x:cfRule>
    <x:cfRule type="expression" dxfId="2293" priority="1019">
      <x:formula>AND(ISNUMBER(T2),T2&gt;=90,T2&lt;100)</x:formula>
    </x:cfRule>
    <x:cfRule type="expression" dxfId="2294" priority="1020">
      <x:formula>AND(ISNUMBER(T2),T2&gt;=80,T2&lt;90)</x:formula>
    </x:cfRule>
    <x:cfRule type="expression" dxfId="2295" priority="1021">
      <x:formula>AND(ISNUMBER(T2),T2&gt;=70,T2&lt;80)</x:formula>
    </x:cfRule>
    <x:cfRule type="expression" dxfId="2296" priority="1022">
      <x:formula>AND(ISNUMBER(T2),T2&gt;=60,T2&lt;70)</x:formula>
    </x:cfRule>
    <x:cfRule type="expression" dxfId="2297" priority="1023">
      <x:formula>AND(ISNUMBER(T2),T2&gt;=50,T2&lt;60)</x:formula>
    </x:cfRule>
    <x:cfRule type="expression" dxfId="2298" priority="1024">
      <x:formula>AND(ISNUMBER(T2),T2&gt;=40,T2&lt;50)</x:formula>
    </x:cfRule>
    <x:cfRule type="expression" dxfId="2299" priority="1025">
      <x:formula>AND(ISNUMBER(T2),T2&gt;=20,T2&lt;40)</x:formula>
    </x:cfRule>
    <x:cfRule type="expression" dxfId="2300" priority="1026">
      <x:formula>AND(ISNUMBER(T2),T2&lt;20)</x:formula>
    </x:cfRule>
  </x:conditionalFormatting>
  <x:conditionalFormatting sqref="U2:U33">
    <x:cfRule type="expression" dxfId="2301" priority="1027">
      <x:formula>AND(ISNUMBER(U2),U2=100)</x:formula>
    </x:cfRule>
    <x:cfRule type="expression" dxfId="2302" priority="1028">
      <x:formula>AND(ISNUMBER(U2),U2&gt;=90,U2&lt;100)</x:formula>
    </x:cfRule>
    <x:cfRule type="expression" dxfId="2303" priority="1029">
      <x:formula>AND(ISNUMBER(U2),U2&gt;=80,U2&lt;90)</x:formula>
    </x:cfRule>
    <x:cfRule type="expression" dxfId="2304" priority="1030">
      <x:formula>AND(ISNUMBER(U2),U2&gt;=70,U2&lt;80)</x:formula>
    </x:cfRule>
    <x:cfRule type="expression" dxfId="2305" priority="1031">
      <x:formula>AND(ISNUMBER(U2),U2&gt;=60,U2&lt;70)</x:formula>
    </x:cfRule>
    <x:cfRule type="expression" dxfId="2306" priority="1032">
      <x:formula>AND(ISNUMBER(U2),U2&gt;=50,U2&lt;60)</x:formula>
    </x:cfRule>
    <x:cfRule type="expression" dxfId="2307" priority="1033">
      <x:formula>AND(ISNUMBER(U2),U2&gt;=40,U2&lt;50)</x:formula>
    </x:cfRule>
    <x:cfRule type="expression" dxfId="2308" priority="1034">
      <x:formula>AND(ISNUMBER(U2),U2&gt;=20,U2&lt;40)</x:formula>
    </x:cfRule>
    <x:cfRule type="expression" dxfId="2309" priority="1035">
      <x:formula>AND(ISNUMBER(U2),U2&lt;20)</x:formula>
    </x:cfRule>
  </x:conditionalFormatting>
  <x:conditionalFormatting sqref="V2:V33">
    <x:cfRule type="expression" dxfId="2310" priority="1036">
      <x:formula>AND(ISNUMBER(V2),V2=100)</x:formula>
    </x:cfRule>
    <x:cfRule type="expression" dxfId="2311" priority="1037">
      <x:formula>AND(ISNUMBER(V2),V2&gt;=90,V2&lt;100)</x:formula>
    </x:cfRule>
    <x:cfRule type="expression" dxfId="2312" priority="1038">
      <x:formula>AND(ISNUMBER(V2),V2&gt;=80,V2&lt;90)</x:formula>
    </x:cfRule>
    <x:cfRule type="expression" dxfId="2313" priority="1039">
      <x:formula>AND(ISNUMBER(V2),V2&gt;=70,V2&lt;80)</x:formula>
    </x:cfRule>
    <x:cfRule type="expression" dxfId="2314" priority="1040">
      <x:formula>AND(ISNUMBER(V2),V2&gt;=60,V2&lt;70)</x:formula>
    </x:cfRule>
    <x:cfRule type="expression" dxfId="2315" priority="1041">
      <x:formula>AND(ISNUMBER(V2),V2&gt;=50,V2&lt;60)</x:formula>
    </x:cfRule>
    <x:cfRule type="expression" dxfId="2316" priority="1042">
      <x:formula>AND(ISNUMBER(V2),V2&gt;=40,V2&lt;50)</x:formula>
    </x:cfRule>
    <x:cfRule type="expression" dxfId="2317" priority="1043">
      <x:formula>AND(ISNUMBER(V2),V2&gt;=20,V2&lt;40)</x:formula>
    </x:cfRule>
    <x:cfRule type="expression" dxfId="2318" priority="1044">
      <x:formula>AND(ISNUMBER(V2),V2&lt;20)</x:formula>
    </x:cfRule>
  </x:conditionalFormatting>
  <x:conditionalFormatting sqref="W2:W33">
    <x:cfRule type="expression" dxfId="2319" priority="1045">
      <x:formula>AND(ISNUMBER(W2),W2=100)</x:formula>
    </x:cfRule>
    <x:cfRule type="expression" dxfId="2320" priority="1046">
      <x:formula>AND(ISNUMBER(W2),W2&gt;=90,W2&lt;100)</x:formula>
    </x:cfRule>
    <x:cfRule type="expression" dxfId="2321" priority="1047">
      <x:formula>AND(ISNUMBER(W2),W2&gt;=80,W2&lt;90)</x:formula>
    </x:cfRule>
    <x:cfRule type="expression" dxfId="2322" priority="1048">
      <x:formula>AND(ISNUMBER(W2),W2&gt;=70,W2&lt;80)</x:formula>
    </x:cfRule>
    <x:cfRule type="expression" dxfId="2323" priority="1049">
      <x:formula>AND(ISNUMBER(W2),W2&gt;=60,W2&lt;70)</x:formula>
    </x:cfRule>
    <x:cfRule type="expression" dxfId="2324" priority="1050">
      <x:formula>AND(ISNUMBER(W2),W2&gt;=50,W2&lt;60)</x:formula>
    </x:cfRule>
    <x:cfRule type="expression" dxfId="2325" priority="1051">
      <x:formula>AND(ISNUMBER(W2),W2&gt;=40,W2&lt;50)</x:formula>
    </x:cfRule>
    <x:cfRule type="expression" dxfId="2326" priority="1052">
      <x:formula>AND(ISNUMBER(W2),W2&gt;=20,W2&lt;40)</x:formula>
    </x:cfRule>
    <x:cfRule type="expression" dxfId="2327" priority="1053">
      <x:formula>AND(ISNUMBER(W2),W2&lt;20)</x:formula>
    </x:cfRule>
  </x:conditionalFormatting>
  <x:conditionalFormatting sqref="X2:X33">
    <x:cfRule type="expression" dxfId="2328" priority="1054">
      <x:formula>AND(ISNUMBER(X2),X2=100)</x:formula>
    </x:cfRule>
    <x:cfRule type="expression" dxfId="2329" priority="1055">
      <x:formula>AND(ISNUMBER(X2),X2&gt;=90,X2&lt;100)</x:formula>
    </x:cfRule>
    <x:cfRule type="expression" dxfId="2330" priority="1056">
      <x:formula>AND(ISNUMBER(X2),X2&gt;=80,X2&lt;90)</x:formula>
    </x:cfRule>
    <x:cfRule type="expression" dxfId="2331" priority="1057">
      <x:formula>AND(ISNUMBER(X2),X2&gt;=70,X2&lt;80)</x:formula>
    </x:cfRule>
    <x:cfRule type="expression" dxfId="2332" priority="1058">
      <x:formula>AND(ISNUMBER(X2),X2&gt;=60,X2&lt;70)</x:formula>
    </x:cfRule>
    <x:cfRule type="expression" dxfId="2333" priority="1059">
      <x:formula>AND(ISNUMBER(X2),X2&gt;=50,X2&lt;60)</x:formula>
    </x:cfRule>
    <x:cfRule type="expression" dxfId="2334" priority="1060">
      <x:formula>AND(ISNUMBER(X2),X2&gt;=40,X2&lt;50)</x:formula>
    </x:cfRule>
    <x:cfRule type="expression" dxfId="2335" priority="1061">
      <x:formula>AND(ISNUMBER(X2),X2&gt;=20,X2&lt;40)</x:formula>
    </x:cfRule>
    <x:cfRule type="expression" dxfId="2336" priority="1062">
      <x:formula>AND(ISNUMBER(X2),X2&lt;20)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5" hidden="0" customWidth="1"/>
    <x:col min="3" max="3" width="12" hidden="0" customWidth="1"/>
    <x:col min="4" max="4" width="34" hidden="0" customWidth="1"/>
    <x:col min="5" max="5" width="12" hidden="0" customWidth="1"/>
    <x:col min="6" max="6" width="28" hidden="0" customWidth="1"/>
    <x:col min="7" max="7" width="82" hidden="0" customWidth="1"/>
  </x:cols>
  <x:sheetData>
    <x:row r="1" ht="42" customHeight="1">
      <x:c r="A1" s="13" t="str">
        <x:v>Модель</x:v>
      </x:c>
      <x:c r="B1" s="14" t="str">
        <x:v>Режим</x:v>
      </x:c>
      <x:c r="C1" s="14" t="str">
        <x:v>ID</x:v>
      </x:c>
      <x:c r="D1" s="14" t="str">
        <x:v>Раздел</x:v>
      </x:c>
      <x:c r="E1" s="14" t="str">
        <x:v>Балл 0–100</x:v>
      </x:c>
      <x:c r="F1" s="14" t="str">
        <x:v>Статус</x:v>
      </x:c>
      <x:c r="G1" s="15" t="str">
        <x:v>Комментарий</x:v>
      </x:c>
    </x:row>
    <x:row r="2">
      <x:c r="A2" s="651" t="str">
        <x:v>GPT 5.6 Sol medium</x:v>
      </x:c>
      <x:c r="B2" s="652"/>
      <x:c r="C2" s="652" t="str">
        <x:v>SQLX-20</x:v>
      </x:c>
      <x:c r="D2" s="652" t="str">
        <x:v>OUTBOX / QUEUES / CONCURRENCY</x:v>
      </x:c>
      <x:c r="E2" s="653" t="n">
        <x:v>95</x:v>
      </x:c>
      <x:c r="F2" s="652" t="str">
        <x:v>НЕБОЛЬШАЯ НЕТОЧНОСТЬ</x:v>
      </x:c>
      <x:c r="G2" s="654" t="str">
        <x:v>Ответ прямо рекомендует короткий claim/lease и почти полностью закрывает atomicity boundary; остаётся небольшой implementation gap.</x:v>
      </x:c>
    </x:row>
    <x:row r="3">
      <x:c r="A3" s="655" t="str">
        <x:v>GPT 5.6 Sol medium</x:v>
      </x:c>
      <x:c r="B3" s="656"/>
      <x:c r="C3" s="656" t="str">
        <x:v>SQLX-32</x:v>
      </x:c>
      <x:c r="D3" s="656" t="str">
        <x:v>LONG CONTEXT / SYSTEM DESIGN</x:v>
      </x:c>
      <x:c r="E3" s="657" t="n">
        <x:v>95</x:v>
      </x:c>
      <x:c r="F3" s="656" t="str">
        <x:v>НЕБОЛЬШАЯ НЕТОЧНОСТЬ</x:v>
      </x:c>
      <x:c r="G3" s="658" t="str">
        <x:v>Production design практически полный; небольшие детали state transition constraints/audit evolution остаются описательными.</x:v>
      </x:c>
    </x:row>
    <x:row r="4">
      <x:c r="A4" s="655" t="str">
        <x:v>GPT 5.6 Sol low</x:v>
      </x:c>
      <x:c r="B4" s="656"/>
      <x:c r="C4" s="656" t="str">
        <x:v>SQLX-20</x:v>
      </x:c>
      <x:c r="D4" s="656" t="str">
        <x:v>OUTBOX / QUEUES / CONCURRENCY</x:v>
      </x:c>
      <x:c r="E4" s="657" t="n">
        <x:v>85</x:v>
      </x:c>
      <x:c r="F4" s="656" t="str">
        <x:v>НЕБОЛЬШАЯ НЕТОЧНОСТЬ</x:v>
      </x:c>
      <x:c r="G4" s="658" t="str">
        <x:v>Outbox semantics в целом правильны, но показанный FOR UPDATE flow может удерживать row locks во время broker publish; production лучше использовать короткий claim/lease.</x:v>
      </x:c>
    </x:row>
    <x:row r="5">
      <x:c r="A5" s="655" t="str">
        <x:v>GPT 5.6 Sol low</x:v>
      </x:c>
      <x:c r="B5" s="656"/>
      <x:c r="C5" s="656" t="str">
        <x:v>SQLX-32</x:v>
      </x:c>
      <x:c r="D5" s="656" t="str">
        <x:v>LONG CONTEXT / SYSTEM DESIGN</x:v>
      </x:c>
      <x:c r="E5" s="657" t="n">
        <x:v>95</x:v>
      </x:c>
      <x:c r="F5" s="656" t="str">
        <x:v>НЕБОЛЬШАЯ НЕТОЧНОСТЬ</x:v>
      </x:c>
      <x:c r="G5" s="658" t="str">
        <x:v>Сильный payment design; отдельные state/lease/audit invariants можно формализовать ещё жёстче.</x:v>
      </x:c>
    </x:row>
    <x:row r="6">
      <x:c r="A6" s="655" t="str">
        <x:v>GPT 5.5 high</x:v>
      </x:c>
      <x:c r="B6" s="656"/>
      <x:c r="C6" s="656" t="str">
        <x:v>SQLX-2</x:v>
      </x:c>
      <x:c r="D6" s="656" t="str">
        <x:v>INDEXING / QUERY DESIGN</x:v>
      </x:c>
      <x:c r="E6" s="657" t="n">
        <x:v>60</x:v>
      </x:c>
      <x:c r="F6" s="656" t="str">
        <x:v>СРЕДНЯЯ НЕТОЧНОСТЬ</x:v>
      </x:c>
      <x:c r="G6" s="658" t="str">
        <x:v>Фактическая ошибка B-tree: при equality по `status` и `tenant_id` PostgreSQL может использовать обе leading equality-колонки независимо от их взаимного порядка; индекс `(status, tenant_id, ...)` не обязан сначала сканировать все paid rows всех tenants.</x:v>
      </x:c>
    </x:row>
    <x:row r="7">
      <x:c r="A7" s="655" t="str">
        <x:v>Qwen 3.8 max</x:v>
      </x:c>
      <x:c r="B7" s="656"/>
      <x:c r="C7" s="656" t="str">
        <x:v>SQLX-2</x:v>
      </x:c>
      <x:c r="D7" s="656" t="str">
        <x:v>INDEXING / QUERY DESIGN</x:v>
      </x:c>
      <x:c r="E7" s="657" t="n">
        <x:v>90</x:v>
      </x:c>
      <x:c r="F7" s="656" t="str">
        <x:v>НЕБОЛЬШАЯ НЕТОЧНОСТЬ</x:v>
      </x:c>
      <x:c r="G7" s="658" t="str">
        <x:v>Ответ корректно признаёт, что оба equality-предиката могут использоваться при обоих порядках; аргумент про tenant-first как универсально лучший слегка переоценён.</x:v>
      </x:c>
    </x:row>
    <x:row r="8">
      <x:c r="A8" s="655" t="str">
        <x:v>Qwen 3.8 max</x:v>
      </x:c>
      <x:c r="B8" s="656"/>
      <x:c r="C8" s="656" t="str">
        <x:v>SQLX-15</x:v>
      </x:c>
      <x:c r="D8" s="656" t="str">
        <x:v>ADVANCED SQL</x:v>
      </x:c>
      <x:c r="E8" s="657" t="n">
        <x:v>95</x:v>
      </x:c>
      <x:c r="F8" s="656" t="str">
        <x:v>НЕБОЛЬШАЯ НЕТОЧНОСТЬ</x:v>
      </x:c>
      <x:c r="G8" s="658" t="str">
        <x:v>Running balance корректен; сам ответ правильно оговаривает необходимость добавить `id` для детерминированного tie-breaker, которого нет в исходной схеме.</x:v>
      </x:c>
    </x:row>
    <x:row r="9">
      <x:c r="A9" s="655" t="str">
        <x:v>Qwen 3.8 max</x:v>
      </x:c>
      <x:c r="B9" s="656"/>
      <x:c r="C9" s="656" t="str">
        <x:v>SQLX-20</x:v>
      </x:c>
      <x:c r="D9" s="656" t="str">
        <x:v>OUTBOX / QUEUES / CONCURRENCY</x:v>
      </x:c>
      <x:c r="E9" s="657" t="n">
        <x:v>80</x:v>
      </x:c>
      <x:c r="F9" s="656" t="str">
        <x:v>НЕБОЛЬШАЯ НЕТОЧНОСТЬ</x:v>
      </x:c>
      <x:c r="G9" s="658" t="str">
        <x:v>At-least-once semantics разобраны правильно, но broker publish выполняется при открытой `FOR UPDATE` транзакции, удерживая locks через network call.</x:v>
      </x:c>
    </x:row>
    <x:row r="10">
      <x:c r="A10" s="655" t="str">
        <x:v>Qwen 3.8 max</x:v>
      </x:c>
      <x:c r="B10" s="656"/>
      <x:c r="C10" s="656" t="str">
        <x:v>SQLX-27</x:v>
      </x:c>
      <x:c r="D10" s="656" t="str">
        <x:v>PERFORMANCE / PLANNER / MAINTENANCE</x:v>
      </x:c>
      <x:c r="E10" s="657" t="n">
        <x:v>95</x:v>
      </x:c>
      <x:c r="F10" s="656" t="str">
        <x:v>НЕБОЛЬШАЯ НЕТОЧНОСТЬ</x:v>
      </x:c>
      <x:c r="G10" s="658" t="str">
        <x:v>CONCURRENTLY объяснён правильно; отдельные lock/partition нюансы слегка сокращены.</x:v>
      </x:c>
    </x:row>
    <x:row r="11">
      <x:c r="A11" s="655" t="str">
        <x:v>Qwen 3.8 max</x:v>
      </x:c>
      <x:c r="B11" s="656"/>
      <x:c r="C11" s="656" t="str">
        <x:v>SQLX-32</x:v>
      </x:c>
      <x:c r="D11" s="656" t="str">
        <x:v>LONG CONTEXT / SYSTEM DESIGN</x:v>
      </x:c>
      <x:c r="E11" s="657" t="n">
        <x:v>95</x:v>
      </x:c>
      <x:c r="F11" s="656" t="str">
        <x:v>НЕБОЛЬШАЯ НЕТОЧНОСТЬ</x:v>
      </x:c>
      <x:c r="G11" s="658" t="str">
        <x:v>Очень сильный payment design; отдельные state/lease/audit implementation details можно формализовать ещё жёстче.</x:v>
      </x:c>
    </x:row>
    <x:row r="12">
      <x:c r="A12" s="655" t="str">
        <x:v>GPT 5.5 medium</x:v>
      </x:c>
      <x:c r="B12" s="656"/>
      <x:c r="C12" s="656" t="str">
        <x:v>SQLX-2</x:v>
      </x:c>
      <x:c r="D12" s="656" t="str">
        <x:v>INDEXING / QUERY DESIGN</x:v>
      </x:c>
      <x:c r="E12" s="657" t="n">
        <x:v>60</x:v>
      </x:c>
      <x:c r="F12" s="656" t="str">
        <x:v>СРЕДНЯЯ НЕТОЧНОСТЬ</x:v>
      </x:c>
      <x:c r="G12" s="658" t="str">
        <x:v>Фактическая ошибка: утверждается, что при `(status, tenant_id, ...)` PostgreSQL сначала получает огромный диапазон status и затем фильтрует tenant. При equality по обоим полям B-tree может использовать оба prefix predicates.</x:v>
      </x:c>
    </x:row>
    <x:row r="13">
      <x:c r="A13" s="655" t="str">
        <x:v>GPT 5.5 medium</x:v>
      </x:c>
      <x:c r="B13" s="656"/>
      <x:c r="C13" s="656" t="str">
        <x:v>SQLX-15</x:v>
      </x:c>
      <x:c r="D13" s="656" t="str">
        <x:v>ADVANCED SQL</x:v>
      </x:c>
      <x:c r="E13" s="657" t="n">
        <x:v>95</x:v>
      </x:c>
      <x:c r="F13" s="656" t="str">
        <x:v>НЕБОЛЬШАЯ НЕТОЧНОСТЬ</x:v>
      </x:c>
      <x:c r="G13" s="658" t="str">
        <x:v>Модель правильно замечает, что `id` отсутствует в исходной схеме, и явно объясняет необходимость добавить устойчивый tie-breaker; небольшой штраф только за основной пример с предполагаемым id.</x:v>
      </x:c>
    </x:row>
    <x:row r="14">
      <x:c r="A14" s="655" t="str">
        <x:v>GPT 5.5 medium</x:v>
      </x:c>
      <x:c r="B14" s="656"/>
      <x:c r="C14" s="656" t="str">
        <x:v>SQLX-20</x:v>
      </x:c>
      <x:c r="D14" s="656" t="str">
        <x:v>OUTBOX / QUEUES / CONCURRENCY</x:v>
      </x:c>
      <x:c r="E14" s="657" t="n">
        <x:v>95</x:v>
      </x:c>
      <x:c r="F14" s="656" t="str">
        <x:v>НЕБОЛЬШАЯ НЕТОЧНОСТЬ</x:v>
      </x:c>
      <x:c r="G14" s="658" t="str">
        <x:v>Claim через UPDATE и последующая публикация существенно лучше долгой lock-транзакции; остаётся необходимость lease/recovery для `locked_at` после crash.</x:v>
      </x:c>
    </x:row>
    <x:row r="15">
      <x:c r="A15" s="655" t="str">
        <x:v>GPT 5.5 medium</x:v>
      </x:c>
      <x:c r="B15" s="656"/>
      <x:c r="C15" s="656" t="str">
        <x:v>SQLX-32</x:v>
      </x:c>
      <x:c r="D15" s="656" t="str">
        <x:v>LONG CONTEXT / SYSTEM DESIGN</x:v>
      </x:c>
      <x:c r="E15" s="657" t="n">
        <x:v>95</x:v>
      </x:c>
      <x:c r="F15" s="656" t="str">
        <x:v>НЕБОЛЬШАЯ НЕТОЧНОСТЬ</x:v>
      </x:c>
      <x:c r="G15" s="658" t="str">
        <x:v>Очень сильный полный дизайн; небольшие implementation/state-transition invariants остаются описательными.</x:v>
      </x:c>
    </x:row>
    <x:row r="16">
      <x:c r="A16" s="655" t="str">
        <x:v>Qwen 3.8 Flash Next</x:v>
      </x:c>
      <x:c r="B16" s="656" t="str">
        <x:v>thinking</x:v>
      </x:c>
      <x:c r="C16" s="656" t="str">
        <x:v>SQLX-2</x:v>
      </x:c>
      <x:c r="D16" s="656" t="str">
        <x:v>INDEXING / QUERY DESIGN</x:v>
      </x:c>
      <x:c r="E16" s="657" t="n">
        <x:v>90</x:v>
      </x:c>
      <x:c r="F16" s="656" t="str">
        <x:v>НЕБОЛЬШАЯ НЕТОЧНОСТЬ</x:v>
      </x:c>
      <x:c r="G16" s="658" t="str">
        <x:v>Правильно учтены equality predicates, но преимущество tenant-first частично обосновано workload-предположениями, а не только данным запросом.</x:v>
      </x:c>
    </x:row>
    <x:row r="17">
      <x:c r="A17" s="655" t="str">
        <x:v>Qwen 3.8 Flash Next</x:v>
      </x:c>
      <x:c r="B17" s="656" t="str">
        <x:v>thinking</x:v>
      </x:c>
      <x:c r="C17" s="656" t="str">
        <x:v>SQLX-15</x:v>
      </x:c>
      <x:c r="D17" s="656" t="str">
        <x:v>ADVANCED SQL</x:v>
      </x:c>
      <x:c r="E17" s="657" t="n">
        <x:v>90</x:v>
      </x:c>
      <x:c r="F17" s="656" t="str">
        <x:v>НЕБОЛЬШАЯ НЕТОЧНОСТЬ</x:v>
      </x:c>
      <x:c r="G17" s="658" t="str">
        <x:v>Использован id как tie-breaker, хотя он не указан в исходной схеме; ответ это оговаривает, поэтому штраф небольшой.</x:v>
      </x:c>
    </x:row>
    <x:row r="18">
      <x:c r="A18" s="655" t="str">
        <x:v>Qwen 3.8 Flash Next</x:v>
      </x:c>
      <x:c r="B18" s="656" t="str">
        <x:v>thinking</x:v>
      </x:c>
      <x:c r="C18" s="656" t="str">
        <x:v>SQLX-20</x:v>
      </x:c>
      <x:c r="D18" s="656" t="str">
        <x:v>OUTBOX / QUEUES / CONCURRENCY</x:v>
      </x:c>
      <x:c r="E18" s="657" t="n">
        <x:v>70</x:v>
      </x:c>
      <x:c r="F18" s="656" t="str">
        <x:v>ЗАМЕТНАЯ ОШИБКА</x:v>
      </x:c>
      <x:c r="G18" s="658" t="str">
        <x:v>Корректная atomicity-модель, но broker publish остаётся внутри DB-транзакции и может держать row locks на сетевом вызове.</x:v>
      </x:c>
    </x:row>
    <x:row r="19">
      <x:c r="A19" s="655" t="str">
        <x:v>Qwen 3.8 Flash Next</x:v>
      </x:c>
      <x:c r="B19" s="656" t="str">
        <x:v>thinking</x:v>
      </x:c>
      <x:c r="C19" s="656" t="str">
        <x:v>SQLX-28</x:v>
      </x:c>
      <x:c r="D19" s="656" t="str">
        <x:v>MIGRATIONS / RLS / RELIABILITY</x:v>
      </x:c>
      <x:c r="E19" s="657" t="n">
        <x:v>90</x:v>
      </x:c>
      <x:c r="F19" s="656" t="str">
        <x:v>НЕБОЛЬШАЯ НЕТОЧНОСТЬ</x:v>
      </x:c>
      <x:c r="G19" s="658" t="str">
        <x:v>Фактическая ошибка: now()/CURRENT_TIMESTAMP в PostgreSQL имеет volatility STABLE, а не VOLATILE.</x:v>
      </x:c>
    </x:row>
    <x:row r="20">
      <x:c r="A20" s="655" t="str">
        <x:v>DeepSeek chat</x:v>
      </x:c>
      <x:c r="B20" s="656"/>
      <x:c r="C20" s="656" t="str">
        <x:v>SQLX-2</x:v>
      </x:c>
      <x:c r="D20" s="656" t="str">
        <x:v>INDEXING / QUERY DESIGN</x:v>
      </x:c>
      <x:c r="E20" s="657" t="n">
        <x:v>70</x:v>
      </x:c>
      <x:c r="F20" s="656" t="str">
        <x:v>СРЕДНЯЯ НЕТОЧНОСТЬ</x:v>
      </x:c>
      <x:c r="G20" s="658" t="str">
        <x:v>Ответ принимает спорную предпосылку. При equality по `status` и `tenant_id` B-tree может сузить диапазон по обоим leading полям независимо от их взаимного порядка; низкая кардинальность первого поля сама по себе не делает этот конкретный запрос хуже.</x:v>
      </x:c>
    </x:row>
    <x:row r="21">
      <x:c r="A21" s="659" t="str">
        <x:v>DeepSeek chat</x:v>
      </x:c>
      <x:c r="B21" s="660"/>
      <x:c r="C21" s="660" t="str">
        <x:v>SQLX-5</x:v>
      </x:c>
      <x:c r="D21" s="660" t="str">
        <x:v>INDEXING / QUERY DESIGN</x:v>
      </x:c>
      <x:c r="E21" s="661" t="n">
        <x:v>95</x:v>
      </x:c>
      <x:c r="F21" s="660" t="str">
        <x:v>НЕБОЛЬШАЯ НЕТОЧНОСТЬ</x:v>
      </x:c>
      <x:c r="G21" s="662" t="str">
        <x:v>Основной выбор `jsonb_ops`/`jsonb_path_ops` верен; отдельные формулировки о поддерживаемых JSONB операторах слегка упрощены.</x:v>
      </x:c>
    </x:row>
    <x:row r="22">
      <x:c r="A22" s="655" t="str">
        <x:v>DeepSeek chat</x:v>
      </x:c>
      <x:c r="B22" s="656"/>
      <x:c r="C22" s="656" t="str">
        <x:v>SQLX-15</x:v>
      </x:c>
      <x:c r="D22" s="656" t="str">
        <x:v>ADVANCED SQL</x:v>
      </x:c>
      <x:c r="E22" s="657" t="n">
        <x:v>80</x:v>
      </x:c>
      <x:c r="F22" s="656" t="str">
        <x:v>НЕБОЛЬШАЯ НЕТОЧНОСТЬ</x:v>
      </x:c>
      <x:c r="G22" s="658" t="str">
        <x:v>Запрос использует `id`, которого нет в исходно заданной `transactions(account_id, created_at, amount)`; необходимость tie-breaker верно замечена, но SQL не выполняется на данной схеме без добавления колонки.</x:v>
      </x:c>
    </x:row>
    <x:row r="23">
      <x:c r="A23" s="655" t="str">
        <x:v>DeepSeek chat</x:v>
      </x:c>
      <x:c r="B23" s="656"/>
      <x:c r="C23" s="656" t="str">
        <x:v>SQLX-20</x:v>
      </x:c>
      <x:c r="D23" s="656" t="str">
        <x:v>OUTBOX / QUEUES / CONCURRENCY</x:v>
      </x:c>
      <x:c r="E23" s="657" t="n">
        <x:v>70</x:v>
      </x:c>
      <x:c r="F23" s="656" t="str">
        <x:v>СРЕДНЯЯ НЕТОЧНОСТЬ</x:v>
      </x:c>
      <x:c r="G23" s="658" t="str">
        <x:v>Broker publish выполняется при открытой транзакции с `FOR UPDATE` locks. `published_at` ставится в правильном порядке для at-least-once, но network call внутри DB transaction держит locks слишком долго.</x:v>
      </x:c>
    </x:row>
    <x:row r="24">
      <x:c r="A24" s="655" t="str">
        <x:v>DeepSeek chat</x:v>
      </x:c>
      <x:c r="B24" s="656"/>
      <x:c r="C24" s="656" t="str">
        <x:v>SQLX-32</x:v>
      </x:c>
      <x:c r="D24" s="656" t="str">
        <x:v>LONG CONTEXT / SYSTEM DESIGN</x:v>
      </x:c>
      <x:c r="E24" s="657" t="n">
        <x:v>90</x:v>
      </x:c>
      <x:c r="F24" s="656" t="str">
        <x:v>НЕБОЛЬШАЯ НЕТОЧНОСТЬ</x:v>
      </x:c>
      <x:c r="G24" s="658" t="str">
        <x:v>Сильная схема idempotency/outbox/audit, но state transitions и внешний side-effect/recovery flow формализованы не полностью.</x:v>
      </x:c>
    </x:row>
    <x:row r="25">
      <x:c r="A25" s="655" t="str">
        <x:v>GPT 5.5 — low</x:v>
      </x:c>
      <x:c r="B25" s="656"/>
      <x:c r="C25" s="656" t="str">
        <x:v>SQLX-2</x:v>
      </x:c>
      <x:c r="D25" s="656" t="str">
        <x:v>INDEXING / QUERY DESIGN</x:v>
      </x:c>
      <x:c r="E25" s="657" t="n">
        <x:v>60</x:v>
      </x:c>
      <x:c r="F25" s="656" t="str">
        <x:v>СРЕДНЯЯ НЕТОЧНОСТЬ</x:v>
      </x:c>
      <x:c r="G25" s="658" t="str">
        <x:v>Фактическая ошибка: при equality по `status` и `tenant_id` B-tree может использовать оба leading equality predicate независимо от их взаимного порядка; не требуется сначала сканировать все paid rows.</x:v>
      </x:c>
    </x:row>
    <x:row r="26">
      <x:c r="A26" s="655" t="str">
        <x:v>GPT 5.5 — low</x:v>
      </x:c>
      <x:c r="B26" s="656"/>
      <x:c r="C26" s="656" t="str">
        <x:v>SQLX-5</x:v>
      </x:c>
      <x:c r="D26" s="656" t="str">
        <x:v>INDEXING / QUERY DESIGN</x:v>
      </x:c>
      <x:c r="E26" s="657" t="n">
        <x:v>80</x:v>
      </x:c>
      <x:c r="F26" s="656" t="str">
        <x:v>НЕБОЛЬШАЯ НЕТОЧНОСТЬ</x:v>
      </x:c>
      <x:c r="G26" s="658" t="str">
        <x:v>GIN/jsonb_ops/path_ops в целом объяснены верно; operator support сформулирован несколько упрощённо.</x:v>
      </x:c>
    </x:row>
    <x:row r="27">
      <x:c r="A27" s="655" t="str">
        <x:v>GPT 5.5 — low</x:v>
      </x:c>
      <x:c r="B27" s="656"/>
      <x:c r="C27" s="656" t="str">
        <x:v>SQLX-15</x:v>
      </x:c>
      <x:c r="D27" s="656" t="str">
        <x:v>ADVANCED SQL</x:v>
      </x:c>
      <x:c r="E27" s="657" t="n">
        <x:v>90</x:v>
      </x:c>
      <x:c r="F27" s="656" t="str">
        <x:v>НЕБОЛЬШАЯ НЕТОЧНОСТЬ</x:v>
      </x:c>
      <x:c r="G27" s="658" t="str">
        <x:v>Running balance использует только created_at; при одинаковых timestamp нужен устойчивый уникальный tie-breaker.</x:v>
      </x:c>
    </x:row>
    <x:row r="28">
      <x:c r="A28" s="655" t="str">
        <x:v>GPT 5.5 — low</x:v>
      </x:c>
      <x:c r="B28" s="656"/>
      <x:c r="C28" s="656" t="str">
        <x:v>SQLX-18</x:v>
      </x:c>
      <x:c r="D28" s="656" t="str">
        <x:v>ADVANCED SQL</x:v>
      </x:c>
      <x:c r="E28" s="657" t="n">
        <x:v>90</x:v>
      </x:c>
      <x:c r="F28" s="656" t="str">
        <x:v>НЕБОЛЬШАЯ НЕТОЧНОСТЬ</x:v>
      </x:c>
      <x:c r="G28" s="658" t="str">
        <x:v>Gap detection хорошее, но не покрывает начальный gap до первого существующего seq, если ожидаемая последовательность начинается с фиксированного значения.</x:v>
      </x:c>
    </x:row>
    <x:row r="29">
      <x:c r="A29" s="655" t="str">
        <x:v>GPT 5.5 — low</x:v>
      </x:c>
      <x:c r="B29" s="656"/>
      <x:c r="C29" s="656" t="str">
        <x:v>SQLX-20</x:v>
      </x:c>
      <x:c r="D29" s="656" t="str">
        <x:v>OUTBOX / QUEUES / CONCURRENCY</x:v>
      </x:c>
      <x:c r="E29" s="657" t="n">
        <x:v>80</x:v>
      </x:c>
      <x:c r="F29" s="656" t="str">
        <x:v>НЕБОЛЬШАЯ НЕТОЧНОСТЬ</x:v>
      </x:c>
      <x:c r="G29" s="658" t="str">
        <x:v>Outbox схема верна; буквальная worker-последовательность удерживает `FOR UPDATE` locks во время broker publish.</x:v>
      </x:c>
    </x:row>
    <x:row r="30">
      <x:c r="A30" s="655" t="str">
        <x:v>GPT 5.5 — low</x:v>
      </x:c>
      <x:c r="B30" s="656"/>
      <x:c r="C30" s="656" t="str">
        <x:v>SQLX-27</x:v>
      </x:c>
      <x:c r="D30" s="656" t="str">
        <x:v>PERFORMANCE / PLANNER / MAINTENANCE</x:v>
      </x:c>
      <x:c r="E30" s="657" t="n">
        <x:v>95</x:v>
      </x:c>
      <x:c r="F30" s="656" t="str">
        <x:v>НЕБОЛЬШАЯ НЕТОЧНОСТЬ</x:v>
      </x:c>
      <x:c r="G30" s="658" t="str">
        <x:v>CREATE INDEX CONCURRENTLY объяснён верно; отдельные lock/phase детали сокращены.</x:v>
      </x:c>
    </x:row>
    <x:row r="31">
      <x:c r="A31" s="655" t="str">
        <x:v>GPT 5.5 — low</x:v>
      </x:c>
      <x:c r="B31" s="656"/>
      <x:c r="C31" s="656" t="str">
        <x:v>SQLX-29</x:v>
      </x:c>
      <x:c r="D31" s="656" t="str">
        <x:v>MIGRATIONS / RLS / RELIABILITY</x:v>
      </x:c>
      <x:c r="E31" s="657" t="n">
        <x:v>90</x:v>
      </x:c>
      <x:c r="F31" s="656" t="str">
        <x:v>НЕБОЛЬШАЯ НЕТОЧНОСТЬ</x:v>
      </x:c>
      <x:c r="G31" s="658" t="str">
        <x:v>RLS + SET LOCAL правильны, но fail-closed handling missing setting и WITH CHECK можно показать строже.</x:v>
      </x:c>
    </x:row>
    <x:row r="32">
      <x:c r="A32" s="655" t="str">
        <x:v>GPT 5.5 — low</x:v>
      </x:c>
      <x:c r="B32" s="656"/>
      <x:c r="C32" s="656" t="str">
        <x:v>SQLX-32</x:v>
      </x:c>
      <x:c r="D32" s="656" t="str">
        <x:v>LONG CONTEXT / SYSTEM DESIGN</x:v>
      </x:c>
      <x:c r="E32" s="657" t="n">
        <x:v>90</x:v>
      </x:c>
      <x:c r="F32" s="656" t="str">
        <x:v>НЕБОЛЬШАЯ НЕТОЧНОСТЬ</x:v>
      </x:c>
      <x:c r="G32" s="658" t="str">
        <x:v>Сильный системный дизайн; state transitions/payment recovery/audit invariants остаются немного описательными.</x:v>
      </x:c>
    </x:row>
    <x:row r="33">
      <x:c r="A33" s="655" t="str">
        <x:v>Qwen 3.8 27b</x:v>
      </x:c>
      <x:c r="B33" s="656" t="str">
        <x:v>thinking</x:v>
      </x:c>
      <x:c r="C33" s="656" t="str">
        <x:v>SQLX-2</x:v>
      </x:c>
      <x:c r="D33" s="656" t="str">
        <x:v>INDEXING / QUERY DESIGN</x:v>
      </x:c>
      <x:c r="E33" s="657" t="n">
        <x:v>90</x:v>
      </x:c>
      <x:c r="F33" s="656" t="str">
        <x:v>НЕБОЛЬШАЯ НЕТОЧНОСТЬ</x:v>
      </x:c>
      <x:c r="G33" s="658" t="str">
        <x:v>Ответ правильно отмечает, что оба equality поля используются в обоих порядках; tenant-first преимущество описано немного шире, чем гарантируется конкретным запросом.</x:v>
      </x:c>
    </x:row>
    <x:row r="34">
      <x:c r="A34" s="655" t="str">
        <x:v>Qwen 3.8 27b</x:v>
      </x:c>
      <x:c r="B34" s="656" t="str">
        <x:v>thinking</x:v>
      </x:c>
      <x:c r="C34" s="656" t="str">
        <x:v>SQLX-5</x:v>
      </x:c>
      <x:c r="D34" s="656" t="str">
        <x:v>INDEXING / QUERY DESIGN</x:v>
      </x:c>
      <x:c r="E34" s="657" t="n">
        <x:v>90</x:v>
      </x:c>
      <x:c r="F34" s="656" t="str">
        <x:v>НЕБОЛЬШАЯ НЕТОЧНОСТЬ</x:v>
      </x:c>
      <x:c r="G34" s="658" t="str">
        <x:v>Сильное сравнение, но `jsonb_path_ops` снова описан главным образом через `@&gt;` и не полностью отражает PostgreSQL 16 JSONPath operator support.</x:v>
      </x:c>
    </x:row>
    <x:row r="35">
      <x:c r="A35" s="655" t="str">
        <x:v>Qwen 3.8 27b</x:v>
      </x:c>
      <x:c r="B35" s="656" t="str">
        <x:v>thinking</x:v>
      </x:c>
      <x:c r="C35" s="656" t="str">
        <x:v>SQLX-6</x:v>
      </x:c>
      <x:c r="D35" s="656" t="str">
        <x:v>TRANSACTIONS / LOCKS / MVCC</x:v>
      </x:c>
      <x:c r="E35" s="657" t="n">
        <x:v>85</x:v>
      </x:c>
      <x:c r="F35" s="656" t="str">
        <x:v>НЕБОЛЬШАЯ НЕТОЧНОСТЬ</x:v>
      </x:c>
      <x:c r="G35" s="658" t="str">
        <x:v>Deadlock/retry/lock-order сильные; конкретная политика выбора victim не является гарантированной и не должна предполагаться.</x:v>
      </x:c>
    </x:row>
    <x:row r="36">
      <x:c r="A36" s="655" t="str">
        <x:v>Qwen 3.8 27b</x:v>
      </x:c>
      <x:c r="B36" s="656" t="str">
        <x:v>thinking</x:v>
      </x:c>
      <x:c r="C36" s="656" t="str">
        <x:v>SQLX-11</x:v>
      </x:c>
      <x:c r="D36" s="656" t="str">
        <x:v>CONSTRAINTS / DATA MODEL</x:v>
      </x:c>
      <x:c r="E36" s="657" t="n">
        <x:v>95</x:v>
      </x:c>
      <x:c r="F36" s="656" t="str">
        <x:v>НЕБОЛЬШАЯ НЕТОЧНОСТЬ</x:v>
      </x:c>
      <x:c r="G36" s="658" t="str">
        <x:v>Payment schema очень сильная; небольшие trade-off детали enum/CHECK можно формализовать лучше.</x:v>
      </x:c>
    </x:row>
    <x:row r="37">
      <x:c r="A37" s="655" t="str">
        <x:v>Qwen 3.8 27b</x:v>
      </x:c>
      <x:c r="B37" s="656" t="str">
        <x:v>thinking</x:v>
      </x:c>
      <x:c r="C37" s="656" t="str">
        <x:v>SQLX-15</x:v>
      </x:c>
      <x:c r="D37" s="656" t="str">
        <x:v>ADVANCED SQL</x:v>
      </x:c>
      <x:c r="E37" s="657" t="n">
        <x:v>90</x:v>
      </x:c>
      <x:c r="F37" s="656" t="str">
        <x:v>НЕБОЛЬШАЯ НЕТОЧНОСТЬ</x:v>
      </x:c>
      <x:c r="G37" s="658" t="str">
        <x:v>Основной SQL использует `id`, которого нет в исходной схеме, хотя ответ явно оговаривает необходимость добавить устойчивый tie-breaker.</x:v>
      </x:c>
    </x:row>
    <x:row r="38">
      <x:c r="A38" s="655" t="str">
        <x:v>Qwen 3.8 27b</x:v>
      </x:c>
      <x:c r="B38" s="656" t="str">
        <x:v>thinking</x:v>
      </x:c>
      <x:c r="C38" s="656" t="str">
        <x:v>SQLX-17</x:v>
      </x:c>
      <x:c r="D38" s="656" t="str">
        <x:v>ADVANCED SQL</x:v>
      </x:c>
      <x:c r="E38" s="657" t="n">
        <x:v>95</x:v>
      </x:c>
      <x:c r="F38" s="656" t="str">
        <x:v>НЕБОЛЬШАЯ НЕТОЧНОСТЬ</x:v>
      </x:c>
      <x:c r="G38" s="658" t="str">
        <x:v>Window solution верное; при равных total_cents желательно добавить уникальный tie-breaker.</x:v>
      </x:c>
    </x:row>
    <x:row r="39">
      <x:c r="A39" s="655" t="str">
        <x:v>Qwen 3.8 27b</x:v>
      </x:c>
      <x:c r="B39" s="656" t="str">
        <x:v>thinking</x:v>
      </x:c>
      <x:c r="C39" s="656" t="str">
        <x:v>SQLX-18</x:v>
      </x:c>
      <x:c r="D39" s="656" t="str">
        <x:v>ADVANCED SQL</x:v>
      </x:c>
      <x:c r="E39" s="657" t="n">
        <x:v>95</x:v>
      </x:c>
      <x:c r="F39" s="656" t="str">
        <x:v>НЕБОЛЬШАЯ НЕТОЧНОСТЬ</x:v>
      </x:c>
      <x:c r="G39" s="658" t="str">
        <x:v>Gap detection хорошее и не генерирует миллиарды строк; остаются небольшие boundary/performance нюансы.</x:v>
      </x:c>
    </x:row>
    <x:row r="40">
      <x:c r="A40" s="655" t="str">
        <x:v>Qwen 3.8 27b</x:v>
      </x:c>
      <x:c r="B40" s="656" t="str">
        <x:v>thinking</x:v>
      </x:c>
      <x:c r="C40" s="656" t="str">
        <x:v>SQLX-20</x:v>
      </x:c>
      <x:c r="D40" s="656" t="str">
        <x:v>OUTBOX / QUEUES / CONCURRENCY</x:v>
      </x:c>
      <x:c r="E40" s="657" t="n">
        <x:v>75</x:v>
      </x:c>
      <x:c r="F40" s="656" t="str">
        <x:v>СРЕДНЯЯ НЕТОЧНОСТЬ</x:v>
      </x:c>
      <x:c r="G40" s="658" t="str">
        <x:v>At-least-once semantics верны, но network publish всё ещё показан при удержании `FOR UPDATE` locks; production лучше короткий claim/lease.</x:v>
      </x:c>
    </x:row>
    <x:row r="41">
      <x:c r="A41" s="655" t="str">
        <x:v>Qwen 3.8 27b</x:v>
      </x:c>
      <x:c r="B41" s="656" t="str">
        <x:v>thinking</x:v>
      </x:c>
      <x:c r="C41" s="656" t="str">
        <x:v>SQLX-21</x:v>
      </x:c>
      <x:c r="D41" s="656" t="str">
        <x:v>OUTBOX / QUEUES / CONCURRENCY</x:v>
      </x:c>
      <x:c r="E41" s="657" t="n">
        <x:v>95</x:v>
      </x:c>
      <x:c r="F41" s="656" t="str">
        <x:v>НЕБОЛЬШАЯ НЕТОЧНОСТЬ</x:v>
      </x:c>
      <x:c r="G41" s="658" t="str">
        <x:v>Dedupe/exactly-once разобраны хорошо; atomic consumer-side transaction можно описать жёстче.</x:v>
      </x:c>
    </x:row>
    <x:row r="42">
      <x:c r="A42" s="655" t="str">
        <x:v>Qwen 3.8 27b</x:v>
      </x:c>
      <x:c r="B42" s="656" t="str">
        <x:v>thinking</x:v>
      </x:c>
      <x:c r="C42" s="656" t="str">
        <x:v>SQLX-22</x:v>
      </x:c>
      <x:c r="D42" s="656" t="str">
        <x:v>OUTBOX / QUEUES / CONCURRENCY</x:v>
      </x:c>
      <x:c r="E42" s="657" t="n">
        <x:v>95</x:v>
      </x:c>
      <x:c r="F42" s="656" t="str">
        <x:v>НЕБОЛЬШАЯ НЕТОЧНОСТЬ</x:v>
      </x:c>
      <x:c r="G42" s="658" t="str">
        <x:v>Partitioning strategy сильная; DETACH/DROP lock/WAL nuances немного упрощены.</x:v>
      </x:c>
    </x:row>
    <x:row r="43">
      <x:c r="A43" s="655" t="str">
        <x:v>Qwen 3.8 27b</x:v>
      </x:c>
      <x:c r="B43" s="656" t="str">
        <x:v>thinking</x:v>
      </x:c>
      <x:c r="C43" s="656" t="str">
        <x:v>SQLX-24</x:v>
      </x:c>
      <x:c r="D43" s="656" t="str">
        <x:v>PERFORMANCE / PLANNER / MAINTENANCE</x:v>
      </x:c>
      <x:c r="E43" s="657" t="n">
        <x:v>95</x:v>
      </x:c>
      <x:c r="F43" s="656" t="str">
        <x:v>НЕБОЛЬШАЯ НЕТОЧНОСТЬ</x:v>
      </x:c>
      <x:c r="G43" s="658" t="str">
        <x:v>Index-only/visibility map объяснение сильное; отдельные heap-fetch условия сформулированы упрощённо.</x:v>
      </x:c>
    </x:row>
    <x:row r="44">
      <x:c r="A44" s="655" t="str">
        <x:v>Qwen 3.8 27b</x:v>
      </x:c>
      <x:c r="B44" s="656" t="str">
        <x:v>thinking</x:v>
      </x:c>
      <x:c r="C44" s="656" t="str">
        <x:v>SQLX-27</x:v>
      </x:c>
      <x:c r="D44" s="656" t="str">
        <x:v>PERFORMANCE / PLANNER / MAINTENANCE</x:v>
      </x:c>
      <x:c r="E44" s="657" t="n">
        <x:v>70</x:v>
      </x:c>
      <x:c r="F44" s="656" t="str">
        <x:v>СРЕДНЯЯ НЕТОЧНОСТЬ</x:v>
      </x:c>
      <x:c r="G44" s="658" t="str">
        <x:v>Неверно назван lock mode обычного CREATE INDEX; CONCURRENTLY ограничения в остальном описаны хорошо.</x:v>
      </x:c>
    </x:row>
    <x:row r="45">
      <x:c r="A45" s="655" t="str">
        <x:v>Qwen 3.8 27b</x:v>
      </x:c>
      <x:c r="B45" s="656" t="str">
        <x:v>thinking</x:v>
      </x:c>
      <x:c r="C45" s="656" t="str">
        <x:v>SQLX-30</x:v>
      </x:c>
      <x:c r="D45" s="656" t="str">
        <x:v>MIGRATIONS / RLS / RELIABILITY</x:v>
      </x:c>
      <x:c r="E45" s="657" t="n">
        <x:v>70</x:v>
      </x:c>
      <x:c r="F45" s="656" t="str">
        <x:v>СРЕДНЯЯ НЕТОЧНОСТЬ</x:v>
      </x:c>
      <x:c r="G45" s="658" t="str">
        <x:v>Стратегии верные концептуально, но `pg_wait_for_wal_replay_lsn`/точный PG16 API ожидания replay сформулирован ненадёжно.</x:v>
      </x:c>
    </x:row>
    <x:row r="46">
      <x:c r="A46" s="655" t="str">
        <x:v>Qwen 3.8 27b</x:v>
      </x:c>
      <x:c r="B46" s="656" t="str">
        <x:v>thinking</x:v>
      </x:c>
      <x:c r="C46" s="656" t="str">
        <x:v>SQLX-32</x:v>
      </x:c>
      <x:c r="D46" s="656" t="str">
        <x:v>LONG CONTEXT / SYSTEM DESIGN</x:v>
      </x:c>
      <x:c r="E46" s="657" t="n">
        <x:v>95</x:v>
      </x:c>
      <x:c r="F46" s="656" t="str">
        <x:v>НЕБОЛЬШАЯ НЕТОЧНОСТЬ</x:v>
      </x:c>
      <x:c r="G46" s="658" t="str">
        <x:v>Очень сильный multi-tenant idempotency/outbox/audit/partition design; небольшие state/lease/external-side-effect детали остаются описательными.</x:v>
      </x:c>
    </x:row>
    <x:row r="47">
      <x:c r="A47" s="655" t="str">
        <x:v>Qwen 3.8 27b uncensored</x:v>
      </x:c>
      <x:c r="B47" s="656" t="str">
        <x:v>thinking</x:v>
      </x:c>
      <x:c r="C47" s="656" t="str">
        <x:v>SQLX-2</x:v>
      </x:c>
      <x:c r="D47" s="656" t="str">
        <x:v>INDEXING / QUERY DESIGN</x:v>
      </x:c>
      <x:c r="E47" s="657" t="n">
        <x:v>60</x:v>
      </x:c>
      <x:c r="F47" s="656" t="str">
        <x:v>СРЕДНЯЯ НЕТОЧНОСТЬ</x:v>
      </x:c>
      <x:c r="G47" s="658" t="str">
        <x:v>Ответ принимает спорную предпосылку слишком буквально: при equality по `status` и `tenant_id` B-tree способен использовать оба leading equality predicates независимо от их взаимного порядка; status-first не обязан сначала сканировать весь paid prefix.</x:v>
      </x:c>
    </x:row>
    <x:row r="48">
      <x:c r="A48" s="655" t="str">
        <x:v>Qwen 3.8 27b uncensored</x:v>
      </x:c>
      <x:c r="B48" s="656" t="str">
        <x:v>thinking</x:v>
      </x:c>
      <x:c r="C48" s="656" t="str">
        <x:v>SQLX-5</x:v>
      </x:c>
      <x:c r="D48" s="656" t="str">
        <x:v>INDEXING / QUERY DESIGN</x:v>
      </x:c>
      <x:c r="E48" s="657" t="n">
        <x:v>80</x:v>
      </x:c>
      <x:c r="F48" s="656" t="str">
        <x:v>НЕБОЛЬШАЯ НЕТОЧНОСТЬ</x:v>
      </x:c>
      <x:c r="G48" s="658" t="str">
        <x:v>`jsonb_path_ops` в PostgreSQL 16 поддерживает не только `@&gt;`; также индексируются JSONPath operators `@?`/`@@`. Operator support описан слишком узко.</x:v>
      </x:c>
    </x:row>
    <x:row r="49">
      <x:c r="A49" s="655" t="str">
        <x:v>Qwen 3.8 27b uncensored</x:v>
      </x:c>
      <x:c r="B49" s="656" t="str">
        <x:v>thinking</x:v>
      </x:c>
      <x:c r="C49" s="656" t="str">
        <x:v>SQLX-6</x:v>
      </x:c>
      <x:c r="D49" s="656" t="str">
        <x:v>TRANSACTIONS / LOCKS / MVCC</x:v>
      </x:c>
      <x:c r="E49" s="657" t="n">
        <x:v>95</x:v>
      </x:c>
      <x:c r="F49" s="656" t="str">
        <x:v>НЕБОЛЬШАЯ НЕТОЧНОСТЬ</x:v>
      </x:c>
      <x:c r="G49" s="658" t="str">
        <x:v>Deadlock/retry/ordered locking сильные; конкретный выбор victim PostgreSQL не следует описывать как предсказуемую бизнес-политику.</x:v>
      </x:c>
    </x:row>
    <x:row r="50">
      <x:c r="A50" s="655" t="str">
        <x:v>Qwen 3.8 27b uncensored</x:v>
      </x:c>
      <x:c r="B50" s="656" t="str">
        <x:v>thinking</x:v>
      </x:c>
      <x:c r="C50" s="656" t="str">
        <x:v>SQLX-12</x:v>
      </x:c>
      <x:c r="D50" s="656" t="str">
        <x:v>CONSTRAINTS / DATA MODEL</x:v>
      </x:c>
      <x:c r="E50" s="657" t="n">
        <x:v>20</x:v>
      </x:c>
      <x:c r="F50" s="656" t="str">
        <x:v>СУЩЕСТВЕННО</x:v>
      </x:c>
      <x:c r="G50" s="658" t="str">
        <x:v>Критическая DDL-ошибка: создаётся пользовательский `tstz_range` с `subtype_format='internal'`; это не корректный способ и не нужен — PostgreSQL уже имеет встроенный `tstzrange`. В таком виде пример exclusion constraint не является рабочим.</x:v>
      </x:c>
    </x:row>
    <x:row r="51">
      <x:c r="A51" s="655" t="str">
        <x:v>Qwen 3.8 27b uncensored</x:v>
      </x:c>
      <x:c r="B51" s="656" t="str">
        <x:v>thinking</x:v>
      </x:c>
      <x:c r="C51" s="656" t="str">
        <x:v>SQLX-15</x:v>
      </x:c>
      <x:c r="D51" s="656" t="str">
        <x:v>ADVANCED SQL</x:v>
      </x:c>
      <x:c r="E51" s="657" t="n">
        <x:v>95</x:v>
      </x:c>
      <x:c r="F51" s="656" t="str">
        <x:v>НЕБОЛЬШАЯ НЕТОЧНОСТЬ</x:v>
      </x:c>
      <x:c r="G51" s="658" t="str">
        <x:v>Running balance правильный; ответ корректно отмечает, что при одинаковом created_at нужен устойчивый уникальный tie-breaker, которого нет в исходной схеме.</x:v>
      </x:c>
    </x:row>
    <x:row r="52">
      <x:c r="A52" s="655" t="str">
        <x:v>Qwen 3.8 27b uncensored</x:v>
      </x:c>
      <x:c r="B52" s="656" t="str">
        <x:v>thinking</x:v>
      </x:c>
      <x:c r="C52" s="656" t="str">
        <x:v>SQLX-20</x:v>
      </x:c>
      <x:c r="D52" s="656" t="str">
        <x:v>OUTBOX / QUEUES / CONCURRENCY</x:v>
      </x:c>
      <x:c r="E52" s="657" t="n">
        <x:v>70</x:v>
      </x:c>
      <x:c r="F52" s="656" t="str">
        <x:v>СРЕДНЯЯ НЕТОЧНОСТЬ</x:v>
      </x:c>
      <x:c r="G52" s="658" t="str">
        <x:v>Outbox semantics/duplicate crash window объяснены правильно, но broker publish выполняется при открытой `FOR UPDATE SKIP LOCKED` транзакции и держит locks через network call.</x:v>
      </x:c>
    </x:row>
    <x:row r="53">
      <x:c r="A53" s="655" t="str">
        <x:v>Qwen 3.8 27b uncensored</x:v>
      </x:c>
      <x:c r="B53" s="656" t="str">
        <x:v>thinking</x:v>
      </x:c>
      <x:c r="C53" s="656" t="str">
        <x:v>SQLX-21</x:v>
      </x:c>
      <x:c r="D53" s="656" t="str">
        <x:v>OUTBOX / QUEUES / CONCURRENCY</x:v>
      </x:c>
      <x:c r="E53" s="657" t="n">
        <x:v>95</x:v>
      </x:c>
      <x:c r="F53" s="656" t="str">
        <x:v>НЕБОЛЬШАЯ НЕТОЧНОСТЬ</x:v>
      </x:c>
      <x:c r="G53" s="658" t="str">
        <x:v>At-least-once/dedupe идея верна; atomic consumer-side dedupe + business side effect transaction можно описать жёстче.</x:v>
      </x:c>
    </x:row>
    <x:row r="54">
      <x:c r="A54" s="655" t="str">
        <x:v>Qwen 3.8 27b uncensored</x:v>
      </x:c>
      <x:c r="B54" s="656" t="str">
        <x:v>thinking</x:v>
      </x:c>
      <x:c r="C54" s="656" t="str">
        <x:v>SQLX-27</x:v>
      </x:c>
      <x:c r="D54" s="656" t="str">
        <x:v>PERFORMANCE / PLANNER / MAINTENANCE</x:v>
      </x:c>
      <x:c r="E54" s="657" t="n">
        <x:v>95</x:v>
      </x:c>
      <x:c r="F54" s="656" t="str">
        <x:v>НЕБОЛЬШАЯ НЕТОЧНОСТЬ</x:v>
      </x:c>
      <x:c r="G54" s="658" t="str">
        <x:v>CREATE INDEX CONCURRENTLY разобран сильно; отдельные точные lock modes/phase restrictions и invalid-index recovery детали слегка упрощены.</x:v>
      </x:c>
    </x:row>
    <x:row r="55">
      <x:c r="A55" s="655" t="str">
        <x:v>Qwen 3.8 27b uncensored</x:v>
      </x:c>
      <x:c r="B55" s="656" t="str">
        <x:v>thinking</x:v>
      </x:c>
      <x:c r="C55" s="656" t="str">
        <x:v>SQLX-30</x:v>
      </x:c>
      <x:c r="D55" s="656" t="str">
        <x:v>MIGRATIONS / RLS / RELIABILITY</x:v>
      </x:c>
      <x:c r="E55" s="657" t="n">
        <x:v>90</x:v>
      </x:c>
      <x:c r="F55" s="656" t="str">
        <x:v>НЕБОЛЬШАЯ НЕТОЧНОСТЬ</x:v>
      </x:c>
      <x:c r="G55" s="658" t="str">
        <x:v>Read-your-writes стратегии в целом верны; LSN comparison показан концептуально, а `hot_standby_feedback` не решает replication lag и здесь скорее отвлекает.</x:v>
      </x:c>
    </x:row>
    <x:row r="56">
      <x:c r="A56" s="655" t="str">
        <x:v>Qwen 3.8 27b uncensored</x:v>
      </x:c>
      <x:c r="B56" s="656" t="str">
        <x:v>thinking</x:v>
      </x:c>
      <x:c r="C56" s="656" t="str">
        <x:v>SQLX-32</x:v>
      </x:c>
      <x:c r="D56" s="656" t="str">
        <x:v>LONG CONTEXT / SYSTEM DESIGN</x:v>
      </x:c>
      <x:c r="E56" s="657" t="n">
        <x:v>95</x:v>
      </x:c>
      <x:c r="F56" s="656" t="str">
        <x:v>НЕБОЛЬШАЯ НЕТОЧНОСТЬ</x:v>
      </x:c>
      <x:c r="G56" s="658" t="str">
        <x:v>Очень сильный multi-tenant payment schema/idempotency/outbox/audit design; небольшие lease/state-transition/external-side-effect invariants остаются описательными.</x:v>
      </x:c>
    </x:row>
    <x:row r="57">
      <x:c r="A57" s="655" t="str">
        <x:v>Qwen 3.8 Flash Next</x:v>
      </x:c>
      <x:c r="B57" s="656" t="str">
        <x:v>без thinking</x:v>
      </x:c>
      <x:c r="C57" s="656" t="str">
        <x:v>SQLX-1</x:v>
      </x:c>
      <x:c r="D57" s="656" t="str">
        <x:v>INDEXING / QUERY DESIGN</x:v>
      </x:c>
      <x:c r="E57" s="657" t="n">
        <x:v>90</x:v>
      </x:c>
      <x:c r="F57" s="656" t="str">
        <x:v>НЕБОЛЬШАЯ НЕТОЧНОСТЬ</x:v>
      </x:c>
      <x:c r="G57" s="658" t="str">
        <x:v>Индекс пригоден, но не полностью covering; есть небольшая неполнота по INCLUDE/partial trade-off.</x:v>
      </x:c>
    </x:row>
    <x:row r="58">
      <x:c r="A58" s="655" t="str">
        <x:v>Qwen 3.8 Flash Next</x:v>
      </x:c>
      <x:c r="B58" s="656" t="str">
        <x:v>без thinking</x:v>
      </x:c>
      <x:c r="C58" s="656" t="str">
        <x:v>SQLX-2</x:v>
      </x:c>
      <x:c r="D58" s="656" t="str">
        <x:v>INDEXING / QUERY DESIGN</x:v>
      </x:c>
      <x:c r="E58" s="657" t="n">
        <x:v>60</x:v>
      </x:c>
      <x:c r="F58" s="656" t="str">
        <x:v>ЗАМЕТНАЯ ОШИБКА</x:v>
      </x:c>
      <x:c r="G58" s="658" t="str">
        <x:v>Ошибочная механика B-tree: при equality по status и tenant_id СУБД не обязана сначала сканировать все paid строки.</x:v>
      </x:c>
    </x:row>
    <x:row r="59">
      <x:c r="A59" s="655" t="str">
        <x:v>Qwen 3.8 Flash Next</x:v>
      </x:c>
      <x:c r="B59" s="656" t="str">
        <x:v>без thinking</x:v>
      </x:c>
      <x:c r="C59" s="656" t="str">
        <x:v>SQLX-5</x:v>
      </x:c>
      <x:c r="D59" s="656" t="str">
        <x:v>INDEXING / QUERY DESIGN</x:v>
      </x:c>
      <x:c r="E59" s="657" t="n">
        <x:v>80</x:v>
      </x:c>
      <x:c r="F59" s="656" t="str">
        <x:v>СРЕДНЯЯ НЕТОЧНОСТЬ</x:v>
      </x:c>
      <x:c r="G59" s="658" t="str">
        <x:v>GIN jsonb_ops не делает произвольные -&gt;/-&gt;&gt; выражения индексируемыми без expression index.</x:v>
      </x:c>
    </x:row>
    <x:row r="60">
      <x:c r="A60" s="655" t="str">
        <x:v>Qwen 3.8 Flash Next</x:v>
      </x:c>
      <x:c r="B60" s="656" t="str">
        <x:v>без thinking</x:v>
      </x:c>
      <x:c r="C60" s="656" t="str">
        <x:v>SQLX-7</x:v>
      </x:c>
      <x:c r="D60" s="656" t="str">
        <x:v>TRANSACTIONS / LOCKS / MVCC</x:v>
      </x:c>
      <x:c r="E60" s="657" t="n">
        <x:v>20</x:v>
      </x:c>
      <x:c r="F60" s="656" t="str">
        <x:v>КРИТИЧЕСКАЯ ОШИБКА</x:v>
      </x:c>
      <x:c r="G60" s="658" t="str">
        <x:v>Критическая ошибка: PostgreSQL REPEATABLE READ — snapshot isolation и может допускать write skew; SSI применяется на SERIALIZABLE.</x:v>
      </x:c>
    </x:row>
    <x:row r="61">
      <x:c r="A61" s="655" t="str">
        <x:v>Qwen 3.8 Flash Next</x:v>
      </x:c>
      <x:c r="B61" s="656" t="str">
        <x:v>без thinking</x:v>
      </x:c>
      <x:c r="C61" s="656" t="str">
        <x:v>SQLX-9</x:v>
      </x:c>
      <x:c r="D61" s="656" t="str">
        <x:v>TRANSACTIONS / LOCKS / MVCC</x:v>
      </x:c>
      <x:c r="E61" s="657" t="n">
        <x:v>60</x:v>
      </x:c>
      <x:c r="F61" s="656" t="str">
        <x:v>ЗАМЕТНАЯ ОШИБКА</x:v>
      </x:c>
      <x:c r="G61" s="658" t="str">
        <x:v>Выводы об уровнях изоляции частично опираются на ту же путаницу между REPEATABLE READ и SSI.</x:v>
      </x:c>
    </x:row>
    <x:row r="62">
      <x:c r="A62" s="655" t="str">
        <x:v>Qwen 3.8 Flash Next</x:v>
      </x:c>
      <x:c r="B62" s="656" t="str">
        <x:v>без thinking</x:v>
      </x:c>
      <x:c r="C62" s="656" t="str">
        <x:v>SQLX-11</x:v>
      </x:c>
      <x:c r="D62" s="656" t="str">
        <x:v>CONSTRAINTS / DATA MODEL</x:v>
      </x:c>
      <x:c r="E62" s="657" t="n">
        <x:v>80</x:v>
      </x:c>
      <x:c r="F62" s="656" t="str">
        <x:v>СРЕДНЯЯ НЕТОЧНОСТЬ</x:v>
      </x:c>
      <x:c r="G62" s="658" t="str">
        <x:v>ENUM trade-offs описаны с несколькими чрезмерными утверждениями о скорости/ALTER TYPE blocking.</x:v>
      </x:c>
    </x:row>
    <x:row r="63">
      <x:c r="A63" s="655" t="str">
        <x:v>Qwen 3.8 Flash Next</x:v>
      </x:c>
      <x:c r="B63" s="656" t="str">
        <x:v>без thinking</x:v>
      </x:c>
      <x:c r="C63" s="656" t="str">
        <x:v>SQLX-12</x:v>
      </x:c>
      <x:c r="D63" s="656" t="str">
        <x:v>CONSTRAINTS / DATA MODEL</x:v>
      </x:c>
      <x:c r="E63" s="657" t="n">
        <x:v>80</x:v>
      </x:c>
      <x:c r="F63" s="656" t="str">
        <x:v>СРЕДНЯЯ НЕТОЧНОСТЬ</x:v>
      </x:c>
      <x:c r="G63" s="658" t="str">
        <x:v>Exclusion constraint не включает tenant_id, поэтому одинаковые room_id разных tenant могут конфликтовать глобально.</x:v>
      </x:c>
    </x:row>
    <x:row r="64">
      <x:c r="A64" s="655" t="str">
        <x:v>Qwen 3.8 Flash Next</x:v>
      </x:c>
      <x:c r="B64" s="656" t="str">
        <x:v>без thinking</x:v>
      </x:c>
      <x:c r="C64" s="656" t="str">
        <x:v>SQLX-15</x:v>
      </x:c>
      <x:c r="D64" s="656" t="str">
        <x:v>ADVANCED SQL</x:v>
      </x:c>
      <x:c r="E64" s="657" t="n">
        <x:v>80</x:v>
      </x:c>
      <x:c r="F64" s="656" t="str">
        <x:v>СРЕДНЯЯ НЕТОЧНОСТЬ</x:v>
      </x:c>
      <x:c r="G64" s="658" t="str">
        <x:v>Keyset query опирается на id, которого нет в исходно заданной схеме; нужен явно введённый уникальный tie-breaker.</x:v>
      </x:c>
    </x:row>
    <x:row r="65">
      <x:c r="A65" s="655" t="str">
        <x:v>Qwen 3.8 Flash Next</x:v>
      </x:c>
      <x:c r="B65" s="656" t="str">
        <x:v>без thinking</x:v>
      </x:c>
      <x:c r="C65" s="656" t="str">
        <x:v>SQLX-17</x:v>
      </x:c>
      <x:c r="D65" s="656" t="str">
        <x:v>ADVANCED SQL</x:v>
      </x:c>
      <x:c r="E65" s="657" t="n">
        <x:v>90</x:v>
      </x:c>
      <x:c r="F65" s="656" t="str">
        <x:v>НЕБОЛЬШАЯ НЕТОЧНОСТЬ</x:v>
      </x:c>
      <x:c r="G65" s="658" t="str">
        <x:v>ROW_NUMBER не имеет детерминированного tie-breaker для одинаковых значений.</x:v>
      </x:c>
    </x:row>
    <x:row r="66">
      <x:c r="A66" s="655" t="str">
        <x:v>Qwen 3.8 Flash Next</x:v>
      </x:c>
      <x:c r="B66" s="656" t="str">
        <x:v>без thinking</x:v>
      </x:c>
      <x:c r="C66" s="656" t="str">
        <x:v>SQLX-18</x:v>
      </x:c>
      <x:c r="D66" s="656" t="str">
        <x:v>ADVANCED SQL</x:v>
      </x:c>
      <x:c r="E66" s="657" t="n">
        <x:v>80</x:v>
      </x:c>
      <x:c r="F66" s="656" t="str">
        <x:v>СРЕДНЯЯ НЕТОЧНОСТЬ</x:v>
      </x:c>
      <x:c r="G66" s="658" t="str">
        <x:v>Partitioning по aggregate_id игнорирует tenant_id, что может смешать одинаковые aggregate_id разных tenant.</x:v>
      </x:c>
    </x:row>
    <x:row r="67">
      <x:c r="A67" s="655" t="str">
        <x:v>Qwen 3.8 Flash Next</x:v>
      </x:c>
      <x:c r="B67" s="656" t="str">
        <x:v>без thinking</x:v>
      </x:c>
      <x:c r="C67" s="656" t="str">
        <x:v>SQLX-20</x:v>
      </x:c>
      <x:c r="D67" s="656" t="str">
        <x:v>OUTBOX / QUEUES / CONCURRENCY</x:v>
      </x:c>
      <x:c r="E67" s="657" t="n">
        <x:v>60</x:v>
      </x:c>
      <x:c r="F67" s="656" t="str">
        <x:v>ЗАМЕТНАЯ ОШИБКА</x:v>
      </x:c>
      <x:c r="G67" s="658" t="str">
        <x:v>Broker publish выполняется при открытой DB-транзакции и удерживает locks через внешний network call.</x:v>
      </x:c>
    </x:row>
    <x:row r="68">
      <x:c r="A68" s="655" t="str">
        <x:v>Qwen 3.8 Flash Next</x:v>
      </x:c>
      <x:c r="B68" s="656" t="str">
        <x:v>без thinking</x:v>
      </x:c>
      <x:c r="C68" s="656" t="str">
        <x:v>SQLX-25</x:v>
      </x:c>
      <x:c r="D68" s="656" t="str">
        <x:v>PERFORMANCE / PLANNER / MAINTENANCE</x:v>
      </x:c>
      <x:c r="E68" s="657" t="n">
        <x:v>90</x:v>
      </x:c>
      <x:c r="F68" s="656" t="str">
        <x:v>НЕБОЛЬШАЯ НЕТОЧНОСТЬ</x:v>
      </x:c>
      <x:c r="G68" s="658" t="str">
        <x:v>VACUUM FULL берёт ACCESS EXCLUSIVE и блокирует не только writes; описание блокировок неполно.</x:v>
      </x:c>
    </x:row>
    <x:row r="69">
      <x:c r="A69" s="655" t="str">
        <x:v>Qwen 3.8 Flash Next</x:v>
      </x:c>
      <x:c r="B69" s="656" t="str">
        <x:v>без thinking</x:v>
      </x:c>
      <x:c r="C69" s="656" t="str">
        <x:v>SQLX-27</x:v>
      </x:c>
      <x:c r="D69" s="656" t="str">
        <x:v>PERFORMANCE / PLANNER / MAINTENANCE</x:v>
      </x:c>
      <x:c r="E69" s="657" t="n">
        <x:v>90</x:v>
      </x:c>
      <x:c r="F69" s="656" t="str">
        <x:v>НЕБОЛЬШАЯ НЕТОЧНОСТЬ</x:v>
      </x:c>
      <x:c r="G69" s="658" t="str">
        <x:v>Ответ практически корректен; есть небольшая техническая неполнота в задаче «SQLX-27».</x:v>
      </x:c>
    </x:row>
    <x:row r="70">
      <x:c r="A70" s="655" t="str">
        <x:v>Qwen 3.8 Flash Next</x:v>
      </x:c>
      <x:c r="B70" s="656" t="str">
        <x:v>без thinking</x:v>
      </x:c>
      <x:c r="C70" s="656" t="str">
        <x:v>SQLX-28</x:v>
      </x:c>
      <x:c r="D70" s="656" t="str">
        <x:v>MIGRATIONS / RLS / RELIABILITY</x:v>
      </x:c>
      <x:c r="E70" s="657" t="n">
        <x:v>80</x:v>
      </x:c>
      <x:c r="F70" s="656" t="str">
        <x:v>СРЕДНЯЯ НЕТОЧНОСТЬ</x:v>
      </x:c>
      <x:c r="G70" s="658" t="str">
        <x:v>Online migration не защищает от новых NULL writes во время длительного backfill достаточно рано.</x:v>
      </x:c>
    </x:row>
    <x:row r="71">
      <x:c r="A71" s="655" t="str">
        <x:v>Qwen 3.8 Flash Next</x:v>
      </x:c>
      <x:c r="B71" s="656" t="str">
        <x:v>без thinking</x:v>
      </x:c>
      <x:c r="C71" s="656" t="str">
        <x:v>SQLX-29</x:v>
      </x:c>
      <x:c r="D71" s="656" t="str">
        <x:v>MIGRATIONS / RLS / RELIABILITY</x:v>
      </x:c>
      <x:c r="E71" s="657" t="n">
        <x:v>90</x:v>
      </x:c>
      <x:c r="F71" s="656" t="str">
        <x:v>НЕБОЛЬШАЯ НЕТОЧНОСТЬ</x:v>
      </x:c>
      <x:c r="G71" s="658" t="str">
        <x:v>RLS policy в основном через USING; write-path/ WITH CHECK раскрыт не полностью.</x:v>
      </x:c>
    </x:row>
    <x:row r="72">
      <x:c r="A72" s="655" t="str">
        <x:v>Qwen 3.8 Flash Next</x:v>
      </x:c>
      <x:c r="B72" s="656" t="str">
        <x:v>без thinking</x:v>
      </x:c>
      <x:c r="C72" s="656" t="str">
        <x:v>SQLX-32</x:v>
      </x:c>
      <x:c r="D72" s="656" t="str">
        <x:v>LONG CONTEXT / SYSTEM DESIGN</x:v>
      </x:c>
      <x:c r="E72" s="657" t="n">
        <x:v>90</x:v>
      </x:c>
      <x:c r="F72" s="656" t="str">
        <x:v>НЕБОЛЬШАЯ НЕТОЧНОСТЬ</x:v>
      </x:c>
      <x:c r="G72" s="658" t="str">
        <x:v>Сильный дизайн, но несколько эксплуатационных деталей retention/partition/audit не доведены до полного production уровня.</x:v>
      </x:c>
    </x:row>
    <x:row r="73">
      <x:c r="A73" s="655" t="str">
        <x:v>Qwen 3.6 35b a3b mtp</x:v>
      </x:c>
      <x:c r="B73" s="656" t="str">
        <x:v>без thinking</x:v>
      </x:c>
      <x:c r="C73" s="656" t="str">
        <x:v>SQLX-2</x:v>
      </x:c>
      <x:c r="D73" s="656" t="str">
        <x:v>INDEXING / QUERY DESIGN</x:v>
      </x:c>
      <x:c r="E73" s="657" t="n">
        <x:v>60</x:v>
      </x:c>
      <x:c r="F73" s="656" t="str">
        <x:v>СРЕДНЯЯ НЕТОЧНОСТЬ</x:v>
      </x:c>
      <x:c r="G73" s="658" t="str">
        <x:v>При equality по `status` и `tenant_id` B-tree может использовать обе leading equality-колонки независимо от их порядка; утверждение о сканировании всех paid rows по всем tenants неверно.</x:v>
      </x:c>
    </x:row>
    <x:row r="74">
      <x:c r="A74" s="655" t="str">
        <x:v>Qwen 3.6 35b a3b mtp</x:v>
      </x:c>
      <x:c r="B74" s="656" t="str">
        <x:v>без thinking</x:v>
      </x:c>
      <x:c r="C74" s="656" t="str">
        <x:v>SQLX-4</x:v>
      </x:c>
      <x:c r="D74" s="656" t="str">
        <x:v>INDEXING / QUERY DESIGN</x:v>
      </x:c>
      <x:c r="E74" s="657" t="n">
        <x:v>90</x:v>
      </x:c>
      <x:c r="F74" s="656" t="str">
        <x:v>НЕБОЛЬШАЯ/СРЕДНЯЯ НЕТОЧНОСТЬ</x:v>
      </x:c>
      <x:c r="G74" s="658" t="str">
        <x:v>Почти корректно; небольшая техническая неполнота в «SQLX-4».</x:v>
      </x:c>
    </x:row>
    <x:row r="75">
      <x:c r="A75" s="655" t="str">
        <x:v>Qwen 3.6 35b a3b mtp</x:v>
      </x:c>
      <x:c r="B75" s="656" t="str">
        <x:v>без thinking</x:v>
      </x:c>
      <x:c r="C75" s="656" t="str">
        <x:v>SQLX-5</x:v>
      </x:c>
      <x:c r="D75" s="656" t="str">
        <x:v>INDEXING / QUERY DESIGN</x:v>
      </x:c>
      <x:c r="E75" s="657" t="n">
        <x:v>90</x:v>
      </x:c>
      <x:c r="F75" s="656" t="str">
        <x:v>НЕБОЛЬШАЯ/СРЕДНЯЯ НЕТОЧНОСТЬ</x:v>
      </x:c>
      <x:c r="G75" s="658" t="str">
        <x:v>Почти корректно; небольшая техническая неполнота в «SQLX-5».</x:v>
      </x:c>
    </x:row>
    <x:row r="76">
      <x:c r="A76" s="655" t="str">
        <x:v>Qwen 3.6 35b a3b mtp</x:v>
      </x:c>
      <x:c r="B76" s="656" t="str">
        <x:v>без thinking</x:v>
      </x:c>
      <x:c r="C76" s="656" t="str">
        <x:v>SQLX-6</x:v>
      </x:c>
      <x:c r="D76" s="656" t="str">
        <x:v>TRANSACTIONS / LOCKS / MVCC</x:v>
      </x:c>
      <x:c r="E76" s="657" t="n">
        <x:v>90</x:v>
      </x:c>
      <x:c r="F76" s="656" t="str">
        <x:v>НЕБОЛЬШАЯ/СРЕДНЯЯ НЕТОЧНОСТЬ</x:v>
      </x:c>
      <x:c r="G76" s="658" t="str">
        <x:v>Почти корректно; небольшая техническая неполнота в «SQLX-6».</x:v>
      </x:c>
    </x:row>
    <x:row r="77">
      <x:c r="A77" s="655" t="str">
        <x:v>Qwen 3.6 35b a3b mtp</x:v>
      </x:c>
      <x:c r="B77" s="656" t="str">
        <x:v>без thinking</x:v>
      </x:c>
      <x:c r="C77" s="656" t="str">
        <x:v>SQLX-7</x:v>
      </x:c>
      <x:c r="D77" s="656" t="str">
        <x:v>TRANSACTIONS / LOCKS / MVCC</x:v>
      </x:c>
      <x:c r="E77" s="657" t="n">
        <x:v>90</x:v>
      </x:c>
      <x:c r="F77" s="656" t="str">
        <x:v>НЕБОЛЬШАЯ/СРЕДНЯЯ НЕТОЧНОСТЬ</x:v>
      </x:c>
      <x:c r="G77" s="658" t="str">
        <x:v>Почти корректно; небольшая техническая неполнота в «SQLX-7».</x:v>
      </x:c>
    </x:row>
    <x:row r="78">
      <x:c r="A78" s="655" t="str">
        <x:v>Qwen 3.6 35b a3b mtp</x:v>
      </x:c>
      <x:c r="B78" s="656" t="str">
        <x:v>без thinking</x:v>
      </x:c>
      <x:c r="C78" s="656" t="str">
        <x:v>SQLX-9</x:v>
      </x:c>
      <x:c r="D78" s="656" t="str">
        <x:v>TRANSACTIONS / LOCKS / MVCC</x:v>
      </x:c>
      <x:c r="E78" s="657" t="n">
        <x:v>80</x:v>
      </x:c>
      <x:c r="F78" s="656" t="str">
        <x:v>НЕБОЛЬШАЯ/СРЕДНЯЯ НЕТОЧНОСТЬ</x:v>
      </x:c>
      <x:c r="G78" s="658" t="str">
        <x:v>Пример write-skew сформулирован путано, хотя базовый вывод о возможном write skew в PostgreSQL REPEATABLE READ верен.</x:v>
      </x:c>
    </x:row>
    <x:row r="79">
      <x:c r="A79" s="655" t="str">
        <x:v>Qwen 3.6 35b a3b mtp</x:v>
      </x:c>
      <x:c r="B79" s="656" t="str">
        <x:v>без thinking</x:v>
      </x:c>
      <x:c r="C79" s="656" t="str">
        <x:v>SQLX-11</x:v>
      </x:c>
      <x:c r="D79" s="656" t="str">
        <x:v>CONSTRAINTS / DATA MODEL</x:v>
      </x:c>
      <x:c r="E79" s="657" t="n">
        <x:v>90</x:v>
      </x:c>
      <x:c r="F79" s="656" t="str">
        <x:v>НЕБОЛЬШАЯ/СРЕДНЯЯ НЕТОЧНОСТЬ</x:v>
      </x:c>
      <x:c r="G79" s="658" t="str">
        <x:v>Почти корректно; небольшая техническая неполнота в «SQLX-11».</x:v>
      </x:c>
    </x:row>
    <x:row r="80">
      <x:c r="A80" s="655" t="str">
        <x:v>Qwen 3.6 35b a3b mtp</x:v>
      </x:c>
      <x:c r="B80" s="656" t="str">
        <x:v>без thinking</x:v>
      </x:c>
      <x:c r="C80" s="656" t="str">
        <x:v>SQLX-12</x:v>
      </x:c>
      <x:c r="D80" s="656" t="str">
        <x:v>CONSTRAINTS / DATA MODEL</x:v>
      </x:c>
      <x:c r="E80" s="657" t="n">
        <x:v>80</x:v>
      </x:c>
      <x:c r="F80" s="656" t="str">
        <x:v>НЕБОЛЬШАЯ/СРЕДНЯЯ НЕТОЧНОСТЬ</x:v>
      </x:c>
      <x:c r="G80" s="658" t="str">
        <x:v>Основная идея верна, но часть требований/edge cases в «SQLX-12» раскрыта неполно.</x:v>
      </x:c>
    </x:row>
    <x:row r="81">
      <x:c r="A81" s="655" t="str">
        <x:v>Qwen 3.6 35b a3b mtp</x:v>
      </x:c>
      <x:c r="B81" s="656" t="str">
        <x:v>без thinking</x:v>
      </x:c>
      <x:c r="C81" s="656" t="str">
        <x:v>SQLX-14</x:v>
      </x:c>
      <x:c r="D81" s="656" t="str">
        <x:v>CONSTRAINTS / DATA MODEL</x:v>
      </x:c>
      <x:c r="E81" s="657" t="n">
        <x:v>70</x:v>
      </x:c>
      <x:c r="F81" s="656" t="str">
        <x:v>СРЕДНЯЯ НЕТОЧНОСТЬ</x:v>
      </x:c>
      <x:c r="G81" s="658" t="str">
        <x:v>FK продолжает ссылаться на soft-deleted row: `deleted_at` не участвует в FK. Ответ сначала утверждает обратное, затем частично корректируется.</x:v>
      </x:c>
    </x:row>
    <x:row r="82">
      <x:c r="A82" s="659" t="str">
        <x:v>Qwen 3.6 35b a3b mtp</x:v>
      </x:c>
      <x:c r="B82" s="660" t="str">
        <x:v>без thinking</x:v>
      </x:c>
      <x:c r="C82" s="660" t="str">
        <x:v>SQLX-15</x:v>
      </x:c>
      <x:c r="D82" s="660" t="str">
        <x:v>ADVANCED SQL</x:v>
      </x:c>
      <x:c r="E82" s="661" t="n">
        <x:v>40</x:v>
      </x:c>
      <x:c r="F82" s="660" t="str">
        <x:v>ЗАМЕТНАЯ ОШИБКА</x:v>
      </x:c>
      <x:c r="G82" s="662" t="str">
        <x:v>В исходной таблице нет `id`, поэтому приведённый tie-breaker делает запрос невалидным; при одинаковом created_at порядок из данных задачи не определён.</x:v>
      </x:c>
    </x:row>
    <x:row r="83">
      <x:c r="A83" s="655" t="str">
        <x:v>Qwen 3.6 35b a3b mtp</x:v>
      </x:c>
      <x:c r="B83" s="656" t="str">
        <x:v>без thinking</x:v>
      </x:c>
      <x:c r="C83" s="656" t="str">
        <x:v>SQLX-17</x:v>
      </x:c>
      <x:c r="D83" s="656" t="str">
        <x:v>ADVANCED SQL</x:v>
      </x:c>
      <x:c r="E83" s="657" t="n">
        <x:v>90</x:v>
      </x:c>
      <x:c r="F83" s="656" t="str">
        <x:v>НЕБОЛЬШАЯ/СРЕДНЯЯ НЕТОЧНОСТЬ</x:v>
      </x:c>
      <x:c r="G83" s="658" t="str">
        <x:v>Почти корректно; небольшая техническая неполнота в «SQLX-17».</x:v>
      </x:c>
    </x:row>
    <x:row r="84">
      <x:c r="A84" s="655" t="str">
        <x:v>Qwen 3.6 35b a3b mtp</x:v>
      </x:c>
      <x:c r="B84" s="656" t="str">
        <x:v>без thinking</x:v>
      </x:c>
      <x:c r="C84" s="656" t="str">
        <x:v>SQLX-20</x:v>
      </x:c>
      <x:c r="D84" s="656" t="str">
        <x:v>OUTBOX / QUEUES / CONCURRENCY</x:v>
      </x:c>
      <x:c r="E84" s="657" t="n">
        <x:v>40</x:v>
      </x:c>
      <x:c r="F84" s="656" t="str">
        <x:v>ЗАМЕТНАЯ ОШИБКА</x:v>
      </x:c>
      <x:c r="G84" s="658" t="str">
        <x:v>SQL помечает rows `published` до broker publish, хотя текст затем требует ставить `published_at` после успеха. Crash между этими шагами может потерять событие.</x:v>
      </x:c>
    </x:row>
    <x:row r="85">
      <x:c r="A85" s="655" t="str">
        <x:v>Qwen 3.6 35b a3b mtp</x:v>
      </x:c>
      <x:c r="B85" s="656" t="str">
        <x:v>без thinking</x:v>
      </x:c>
      <x:c r="C85" s="656" t="str">
        <x:v>SQLX-21</x:v>
      </x:c>
      <x:c r="D85" s="656" t="str">
        <x:v>OUTBOX / QUEUES / CONCURRENCY</x:v>
      </x:c>
      <x:c r="E85" s="657" t="n">
        <x:v>90</x:v>
      </x:c>
      <x:c r="F85" s="656" t="str">
        <x:v>НЕБОЛЬШАЯ/СРЕДНЯЯ НЕТОЧНОСТЬ</x:v>
      </x:c>
      <x:c r="G85" s="658" t="str">
        <x:v>Проверка «уже опубликован ли event_id» до publish не закрывает crash window; exactly-once всё равно не возникает.</x:v>
      </x:c>
    </x:row>
    <x:row r="86">
      <x:c r="A86" s="655" t="str">
        <x:v>Qwen 3.6 35b a3b mtp</x:v>
      </x:c>
      <x:c r="B86" s="656" t="str">
        <x:v>без thinking</x:v>
      </x:c>
      <x:c r="C86" s="656" t="str">
        <x:v>SQLX-22</x:v>
      </x:c>
      <x:c r="D86" s="656" t="str">
        <x:v>OUTBOX / QUEUES / CONCURRENCY</x:v>
      </x:c>
      <x:c r="E86" s="657" t="n">
        <x:v>90</x:v>
      </x:c>
      <x:c r="F86" s="656" t="str">
        <x:v>НЕБОЛЬШАЯ/СРЕДНЯЯ НЕТОЧНОСТЬ</x:v>
      </x:c>
      <x:c r="G86" s="658" t="str">
        <x:v>Massive DELETE тяжёлый, но не «блокирует таблицу» целиком на весь срок в обычном смысле; преимущество partition DROP описано правильно.</x:v>
      </x:c>
    </x:row>
    <x:row r="87">
      <x:c r="A87" s="655" t="str">
        <x:v>Qwen 3.6 35b a3b mtp</x:v>
      </x:c>
      <x:c r="B87" s="656" t="str">
        <x:v>без thinking</x:v>
      </x:c>
      <x:c r="C87" s="656" t="str">
        <x:v>SQLX-25</x:v>
      </x:c>
      <x:c r="D87" s="656" t="str">
        <x:v>PERFORMANCE / PLANNER / MAINTENANCE</x:v>
      </x:c>
      <x:c r="E87" s="657" t="n">
        <x:v>90</x:v>
      </x:c>
      <x:c r="F87" s="656" t="str">
        <x:v>НЕБОЛЬШАЯ/СРЕДНЯЯ НЕТОЧНОСТЬ</x:v>
      </x:c>
      <x:c r="G87" s="658" t="str">
        <x:v>Почти корректно; небольшая техническая неполнота в «SQLX-25».</x:v>
      </x:c>
    </x:row>
    <x:row r="88">
      <x:c r="A88" s="655" t="str">
        <x:v>Qwen 3.6 35b a3b mtp</x:v>
      </x:c>
      <x:c r="B88" s="656" t="str">
        <x:v>без thinking</x:v>
      </x:c>
      <x:c r="C88" s="656" t="str">
        <x:v>SQLX-26</x:v>
      </x:c>
      <x:c r="D88" s="656" t="str">
        <x:v>PERFORMANCE / PLANNER / MAINTENANCE</x:v>
      </x:c>
      <x:c r="E88" s="657" t="n">
        <x:v>90</x:v>
      </x:c>
      <x:c r="F88" s="656" t="str">
        <x:v>НЕБОЛЬШАЯ/СРЕДНЯЯ НЕТОЧНОСТЬ</x:v>
      </x:c>
      <x:c r="G88" s="658" t="str">
        <x:v>Почти корректно; небольшая техническая неполнота в «SQLX-26».</x:v>
      </x:c>
    </x:row>
    <x:row r="89">
      <x:c r="A89" s="655" t="str">
        <x:v>Qwen 3.6 35b a3b mtp</x:v>
      </x:c>
      <x:c r="B89" s="656" t="str">
        <x:v>без thinking</x:v>
      </x:c>
      <x:c r="C89" s="656" t="str">
        <x:v>SQLX-28</x:v>
      </x:c>
      <x:c r="D89" s="656" t="str">
        <x:v>MIGRATIONS / RLS / RELIABILITY</x:v>
      </x:c>
      <x:c r="E89" s="657" t="n">
        <x:v>70</x:v>
      </x:c>
      <x:c r="F89" s="656" t="str">
        <x:v>СРЕДНЯЯ НЕТОЧНОСТЬ</x:v>
      </x:c>
      <x:c r="G89" s="658" t="str">
        <x:v>CHECK добавлен без `NOT VALID`, поэтому на 1.5 млрд строк сразу запускается полная проверка; sequence не полностью online-safe.</x:v>
      </x:c>
    </x:row>
    <x:row r="90">
      <x:c r="A90" s="655" t="str">
        <x:v>Qwen 3.6 35b a3b mtp</x:v>
      </x:c>
      <x:c r="B90" s="656" t="str">
        <x:v>без thinking</x:v>
      </x:c>
      <x:c r="C90" s="656" t="str">
        <x:v>SQLX-29</x:v>
      </x:c>
      <x:c r="D90" s="656" t="str">
        <x:v>MIGRATIONS / RLS / RELIABILITY</x:v>
      </x:c>
      <x:c r="E90" s="657" t="n">
        <x:v>90</x:v>
      </x:c>
      <x:c r="F90" s="656" t="str">
        <x:v>НЕБОЛЬШАЯ/СРЕДНЯЯ НЕТОЧНОСТЬ</x:v>
      </x:c>
      <x:c r="G90" s="658" t="str">
        <x:v>Почти корректно; небольшая техническая неполнота в «SQLX-29».</x:v>
      </x:c>
    </x:row>
    <x:row r="91">
      <x:c r="A91" s="655" t="str">
        <x:v>Qwen 3.6 35b a3b mtp</x:v>
      </x:c>
      <x:c r="B91" s="656" t="str">
        <x:v>без thinking</x:v>
      </x:c>
      <x:c r="C91" s="656" t="str">
        <x:v>SQLX-30</x:v>
      </x:c>
      <x:c r="D91" s="656" t="str">
        <x:v>MIGRATIONS / RLS / RELIABILITY</x:v>
      </x:c>
      <x:c r="E91" s="657" t="n">
        <x:v>80</x:v>
      </x:c>
      <x:c r="F91" s="656" t="str">
        <x:v>НЕБОЛЬШАЯ/СРЕДНЯЯ НЕТОЧНОСТЬ</x:v>
      </x:c>
      <x:c r="G91" s="658" t="str">
        <x:v>Sticky session к произвольной replica не гарантирует read-your-writes, пока не подтверждён replay нужного WAL/LSN.</x:v>
      </x:c>
    </x:row>
    <x:row r="92">
      <x:c r="A92" s="655" t="str">
        <x:v>Qwen 3.6 35b a3b mtp</x:v>
      </x:c>
      <x:c r="B92" s="656" t="str">
        <x:v>без thinking</x:v>
      </x:c>
      <x:c r="C92" s="656" t="str">
        <x:v>SQLX-32</x:v>
      </x:c>
      <x:c r="D92" s="656" t="str">
        <x:v>LONG CONTEXT / SYSTEM DESIGN</x:v>
      </x:c>
      <x:c r="E92" s="657" t="n">
        <x:v>50</x:v>
      </x:c>
      <x:c r="F92" s="656" t="str">
        <x:v>ЗАМЕТНАЯ ОШИБКА</x:v>
      </x:c>
      <x:c r="G92" s="658" t="str">
        <x:v>Payment gateway фактически вызывается внутри долгой DB transaction; request_hash mismatch не проверяется, audit schema повторно объявлена и flow имеет race gaps.</x:v>
      </x:c>
    </x:row>
    <x:row r="93">
      <x:c r="A93" s="655" t="str">
        <x:v>Qwen 3.6 35b a3b mtp</x:v>
      </x:c>
      <x:c r="B93" s="656" t="str">
        <x:v>thinking</x:v>
      </x:c>
      <x:c r="C93" s="656" t="str">
        <x:v>SQLX-2</x:v>
      </x:c>
      <x:c r="D93" s="656" t="str">
        <x:v>INDEXING / QUERY DESIGN</x:v>
      </x:c>
      <x:c r="E93" s="657" t="n">
        <x:v>60</x:v>
      </x:c>
      <x:c r="F93" s="656" t="str">
        <x:v>СРЕДНЯЯ НЕТОЧНОСТЬ</x:v>
      </x:c>
      <x:c r="G93" s="658" t="str">
        <x:v>Та же ошибка: обе equality-колонки могут сузить B-tree range; перестановка первых двух не заставляет сканировать все paid rows.</x:v>
      </x:c>
    </x:row>
    <x:row r="94">
      <x:c r="A94" s="655" t="str">
        <x:v>Qwen 3.6 35b a3b mtp</x:v>
      </x:c>
      <x:c r="B94" s="656" t="str">
        <x:v>thinking</x:v>
      </x:c>
      <x:c r="C94" s="656" t="str">
        <x:v>SQLX-4</x:v>
      </x:c>
      <x:c r="D94" s="656" t="str">
        <x:v>INDEXING / QUERY DESIGN</x:v>
      </x:c>
      <x:c r="E94" s="657" t="n">
        <x:v>80</x:v>
      </x:c>
      <x:c r="F94" s="656" t="str">
        <x:v>НЕБОЛЬШАЯ/СРЕДНЯЯ НЕТОЧНОСТЬ</x:v>
      </x:c>
      <x:c r="G94" s="658" t="str">
        <x:v>BRIN не требует периодического REINDEX как штатной меры; утверждение про O(1) access также чрезмерно.</x:v>
      </x:c>
    </x:row>
    <x:row r="95">
      <x:c r="A95" s="655" t="str">
        <x:v>Qwen 3.6 35b a3b mtp</x:v>
      </x:c>
      <x:c r="B95" s="656" t="str">
        <x:v>thinking</x:v>
      </x:c>
      <x:c r="C95" s="656" t="str">
        <x:v>SQLX-5</x:v>
      </x:c>
      <x:c r="D95" s="656" t="str">
        <x:v>INDEXING / QUERY DESIGN</x:v>
      </x:c>
      <x:c r="E95" s="657" t="n">
        <x:v>80</x:v>
      </x:c>
      <x:c r="F95" s="656" t="str">
        <x:v>НЕБОЛЬШАЯ/СРЕДНЯЯ НЕТОЧНОСТЬ</x:v>
      </x:c>
      <x:c r="G95" s="658" t="str">
        <x:v>`jsonb_path_ops` не ограничен top-level keys; он поддерживает вложенный containment/path semantics, но более узкий набор операторов.</x:v>
      </x:c>
    </x:row>
    <x:row r="96">
      <x:c r="A96" s="655" t="str">
        <x:v>Qwen 3.6 35b a3b mtp</x:v>
      </x:c>
      <x:c r="B96" s="656" t="str">
        <x:v>thinking</x:v>
      </x:c>
      <x:c r="C96" s="656" t="str">
        <x:v>SQLX-6</x:v>
      </x:c>
      <x:c r="D96" s="656" t="str">
        <x:v>TRANSACTIONS / LOCKS / MVCC</x:v>
      </x:c>
      <x:c r="E96" s="657" t="n">
        <x:v>90</x:v>
      </x:c>
      <x:c r="F96" s="656" t="str">
        <x:v>НЕБОЛЬШАЯ/СРЕДНЯЯ НЕТОЧНОСТЬ</x:v>
      </x:c>
      <x:c r="G96" s="658" t="str">
        <x:v>Почти корректно; небольшая техническая неполнота в «SQLX-6».</x:v>
      </x:c>
    </x:row>
    <x:row r="97">
      <x:c r="A97" s="655" t="str">
        <x:v>Qwen 3.6 35b a3b mtp</x:v>
      </x:c>
      <x:c r="B97" s="656" t="str">
        <x:v>thinking</x:v>
      </x:c>
      <x:c r="C97" s="656" t="str">
        <x:v>SQLX-7</x:v>
      </x:c>
      <x:c r="D97" s="656" t="str">
        <x:v>TRANSACTIONS / LOCKS / MVCC</x:v>
      </x:c>
      <x:c r="E97" s="657" t="n">
        <x:v>70</x:v>
      </x:c>
      <x:c r="F97" s="656" t="str">
        <x:v>СРЕДНЯЯ НЕТОЧНОСТЬ</x:v>
      </x:c>
      <x:c r="G97" s="658" t="str">
        <x:v>PostgreSQL REPEATABLE READ не использует SSI predicate locks; predicate/SIREAD locks относятся к SERIALIZABLE.</x:v>
      </x:c>
    </x:row>
    <x:row r="98">
      <x:c r="A98" s="655" t="str">
        <x:v>Qwen 3.6 35b a3b mtp</x:v>
      </x:c>
      <x:c r="B98" s="656" t="str">
        <x:v>thinking</x:v>
      </x:c>
      <x:c r="C98" s="656" t="str">
        <x:v>SQLX-8</x:v>
      </x:c>
      <x:c r="D98" s="656" t="str">
        <x:v>TRANSACTIONS / LOCKS / MVCC</x:v>
      </x:c>
      <x:c r="E98" s="657" t="n">
        <x:v>80</x:v>
      </x:c>
      <x:c r="F98" s="656" t="str">
        <x:v>НЕБОЛЬШАЯ/СРЕДНЯЯ НЕТОЧНОСТЬ</x:v>
      </x:c>
      <x:c r="G98" s="658" t="str">
        <x:v>В атомарном UPDATE `$1` ошибочно используется и как delta, и как account id; SQL в таком виде неверен.</x:v>
      </x:c>
    </x:row>
    <x:row r="99">
      <x:c r="A99" s="655" t="str">
        <x:v>Qwen 3.6 35b a3b mtp</x:v>
      </x:c>
      <x:c r="B99" s="656" t="str">
        <x:v>thinking</x:v>
      </x:c>
      <x:c r="C99" s="656" t="str">
        <x:v>SQLX-9</x:v>
      </x:c>
      <x:c r="D99" s="656" t="str">
        <x:v>TRANSACTIONS / LOCKS / MVCC</x:v>
      </x:c>
      <x:c r="E99" s="657" t="n">
        <x:v>80</x:v>
      </x:c>
      <x:c r="F99" s="656" t="str">
        <x:v>НЕБОЛЬШАЯ/СРЕДНЯЯ НЕТОЧНОСТЬ</x:v>
      </x:c>
      <x:c r="G99" s="658" t="str">
        <x:v>Снова неверно приписаны predicate locks PostgreSQL REPEATABLE READ; write skew он действительно допускает.</x:v>
      </x:c>
    </x:row>
    <x:row r="100">
      <x:c r="A100" s="655" t="str">
        <x:v>Qwen 3.6 35b a3b mtp</x:v>
      </x:c>
      <x:c r="B100" s="656" t="str">
        <x:v>thinking</x:v>
      </x:c>
      <x:c r="C100" s="656" t="str">
        <x:v>SQLX-11</x:v>
      </x:c>
      <x:c r="D100" s="656" t="str">
        <x:v>CONSTRAINTS / DATA MODEL</x:v>
      </x:c>
      <x:c r="E100" s="657" t="n">
        <x:v>90</x:v>
      </x:c>
      <x:c r="F100" s="656" t="str">
        <x:v>НЕБОЛЬШАЯ/СРЕДНЯЯ НЕТОЧНОСТЬ</x:v>
      </x:c>
      <x:c r="G100" s="658" t="str">
        <x:v>Почти корректно; небольшая техническая неполнота в «SQLX-11».</x:v>
      </x:c>
    </x:row>
    <x:row r="101">
      <x:c r="A101" s="655" t="str">
        <x:v>Qwen 3.6 35b a3b mtp</x:v>
      </x:c>
      <x:c r="B101" s="656" t="str">
        <x:v>thinking</x:v>
      </x:c>
      <x:c r="C101" s="656" t="str">
        <x:v>SQLX-12</x:v>
      </x:c>
      <x:c r="D101" s="656" t="str">
        <x:v>CONSTRAINTS / DATA MODEL</x:v>
      </x:c>
      <x:c r="E101" s="657" t="n">
        <x:v>80</x:v>
      </x:c>
      <x:c r="F101" s="656" t="str">
        <x:v>НЕБОЛЬШАЯ/СРЕДНЯЯ НЕТОЧНОСТЬ</x:v>
      </x:c>
      <x:c r="G101" s="658" t="str">
        <x:v>Основная идея верна, но часть требований/edge cases в «SQLX-12» раскрыта неполно.</x:v>
      </x:c>
    </x:row>
    <x:row r="102">
      <x:c r="A102" s="655" t="str">
        <x:v>Qwen 3.6 35b a3b mtp</x:v>
      </x:c>
      <x:c r="B102" s="656" t="str">
        <x:v>thinking</x:v>
      </x:c>
      <x:c r="C102" s="656" t="str">
        <x:v>SQLX-14</x:v>
      </x:c>
      <x:c r="D102" s="656" t="str">
        <x:v>CONSTRAINTS / DATA MODEL</x:v>
      </x:c>
      <x:c r="E102" s="657" t="n">
        <x:v>70</x:v>
      </x:c>
      <x:c r="F102" s="656" t="str">
        <x:v>СРЕДНЯЯ НЕТОЧНОСТЬ</x:v>
      </x:c>
      <x:c r="G102" s="658" t="str">
        <x:v>Soft delete не меняет FK semantics автоматически; application/policy layer должна отдельно учитывать deleted_at.</x:v>
      </x:c>
    </x:row>
    <x:row r="103">
      <x:c r="A103" s="655" t="str">
        <x:v>Qwen 3.6 35b a3b mtp</x:v>
      </x:c>
      <x:c r="B103" s="656" t="str">
        <x:v>thinking</x:v>
      </x:c>
      <x:c r="C103" s="656" t="str">
        <x:v>SQLX-15</x:v>
      </x:c>
      <x:c r="D103" s="656" t="str">
        <x:v>ADVANCED SQL</x:v>
      </x:c>
      <x:c r="E103" s="657" t="n">
        <x:v>70</x:v>
      </x:c>
      <x:c r="F103" s="656" t="str">
        <x:v>СРЕДНЯЯ НЕТОЧНОСТЬ</x:v>
      </x:c>
      <x:c r="G103" s="658" t="str">
        <x:v>`ctid` существует, но не является устойчивым бизнес tie-breaker и может меняться; при исходной схеме tie-breaker следует признать неопределённым.</x:v>
      </x:c>
    </x:row>
    <x:row r="104">
      <x:c r="A104" s="655" t="str">
        <x:v>Qwen 3.6 35b a3b mtp</x:v>
      </x:c>
      <x:c r="B104" s="656" t="str">
        <x:v>thinking</x:v>
      </x:c>
      <x:c r="C104" s="656" t="str">
        <x:v>SQLX-18</x:v>
      </x:c>
      <x:c r="D104" s="656" t="str">
        <x:v>ADVANCED SQL</x:v>
      </x:c>
      <x:c r="E104" s="657" t="n">
        <x:v>80</x:v>
      </x:c>
      <x:c r="F104" s="656" t="str">
        <x:v>НЕБОЛЬШАЯ/СРЕДНЯЯ НЕТОЧНОСТЬ</x:v>
      </x:c>
      <x:c r="G104" s="658" t="str">
        <x:v>Window partition пропускает `tenant_id`, поэтому одинаковый aggregate_id у разных tenants смешивается.</x:v>
      </x:c>
    </x:row>
    <x:row r="105">
      <x:c r="A105" s="655" t="str">
        <x:v>Qwen 3.6 35b a3b mtp</x:v>
      </x:c>
      <x:c r="B105" s="656" t="str">
        <x:v>thinking</x:v>
      </x:c>
      <x:c r="C105" s="656" t="str">
        <x:v>SQLX-20</x:v>
      </x:c>
      <x:c r="D105" s="656" t="str">
        <x:v>OUTBOX / QUEUES / CONCURRENCY</x:v>
      </x:c>
      <x:c r="E105" s="657" t="n">
        <x:v>80</x:v>
      </x:c>
      <x:c r="F105" s="656" t="str">
        <x:v>НЕБОЛЬШАЯ/СРЕДНЯЯ НЕТОЧНОСТЬ</x:v>
      </x:c>
      <x:c r="G105" s="658" t="str">
        <x:v>`processing` claim лучше, чем ранний `published`, но нужны lease/recovery для зависших processing rows; broker и DB всё равно не атомарны.</x:v>
      </x:c>
    </x:row>
    <x:row r="106">
      <x:c r="A106" s="655" t="str">
        <x:v>Qwen 3.6 35b a3b mtp</x:v>
      </x:c>
      <x:c r="B106" s="656" t="str">
        <x:v>thinking</x:v>
      </x:c>
      <x:c r="C106" s="656" t="str">
        <x:v>SQLX-22</x:v>
      </x:c>
      <x:c r="D106" s="656" t="str">
        <x:v>OUTBOX / QUEUES / CONCURRENCY</x:v>
      </x:c>
      <x:c r="E106" s="657" t="n">
        <x:v>80</x:v>
      </x:c>
      <x:c r="F106" s="656" t="str">
        <x:v>НЕБОЛЬШАЯ/СРЕДНЯЯ НЕТОЧНОСТЬ</x:v>
      </x:c>
      <x:c r="G106" s="658" t="str">
        <x:v>Massive DELETE генерирует WAL/bloat, но не держит глобальный write lock на всю таблицу, как сформулировано.</x:v>
      </x:c>
    </x:row>
    <x:row r="107">
      <x:c r="A107" s="655" t="str">
        <x:v>Qwen 3.6 35b a3b mtp</x:v>
      </x:c>
      <x:c r="B107" s="656" t="str">
        <x:v>thinking</x:v>
      </x:c>
      <x:c r="C107" s="656" t="str">
        <x:v>SQLX-23</x:v>
      </x:c>
      <x:c r="D107" s="656" t="str">
        <x:v>PERFORMANCE / PLANNER / MAINTENANCE</x:v>
      </x:c>
      <x:c r="E107" s="657" t="n">
        <x:v>90</x:v>
      </x:c>
      <x:c r="F107" s="656" t="str">
        <x:v>НЕБОЛЬШАЯ/СРЕДНЯЯ НЕТОЧНОСТЬ</x:v>
      </x:c>
      <x:c r="G107" s="658" t="str">
        <x:v>Почти корректно; небольшая техническая неполнота в «SQLX-23».</x:v>
      </x:c>
    </x:row>
    <x:row r="108">
      <x:c r="A108" s="655" t="str">
        <x:v>Qwen 3.6 35b a3b mtp</x:v>
      </x:c>
      <x:c r="B108" s="656" t="str">
        <x:v>thinking</x:v>
      </x:c>
      <x:c r="C108" s="656" t="str">
        <x:v>SQLX-24</x:v>
      </x:c>
      <x:c r="D108" s="656" t="str">
        <x:v>PERFORMANCE / PLANNER / MAINTENANCE</x:v>
      </x:c>
      <x:c r="E108" s="657" t="n">
        <x:v>80</x:v>
      </x:c>
      <x:c r="F108" s="656" t="str">
        <x:v>НЕБОЛЬШАЯ/СРЕДНЯЯ НЕТОЧНОСТЬ</x:v>
      </x:c>
      <x:c r="G108" s="658" t="str">
        <x:v>`SELECT *` не включает системные `ctid/xmin/xmax/tableoid`; основной вывод про covering index и visibility map верен.</x:v>
      </x:c>
    </x:row>
    <x:row r="109">
      <x:c r="A109" s="655" t="str">
        <x:v>Qwen 3.6 35b a3b mtp</x:v>
      </x:c>
      <x:c r="B109" s="656" t="str">
        <x:v>thinking</x:v>
      </x:c>
      <x:c r="C109" s="656" t="str">
        <x:v>SQLX-26</x:v>
      </x:c>
      <x:c r="D109" s="656" t="str">
        <x:v>PERFORMANCE / PLANNER / MAINTENANCE</x:v>
      </x:c>
      <x:c r="E109" s="657" t="n">
        <x:v>80</x:v>
      </x:c>
      <x:c r="F109" s="656" t="str">
        <x:v>НЕБОЛЬШАЯ/СРЕДНЯЯ НЕТОЧНОСТЬ</x:v>
      </x:c>
      <x:c r="G109" s="658" t="str">
        <x:v>Указан несуществующий/неточный `deadtuple_count` вместо штатного `n_dead_tup`; диагностика в остальном полезна.</x:v>
      </x:c>
    </x:row>
    <x:row r="110">
      <x:c r="A110" s="655" t="str">
        <x:v>Qwen 3.6 35b a3b mtp</x:v>
      </x:c>
      <x:c r="B110" s="656" t="str">
        <x:v>thinking</x:v>
      </x:c>
      <x:c r="C110" s="656" t="str">
        <x:v>SQLX-27</x:v>
      </x:c>
      <x:c r="D110" s="656" t="str">
        <x:v>PERFORMANCE / PLANNER / MAINTENANCE</x:v>
      </x:c>
      <x:c r="E110" s="657" t="n">
        <x:v>60</x:v>
      </x:c>
      <x:c r="F110" s="656" t="str">
        <x:v>СРЕДНЯЯ НЕТОЧНОСТЬ</x:v>
      </x:c>
      <x:c r="G110" s="658" t="str">
        <x:v>Фактическая ошибка: обычный CREATE INDEX не берёт AccessExclusiveLock и не блокирует SELECT; он блокирует writes через ShareLock.</x:v>
      </x:c>
    </x:row>
    <x:row r="111">
      <x:c r="A111" s="655" t="str">
        <x:v>Qwen 3.6 35b a3b mtp</x:v>
      </x:c>
      <x:c r="B111" s="656" t="str">
        <x:v>thinking</x:v>
      </x:c>
      <x:c r="C111" s="656" t="str">
        <x:v>SQLX-29</x:v>
      </x:c>
      <x:c r="D111" s="656" t="str">
        <x:v>MIGRATIONS / RLS / RELIABILITY</x:v>
      </x:c>
      <x:c r="E111" s="657" t="n">
        <x:v>70</x:v>
      </x:c>
      <x:c r="F111" s="656" t="str">
        <x:v>СРЕДНЯЯ НЕТОЧНОСТЬ</x:v>
      </x:c>
      <x:c r="G111" s="658" t="str">
        <x:v>Transaction pooling сам по себе не ломает RLS, если `SET LOCAL` задаётся внутри каждой транзакции; совет про `pg_stat_activity` как передачу tenant id некорректен.</x:v>
      </x:c>
    </x:row>
    <x:row r="112">
      <x:c r="A112" s="655" t="str">
        <x:v>Qwen 3.6 35b a3b mtp</x:v>
      </x:c>
      <x:c r="B112" s="656" t="str">
        <x:v>thinking</x:v>
      </x:c>
      <x:c r="C112" s="656" t="str">
        <x:v>SQLX-30</x:v>
      </x:c>
      <x:c r="D112" s="656" t="str">
        <x:v>MIGRATIONS / RLS / RELIABILITY</x:v>
      </x:c>
      <x:c r="E112" s="657" t="n">
        <x:v>80</x:v>
      </x:c>
      <x:c r="F112" s="656" t="str">
        <x:v>НЕБОЛЬШАЯ/СРЕДНЯЯ НЕТОЧНОСТЬ</x:v>
      </x:c>
      <x:c r="G112" s="658" t="str">
        <x:v>Sticky replica без ожидания конкретного WAL/LSN не гарантирует read-your-writes.</x:v>
      </x:c>
    </x:row>
    <x:row r="113">
      <x:c r="A113" s="655" t="str">
        <x:v>Qwen 3.6 35b a3b mtp</x:v>
      </x:c>
      <x:c r="B113" s="656" t="str">
        <x:v>thinking</x:v>
      </x:c>
      <x:c r="C113" s="656" t="str">
        <x:v>SQLX-32</x:v>
      </x:c>
      <x:c r="D113" s="656" t="str">
        <x:v>LONG CONTEXT / SYSTEM DESIGN</x:v>
      </x:c>
      <x:c r="E113" s="657" t="n">
        <x:v>60</x:v>
      </x:c>
      <x:c r="F113" s="656" t="str">
        <x:v>СРЕДНЯЯ НЕТОЧНОСТЬ</x:v>
      </x:c>
      <x:c r="G113" s="658" t="str">
        <x:v>Hash mismatch упомянут лишь декларативно, а payment processing остаётся внутри транзакционного sequence до COMMIT; внешний side effect может удерживать transaction.</x:v>
      </x:c>
    </x:row>
    <x:row r="114">
      <x:c r="A114" s="655" t="str">
        <x:v>Qwen 3.6 35b a3b HauhauCS</x:v>
      </x:c>
      <x:c r="B114" s="656" t="str">
        <x:v>thinking</x:v>
      </x:c>
      <x:c r="C114" s="656" t="str">
        <x:v>SQLX-1</x:v>
      </x:c>
      <x:c r="D114" s="656" t="str">
        <x:v>INDEXING / QUERY DESIGN</x:v>
      </x:c>
      <x:c r="E114" s="657" t="n">
        <x:v>90</x:v>
      </x:c>
      <x:c r="F114" s="656" t="str">
        <x:v>НЕБОЛЬШАЯ/СРЕДНЯЯ НЕТОЧНОСТЬ</x:v>
      </x:c>
      <x:c r="G114" s="658" t="str">
        <x:v>Почти корректно; небольшая техническая неполнота в «SQLX-1».</x:v>
      </x:c>
    </x:row>
    <x:row r="115">
      <x:c r="A115" s="655" t="str">
        <x:v>Qwen 3.6 35b a3b HauhauCS</x:v>
      </x:c>
      <x:c r="B115" s="656" t="str">
        <x:v>thinking</x:v>
      </x:c>
      <x:c r="C115" s="656" t="str">
        <x:v>SQLX-2</x:v>
      </x:c>
      <x:c r="D115" s="656" t="str">
        <x:v>INDEXING / QUERY DESIGN</x:v>
      </x:c>
      <x:c r="E115" s="657" t="n">
        <x:v>60</x:v>
      </x:c>
      <x:c r="F115" s="656" t="str">
        <x:v>СРЕДНЯЯ НЕТОЧНОСТЬ</x:v>
      </x:c>
      <x:c r="G115" s="658" t="str">
        <x:v>Неверная механика equality B-tree: перестановка status/tenant_id не требует сканирования всех paid rows при наличии equality по обоим.</x:v>
      </x:c>
    </x:row>
    <x:row r="116">
      <x:c r="A116" s="655" t="str">
        <x:v>Qwen 3.6 35b a3b HauhauCS</x:v>
      </x:c>
      <x:c r="B116" s="656" t="str">
        <x:v>thinking</x:v>
      </x:c>
      <x:c r="C116" s="656" t="str">
        <x:v>SQLX-5</x:v>
      </x:c>
      <x:c r="D116" s="656" t="str">
        <x:v>INDEXING / QUERY DESIGN</x:v>
      </x:c>
      <x:c r="E116" s="657" t="n">
        <x:v>60</x:v>
      </x:c>
      <x:c r="F116" s="656" t="str">
        <x:v>СРЕДНЯЯ НЕТОЧНОСТЬ</x:v>
      </x:c>
      <x:c r="G116" s="658" t="str">
        <x:v>jsonb_path_ops описан как top-level-only и только @&gt;; это неточно для PostgreSQL 16.</x:v>
      </x:c>
    </x:row>
    <x:row r="117">
      <x:c r="A117" s="655" t="str">
        <x:v>Qwen 3.6 35b a3b HauhauCS</x:v>
      </x:c>
      <x:c r="B117" s="656" t="str">
        <x:v>thinking</x:v>
      </x:c>
      <x:c r="C117" s="656" t="str">
        <x:v>SQLX-6</x:v>
      </x:c>
      <x:c r="D117" s="656" t="str">
        <x:v>TRANSACTIONS / LOCKS / MVCC</x:v>
      </x:c>
      <x:c r="E117" s="657" t="n">
        <x:v>80</x:v>
      </x:c>
      <x:c r="F117" s="656" t="str">
        <x:v>НЕБОЛЬШАЯ/СРЕДНЯЯ НЕТОЧНОСТЬ</x:v>
      </x:c>
      <x:c r="G117" s="658" t="str">
        <x:v>PostgreSQL не гарантирует выбор victim как «самой молодой/меньше всего работавшей» транзакции.</x:v>
      </x:c>
    </x:row>
    <x:row r="118">
      <x:c r="A118" s="655" t="str">
        <x:v>Qwen 3.6 35b a3b HauhauCS</x:v>
      </x:c>
      <x:c r="B118" s="656" t="str">
        <x:v>thinking</x:v>
      </x:c>
      <x:c r="C118" s="656" t="str">
        <x:v>SQLX-9</x:v>
      </x:c>
      <x:c r="D118" s="656" t="str">
        <x:v>TRANSACTIONS / LOCKS / MVCC</x:v>
      </x:c>
      <x:c r="E118" s="657" t="n">
        <x:v>90</x:v>
      </x:c>
      <x:c r="F118" s="656" t="str">
        <x:v>НЕБОЛЬШАЯ/СРЕДНЯЯ НЕТОЧНОСТЬ</x:v>
      </x:c>
      <x:c r="G118" s="658" t="str">
        <x:v>Почти корректно; небольшая техническая неполнота в «SQLX-9».</x:v>
      </x:c>
    </x:row>
    <x:row r="119">
      <x:c r="A119" s="655" t="str">
        <x:v>Qwen 3.6 35b a3b HauhauCS</x:v>
      </x:c>
      <x:c r="B119" s="656" t="str">
        <x:v>thinking</x:v>
      </x:c>
      <x:c r="C119" s="656" t="str">
        <x:v>SQLX-10</x:v>
      </x:c>
      <x:c r="D119" s="656" t="str">
        <x:v>TRANSACTIONS / LOCKS / MVCC</x:v>
      </x:c>
      <x:c r="E119" s="657" t="n">
        <x:v>90</x:v>
      </x:c>
      <x:c r="F119" s="656" t="str">
        <x:v>НЕБОЛЬШАЯ/СРЕДНЯЯ НЕТОЧНОСТЬ</x:v>
      </x:c>
      <x:c r="G119" s="658" t="str">
        <x:v>Почти корректно; небольшая техническая неполнота в «SQLX-10».</x:v>
      </x:c>
    </x:row>
    <x:row r="120">
      <x:c r="A120" s="655" t="str">
        <x:v>Qwen 3.6 35b a3b HauhauCS</x:v>
      </x:c>
      <x:c r="B120" s="656" t="str">
        <x:v>thinking</x:v>
      </x:c>
      <x:c r="C120" s="656" t="str">
        <x:v>SQLX-11</x:v>
      </x:c>
      <x:c r="D120" s="656" t="str">
        <x:v>CONSTRAINTS / DATA MODEL</x:v>
      </x:c>
      <x:c r="E120" s="657" t="n">
        <x:v>90</x:v>
      </x:c>
      <x:c r="F120" s="656" t="str">
        <x:v>НЕБОЛЬШАЯ/СРЕДНЯЯ НЕТОЧНОСТЬ</x:v>
      </x:c>
      <x:c r="G120" s="658" t="str">
        <x:v>Почти корректно; небольшая техническая неполнота в «SQLX-11».</x:v>
      </x:c>
    </x:row>
    <x:row r="121">
      <x:c r="A121" s="659" t="str">
        <x:v>Qwen 3.6 35b a3b HauhauCS</x:v>
      </x:c>
      <x:c r="B121" s="660" t="str">
        <x:v>thinking</x:v>
      </x:c>
      <x:c r="C121" s="660" t="str">
        <x:v>SQLX-12</x:v>
      </x:c>
      <x:c r="D121" s="660" t="str">
        <x:v>CONSTRAINTS / DATA MODEL</x:v>
      </x:c>
      <x:c r="E121" s="661" t="n">
        <x:v>90</x:v>
      </x:c>
      <x:c r="F121" s="660" t="str">
        <x:v>НЕБОЛЬШАЯ/СРЕДНЯЯ НЕТОЧНОСТЬ</x:v>
      </x:c>
      <x:c r="G121" s="662" t="str">
        <x:v>Constraint в целом корректен, но закрытые границы [] запрещают смежные бронирования end=start; типичный booking interval — [).</x:v>
      </x:c>
    </x:row>
    <x:row r="122">
      <x:c r="A122" s="655" t="str">
        <x:v>Qwen 3.6 35b a3b HauhauCS</x:v>
      </x:c>
      <x:c r="B122" s="656" t="str">
        <x:v>thinking</x:v>
      </x:c>
      <x:c r="C122" s="656" t="str">
        <x:v>SQLX-15</x:v>
      </x:c>
      <x:c r="D122" s="656" t="str">
        <x:v>ADVANCED SQL</x:v>
      </x:c>
      <x:c r="E122" s="657" t="n">
        <x:v>70</x:v>
      </x:c>
      <x:c r="F122" s="656" t="str">
        <x:v>СРЕДНЯЯ НЕТОЧНОСТЬ</x:v>
      </x:c>
      <x:c r="G122" s="658" t="str">
        <x:v>ctid не является устойчивым детерминированным бизнес tie-breaker и может меняться после UPDATE/VACUUM FULL.</x:v>
      </x:c>
    </x:row>
    <x:row r="123">
      <x:c r="A123" s="655" t="str">
        <x:v>Qwen 3.6 35b a3b HauhauCS</x:v>
      </x:c>
      <x:c r="B123" s="656" t="str">
        <x:v>thinking</x:v>
      </x:c>
      <x:c r="C123" s="656" t="str">
        <x:v>SQLX-17</x:v>
      </x:c>
      <x:c r="D123" s="656" t="str">
        <x:v>ADVANCED SQL</x:v>
      </x:c>
      <x:c r="E123" s="657" t="n">
        <x:v>80</x:v>
      </x:c>
      <x:c r="F123" s="656" t="str">
        <x:v>НЕБОЛЬШАЯ/СРЕДНЯЯ НЕТОЧНОСТЬ</x:v>
      </x:c>
      <x:c r="G123" s="658" t="str">
        <x:v>ROW_NUMBER без дополнительного unique tie-breaker не является детерминированным при одинаковом total_cents.</x:v>
      </x:c>
    </x:row>
    <x:row r="124">
      <x:c r="A124" s="655" t="str">
        <x:v>Qwen 3.6 35b a3b HauhauCS</x:v>
      </x:c>
      <x:c r="B124" s="656" t="str">
        <x:v>thinking</x:v>
      </x:c>
      <x:c r="C124" s="656" t="str">
        <x:v>SQLX-18</x:v>
      </x:c>
      <x:c r="D124" s="656" t="str">
        <x:v>ADVANCED SQL</x:v>
      </x:c>
      <x:c r="E124" s="657" t="n">
        <x:v>80</x:v>
      </x:c>
      <x:c r="F124" s="656" t="str">
        <x:v>НЕБОЛЬШАЯ/СРЕДНЯЯ НЕТОЧНОСТЬ</x:v>
      </x:c>
      <x:c r="G124" s="658" t="str">
        <x:v>Partition только по aggregate_id может смешать одинаковые aggregate_id разных tenants; нужен tenant_id.</x:v>
      </x:c>
    </x:row>
    <x:row r="125">
      <x:c r="A125" s="655" t="str">
        <x:v>Qwen 3.6 35b a3b HauhauCS</x:v>
      </x:c>
      <x:c r="B125" s="656" t="str">
        <x:v>thinking</x:v>
      </x:c>
      <x:c r="C125" s="656" t="str">
        <x:v>SQLX-20</x:v>
      </x:c>
      <x:c r="D125" s="656" t="str">
        <x:v>OUTBOX / QUEUES / CONCURRENCY</x:v>
      </x:c>
      <x:c r="E125" s="657" t="n">
        <x:v>40</x:v>
      </x:c>
      <x:c r="F125" s="656" t="str">
        <x:v>ЗАМЕТНАЯ ОШИБКА</x:v>
      </x:c>
      <x:c r="G125" s="658" t="str">
        <x:v>SQL выставляет published_at до broker send, несмотря на текст «после ACK»; это создаёт потерю события при crash/send failure.</x:v>
      </x:c>
    </x:row>
    <x:row r="126">
      <x:c r="A126" s="655" t="str">
        <x:v>Qwen 3.6 35b a3b HauhauCS</x:v>
      </x:c>
      <x:c r="B126" s="656" t="str">
        <x:v>thinking</x:v>
      </x:c>
      <x:c r="C126" s="656" t="str">
        <x:v>SQLX-23</x:v>
      </x:c>
      <x:c r="D126" s="656" t="str">
        <x:v>PERFORMANCE / PLANNER / MAINTENANCE</x:v>
      </x:c>
      <x:c r="E126" s="657" t="n">
        <x:v>90</x:v>
      </x:c>
      <x:c r="F126" s="656" t="str">
        <x:v>НЕБОЛЬШАЯ/СРЕДНЯЯ НЕТОЧНОСТЬ</x:v>
      </x:c>
      <x:c r="G126" s="658" t="str">
        <x:v>Generic/custom-plan mechanics и CREATE STATISTICS синтаксис описаны с неточностями.</x:v>
      </x:c>
    </x:row>
    <x:row r="127">
      <x:c r="A127" s="655" t="str">
        <x:v>Qwen 3.6 35b a3b HauhauCS</x:v>
      </x:c>
      <x:c r="B127" s="656" t="str">
        <x:v>thinking</x:v>
      </x:c>
      <x:c r="C127" s="656" t="str">
        <x:v>SQLX-24</x:v>
      </x:c>
      <x:c r="D127" s="656" t="str">
        <x:v>PERFORMANCE / PLANNER / MAINTENANCE</x:v>
      </x:c>
      <x:c r="E127" s="657" t="n">
        <x:v>80</x:v>
      </x:c>
      <x:c r="F127" s="656" t="str">
        <x:v>НЕБОЛЬШАЯ/СРЕДНЯЯ НЕТОЧНОСТЬ</x:v>
      </x:c>
      <x:c r="G127" s="658" t="str">
        <x:v>`SELECT *` не включает системные ctid/xmin/xmax; основной смысл covering index верен.</x:v>
      </x:c>
    </x:row>
    <x:row r="128">
      <x:c r="A128" s="655" t="str">
        <x:v>Qwen 3.6 35b a3b HauhauCS</x:v>
      </x:c>
      <x:c r="B128" s="656" t="str">
        <x:v>thinking</x:v>
      </x:c>
      <x:c r="C128" s="656" t="str">
        <x:v>SQLX-25</x:v>
      </x:c>
      <x:c r="D128" s="656" t="str">
        <x:v>PERFORMANCE / PLANNER / MAINTENANCE</x:v>
      </x:c>
      <x:c r="E128" s="657" t="n">
        <x:v>90</x:v>
      </x:c>
      <x:c r="F128" s="656" t="str">
        <x:v>НЕБОЛЬШАЯ/СРЕДНЯЯ НЕТОЧНОСТЬ</x:v>
      </x:c>
      <x:c r="G128" s="658" t="str">
        <x:v>Почти корректно; небольшая техническая неполнота в «SQLX-25».</x:v>
      </x:c>
    </x:row>
    <x:row r="129">
      <x:c r="A129" s="655" t="str">
        <x:v>Qwen 3.6 35b a3b HauhauCS</x:v>
      </x:c>
      <x:c r="B129" s="656" t="str">
        <x:v>thinking</x:v>
      </x:c>
      <x:c r="C129" s="656" t="str">
        <x:v>SQLX-26</x:v>
      </x:c>
      <x:c r="D129" s="656" t="str">
        <x:v>PERFORMANCE / PLANNER / MAINTENANCE</x:v>
      </x:c>
      <x:c r="E129" s="657" t="n">
        <x:v>90</x:v>
      </x:c>
      <x:c r="F129" s="656" t="str">
        <x:v>НЕБОЛЬШАЯ/СРЕДНЯЯ НЕТОЧНОСТЬ</x:v>
      </x:c>
      <x:c r="G129" s="658" t="str">
        <x:v>vacuum_count ошибочно приписан pg_stat_database; метрика находится на table-level statistics.</x:v>
      </x:c>
    </x:row>
    <x:row r="130">
      <x:c r="A130" s="655" t="str">
        <x:v>Qwen 3.6 35b a3b HauhauCS</x:v>
      </x:c>
      <x:c r="B130" s="656" t="str">
        <x:v>thinking</x:v>
      </x:c>
      <x:c r="C130" s="656" t="str">
        <x:v>SQLX-27</x:v>
      </x:c>
      <x:c r="D130" s="656" t="str">
        <x:v>PERFORMANCE / PLANNER / MAINTENANCE</x:v>
      </x:c>
      <x:c r="E130" s="657" t="n">
        <x:v>30</x:v>
      </x:c>
      <x:c r="F130" s="656" t="str">
        <x:v>СУЩЕСТВЕННО</x:v>
      </x:c>
      <x:c r="G130" s="658" t="str">
        <x:v>Критические фактические ошибки: обычный CREATE INDEX не берёт AccessExclusiveLock, CONCURRENTLY нельзя выполнять внутри transaction block, unique concurrent index допустим.</x:v>
      </x:c>
    </x:row>
    <x:row r="131">
      <x:c r="A131" s="655" t="str">
        <x:v>Qwen 3.6 35b a3b HauhauCS</x:v>
      </x:c>
      <x:c r="B131" s="656" t="str">
        <x:v>thinking</x:v>
      </x:c>
      <x:c r="C131" s="656" t="str">
        <x:v>SQLX-28</x:v>
      </x:c>
      <x:c r="D131" s="656" t="str">
        <x:v>MIGRATIONS / RLS / RELIABILITY</x:v>
      </x:c>
      <x:c r="E131" s="657" t="n">
        <x:v>60</x:v>
      </x:c>
      <x:c r="F131" s="656" t="str">
        <x:v>СРЕДНЯЯ НЕТОЧНОСТЬ</x:v>
      </x:c>
      <x:c r="G131" s="658" t="str">
        <x:v>CHECK добавлен без NOT VALID — на 1.5 млрд строк сразу потребуется полная проверка, нарушая заданный online sequence.</x:v>
      </x:c>
    </x:row>
    <x:row r="132">
      <x:c r="A132" s="655" t="str">
        <x:v>Qwen 3.6 35b a3b HauhauCS</x:v>
      </x:c>
      <x:c r="B132" s="656" t="str">
        <x:v>thinking</x:v>
      </x:c>
      <x:c r="C132" s="656" t="str">
        <x:v>SQLX-29</x:v>
      </x:c>
      <x:c r="D132" s="656" t="str">
        <x:v>MIGRATIONS / RLS / RELIABILITY</x:v>
      </x:c>
      <x:c r="E132" s="657" t="n">
        <x:v>80</x:v>
      </x:c>
      <x:c r="F132" s="656" t="str">
        <x:v>НЕБОЛЬШАЯ/СРЕДНЯЯ НЕТОЧНОСТЬ</x:v>
      </x:c>
      <x:c r="G132" s="658" t="str">
        <x:v>Основная идея верна, но часть требований/edge cases в «SQLX-29» раскрыта неполно.</x:v>
      </x:c>
    </x:row>
    <x:row r="133">
      <x:c r="A133" s="655" t="str">
        <x:v>Qwen 3.6 35b a3b HauhauCS</x:v>
      </x:c>
      <x:c r="B133" s="656" t="str">
        <x:v>thinking</x:v>
      </x:c>
      <x:c r="C133" s="656" t="str">
        <x:v>SQLX-30</x:v>
      </x:c>
      <x:c r="D133" s="656" t="str">
        <x:v>MIGRATIONS / RLS / RELIABILITY</x:v>
      </x:c>
      <x:c r="E133" s="657" t="n">
        <x:v>60</x:v>
      </x:c>
      <x:c r="F133" s="656" t="str">
        <x:v>СРЕДНЯЯ НЕТОЧНОСТЬ</x:v>
      </x:c>
      <x:c r="G133" s="658" t="str">
        <x:v>Предложены несуществующие/ненадёжные способы проверки replay через xmin/pg_last_committed_xact и SET LOCAL force-primary.</x:v>
      </x:c>
    </x:row>
    <x:row r="134">
      <x:c r="A134" s="655" t="str">
        <x:v>Qwen 3.6 35b a3b HauhauCS</x:v>
      </x:c>
      <x:c r="B134" s="656" t="str">
        <x:v>thinking</x:v>
      </x:c>
      <x:c r="C134" s="656" t="str">
        <x:v>SQLX-32</x:v>
      </x:c>
      <x:c r="D134" s="656" t="str">
        <x:v>LONG CONTEXT / SYSTEM DESIGN</x:v>
      </x:c>
      <x:c r="E134" s="657" t="n">
        <x:v>50</x:v>
      </x:c>
      <x:c r="F134" s="656" t="str">
        <x:v>ЗАМЕТНАЯ ОШИБКА</x:v>
      </x:c>
      <x:c r="G134" s="658" t="str">
        <x:v>SELECT ... FOR UPDATE стоит до BEGIN, hash mismatch реально не проверяется, а worker снова помечает outbox published до broker send.</x:v>
      </x:c>
    </x:row>
    <x:row r="135">
      <x:c r="A135" s="655" t="str">
        <x:v>gemma4-12b-qat-uncensored-hauhaucs-balanced</x:v>
      </x:c>
      <x:c r="B135" s="656" t="str">
        <x:v>thinking</x:v>
      </x:c>
      <x:c r="C135" s="656" t="str">
        <x:v>SQLX-2</x:v>
      </x:c>
      <x:c r="D135" s="656" t="str">
        <x:v>INDEXING / QUERY DESIGN</x:v>
      </x:c>
      <x:c r="E135" s="657" t="n">
        <x:v>80</x:v>
      </x:c>
      <x:c r="F135" s="656" t="str">
        <x:v>НЕБОЛЬШАЯ/СРЕДНЯЯ НЕТОЧНОСТЬ</x:v>
      </x:c>
      <x:c r="G135" s="658" t="str">
        <x:v>B-tree equality ordering снова чрезмерно объяснён селективностью первого поля; реальный trade-off сложнее.</x:v>
      </x:c>
    </x:row>
    <x:row r="136">
      <x:c r="A136" s="655" t="str">
        <x:v>gemma4-12b-qat-uncensored-hauhaucs-balanced</x:v>
      </x:c>
      <x:c r="B136" s="656" t="str">
        <x:v>thinking</x:v>
      </x:c>
      <x:c r="C136" s="656" t="str">
        <x:v>SQLX-5</x:v>
      </x:c>
      <x:c r="D136" s="656" t="str">
        <x:v>INDEXING / QUERY DESIGN</x:v>
      </x:c>
      <x:c r="E136" s="657" t="n">
        <x:v>90</x:v>
      </x:c>
      <x:c r="F136" s="656" t="str">
        <x:v>НЕБОЛЬШАЯ/СРЕДНЯЯ НЕТОЧНОСТЬ</x:v>
      </x:c>
      <x:c r="G136" s="658" t="str">
        <x:v>Почти корректно; небольшая техническая неполнота в «SQLX-5».</x:v>
      </x:c>
    </x:row>
    <x:row r="137">
      <x:c r="A137" s="655" t="str">
        <x:v>gemma4-12b-qat-uncensored-hauhaucs-balanced</x:v>
      </x:c>
      <x:c r="B137" s="656" t="str">
        <x:v>thinking</x:v>
      </x:c>
      <x:c r="C137" s="656" t="str">
        <x:v>SQLX-6</x:v>
      </x:c>
      <x:c r="D137" s="656" t="str">
        <x:v>TRANSACTIONS / LOCKS / MVCC</x:v>
      </x:c>
      <x:c r="E137" s="657" t="n">
        <x:v>90</x:v>
      </x:c>
      <x:c r="F137" s="656" t="str">
        <x:v>НЕБОЛЬШАЯ/СРЕДНЯЯ НЕТОЧНОСТЬ</x:v>
      </x:c>
      <x:c r="G137" s="658" t="str">
        <x:v>Почти корректно; небольшая техническая неполнота в «SQLX-6».</x:v>
      </x:c>
    </x:row>
    <x:row r="138">
      <x:c r="A138" s="655" t="str">
        <x:v>gemma4-12b-qat-uncensored-hauhaucs-balanced</x:v>
      </x:c>
      <x:c r="B138" s="656" t="str">
        <x:v>thinking</x:v>
      </x:c>
      <x:c r="C138" s="656" t="str">
        <x:v>SQLX-7</x:v>
      </x:c>
      <x:c r="D138" s="656" t="str">
        <x:v>TRANSACTIONS / LOCKS / MVCC</x:v>
      </x:c>
      <x:c r="E138" s="657" t="n">
        <x:v>80</x:v>
      </x:c>
      <x:c r="F138" s="656" t="str">
        <x:v>НЕБОЛЬШАЯ/СРЕДНЯЯ НЕТОЧНОСТЬ</x:v>
      </x:c>
      <x:c r="G138" s="658" t="str">
        <x:v>REPEATABLE READ особенности неполны: write skew не назван, а serialization failure подан как основная аномалия.</x:v>
      </x:c>
    </x:row>
    <x:row r="139">
      <x:c r="A139" s="655" t="str">
        <x:v>gemma4-12b-qat-uncensored-hauhaucs-balanced</x:v>
      </x:c>
      <x:c r="B139" s="656" t="str">
        <x:v>thinking</x:v>
      </x:c>
      <x:c r="C139" s="656" t="str">
        <x:v>SQLX-8</x:v>
      </x:c>
      <x:c r="D139" s="656" t="str">
        <x:v>TRANSACTIONS / LOCKS / MVCC</x:v>
      </x:c>
      <x:c r="E139" s="657" t="n">
        <x:v>80</x:v>
      </x:c>
      <x:c r="F139" s="656" t="str">
        <x:v>НЕБОЛЬШАЯ/СРЕДНЯЯ НЕТОЧНОСТЬ</x:v>
      </x:c>
      <x:c r="G139" s="658" t="str">
        <x:v>Основная идея верна, но часть требований/edge cases в «SQLX-8» раскрыта неполно.</x:v>
      </x:c>
    </x:row>
    <x:row r="140">
      <x:c r="A140" s="655" t="str">
        <x:v>gemma4-12b-qat-uncensored-hauhaucs-balanced</x:v>
      </x:c>
      <x:c r="B140" s="656" t="str">
        <x:v>thinking</x:v>
      </x:c>
      <x:c r="C140" s="656" t="str">
        <x:v>SQLX-9</x:v>
      </x:c>
      <x:c r="D140" s="656" t="str">
        <x:v>TRANSACTIONS / LOCKS / MVCC</x:v>
      </x:c>
      <x:c r="E140" s="657" t="n">
        <x:v>70</x:v>
      </x:c>
      <x:c r="F140" s="656" t="str">
        <x:v>СРЕДНЯЯ НЕТОЧНОСТЬ</x:v>
      </x:c>
      <x:c r="G140" s="658" t="str">
        <x:v>Пример write skew слабый и объяснение через «блокирует изменённые строки» не описывает snapshot isolation/SSI точно.</x:v>
      </x:c>
    </x:row>
    <x:row r="141">
      <x:c r="A141" s="655" t="str">
        <x:v>gemma4-12b-qat-uncensored-hauhaucs-balanced</x:v>
      </x:c>
      <x:c r="B141" s="656" t="str">
        <x:v>thinking</x:v>
      </x:c>
      <x:c r="C141" s="656" t="str">
        <x:v>SQLX-11</x:v>
      </x:c>
      <x:c r="D141" s="656" t="str">
        <x:v>CONSTRAINTS / DATA MODEL</x:v>
      </x:c>
      <x:c r="E141" s="657" t="n">
        <x:v>80</x:v>
      </x:c>
      <x:c r="F141" s="656" t="str">
        <x:v>НЕБОЛЬШАЯ/СРЕДНЯЯ НЕТОЧНОСТЬ</x:v>
      </x:c>
      <x:c r="G141" s="658" t="str">
        <x:v>Основная идея верна, но часть требований/edge cases в «SQLX-11» раскрыта неполно.</x:v>
      </x:c>
    </x:row>
    <x:row r="142">
      <x:c r="A142" s="655" t="str">
        <x:v>gemma4-12b-qat-uncensored-hauhaucs-balanced</x:v>
      </x:c>
      <x:c r="B142" s="656" t="str">
        <x:v>thinking</x:v>
      </x:c>
      <x:c r="C142" s="656" t="str">
        <x:v>SQLX-12</x:v>
      </x:c>
      <x:c r="D142" s="656" t="str">
        <x:v>CONSTRAINTS / DATA MODEL</x:v>
      </x:c>
      <x:c r="E142" s="657" t="n">
        <x:v>90</x:v>
      </x:c>
      <x:c r="F142" s="656" t="str">
        <x:v>НЕБОЛЬШАЯ/СРЕДНЯЯ НЕТОЧНОСТЬ</x:v>
      </x:c>
      <x:c r="G142" s="658" t="str">
        <x:v>Exclusion constraint хорош концептуально, но `tsrange` может быть неверным, если времена timestamptz; тип данных не оговорён.</x:v>
      </x:c>
    </x:row>
    <x:row r="143">
      <x:c r="A143" s="655" t="str">
        <x:v>gemma4-12b-qat-uncensored-hauhaucs-balanced</x:v>
      </x:c>
      <x:c r="B143" s="656" t="str">
        <x:v>thinking</x:v>
      </x:c>
      <x:c r="C143" s="656" t="str">
        <x:v>SQLX-13</x:v>
      </x:c>
      <x:c r="D143" s="656" t="str">
        <x:v>CONSTRAINTS / DATA MODEL</x:v>
      </x:c>
      <x:c r="E143" s="657" t="n">
        <x:v>80</x:v>
      </x:c>
      <x:c r="F143" s="656" t="str">
        <x:v>НЕБОЛЬШАЯ/СРЕДНЯЯ НЕТОЧНОСТЬ</x:v>
      </x:c>
      <x:c r="G143" s="658" t="str">
        <x:v>Основная идея верна, но часть требований/edge cases в «SQLX-13» раскрыта неполно.</x:v>
      </x:c>
    </x:row>
    <x:row r="144">
      <x:c r="A144" s="655" t="str">
        <x:v>gemma4-12b-qat-uncensored-hauhaucs-balanced</x:v>
      </x:c>
      <x:c r="B144" s="656" t="str">
        <x:v>thinking</x:v>
      </x:c>
      <x:c r="C144" s="656" t="str">
        <x:v>SQLX-14</x:v>
      </x:c>
      <x:c r="D144" s="656" t="str">
        <x:v>CONSTRAINTS / DATA MODEL</x:v>
      </x:c>
      <x:c r="E144" s="657" t="n">
        <x:v>90</x:v>
      </x:c>
      <x:c r="F144" s="656" t="str">
        <x:v>НЕБОЛЬШАЯ/СРЕДНЯЯ НЕТОЧНОСТЬ</x:v>
      </x:c>
      <x:c r="G144" s="658" t="str">
        <x:v>Почти корректно; небольшая техническая неполнота в «SQLX-14».</x:v>
      </x:c>
    </x:row>
    <x:row r="145">
      <x:c r="A145" s="655" t="str">
        <x:v>gemma4-12b-qat-uncensored-hauhaucs-balanced</x:v>
      </x:c>
      <x:c r="B145" s="656" t="str">
        <x:v>thinking</x:v>
      </x:c>
      <x:c r="C145" s="656" t="str">
        <x:v>SQLX-15</x:v>
      </x:c>
      <x:c r="D145" s="656" t="str">
        <x:v>ADVANCED SQL</x:v>
      </x:c>
      <x:c r="E145" s="657" t="n">
        <x:v>90</x:v>
      </x:c>
      <x:c r="F145" s="656" t="str">
        <x:v>НЕБОЛЬШАЯ/СРЕДНЯЯ НЕТОЧНОСТЬ</x:v>
      </x:c>
      <x:c r="G145" s="658" t="str">
        <x:v>Почти корректно; небольшая техническая неполнота в «SQLX-15».</x:v>
      </x:c>
    </x:row>
    <x:row r="146">
      <x:c r="A146" s="655" t="str">
        <x:v>gemma4-12b-qat-uncensored-hauhaucs-balanced</x:v>
      </x:c>
      <x:c r="B146" s="656" t="str">
        <x:v>thinking</x:v>
      </x:c>
      <x:c r="C146" s="656" t="str">
        <x:v>SQLX-16</x:v>
      </x:c>
      <x:c r="D146" s="656" t="str">
        <x:v>ADVANCED SQL</x:v>
      </x:c>
      <x:c r="E146" s="657" t="n">
        <x:v>50</x:v>
      </x:c>
      <x:c r="F146" s="656" t="str">
        <x:v>ЗАМЕТНАЯ ОШИБКА</x:v>
      </x:c>
      <x:c r="G146" s="658" t="str">
        <x:v>Recursive CTE стартует с детей `$root`, не включает root и использует выдуманный/неполный CYCLE syntax вместо реального cycle guard.</x:v>
      </x:c>
    </x:row>
    <x:row r="147">
      <x:c r="A147" s="655" t="str">
        <x:v>gemma4-12b-qat-uncensored-hauhaucs-balanced</x:v>
      </x:c>
      <x:c r="B147" s="656" t="str">
        <x:v>thinking</x:v>
      </x:c>
      <x:c r="C147" s="656" t="str">
        <x:v>SQLX-17</x:v>
      </x:c>
      <x:c r="D147" s="656" t="str">
        <x:v>ADVANCED SQL</x:v>
      </x:c>
      <x:c r="E147" s="657" t="n">
        <x:v>90</x:v>
      </x:c>
      <x:c r="F147" s="656" t="str">
        <x:v>НЕБОЛЬШАЯ/СРЕДНЯЯ НЕТОЧНОСТЬ</x:v>
      </x:c>
      <x:c r="G147" s="658" t="str">
        <x:v>Почти корректно; небольшая техническая неполнота в «SQLX-17».</x:v>
      </x:c>
    </x:row>
    <x:row r="148">
      <x:c r="A148" s="655" t="str">
        <x:v>gemma4-12b-qat-uncensored-hauhaucs-balanced</x:v>
      </x:c>
      <x:c r="B148" s="656" t="str">
        <x:v>thinking</x:v>
      </x:c>
      <x:c r="C148" s="656" t="str">
        <x:v>SQLX-18</x:v>
      </x:c>
      <x:c r="D148" s="656" t="str">
        <x:v>ADVANCED SQL</x:v>
      </x:c>
      <x:c r="E148" s="657" t="n">
        <x:v>0</x:v>
      </x:c>
      <x:c r="F148" s="656" t="str">
        <x:v>КРИТИЧЕСКАЯ ОШИБКА</x:v>
      </x:c>
      <x:c r="G148" s="658" t="str">
        <x:v>Критический провал: используется `generate_series`, прямо запрещённый условием; сам LEFT JOIN также не возвращает отсутствующие seq.</x:v>
      </x:c>
    </x:row>
    <x:row r="149">
      <x:c r="A149" s="655" t="str">
        <x:v>gemma4-12b-qat-uncensored-hauhaucs-balanced</x:v>
      </x:c>
      <x:c r="B149" s="656" t="str">
        <x:v>thinking</x:v>
      </x:c>
      <x:c r="C149" s="656" t="str">
        <x:v>SQLX-20</x:v>
      </x:c>
      <x:c r="D149" s="656" t="str">
        <x:v>OUTBOX / QUEUES / CONCURRENCY</x:v>
      </x:c>
      <x:c r="E149" s="657" t="n">
        <x:v>60</x:v>
      </x:c>
      <x:c r="F149" s="656" t="str">
        <x:v>СРЕДНЯЯ НЕТОЧНОСТЬ</x:v>
      </x:c>
      <x:c r="G149" s="658" t="str">
        <x:v>Pending query сортируется по `published_at`, который у pending обычно NULL; момент mark-as-published и crash window не закрыты.</x:v>
      </x:c>
    </x:row>
    <x:row r="150">
      <x:c r="A150" s="655" t="str">
        <x:v>gemma4-12b-qat-uncensored-hauhaucs-balanced</x:v>
      </x:c>
      <x:c r="B150" s="656" t="str">
        <x:v>thinking</x:v>
      </x:c>
      <x:c r="C150" s="656" t="str">
        <x:v>SQLX-21</x:v>
      </x:c>
      <x:c r="D150" s="656" t="str">
        <x:v>OUTBOX / QUEUES / CONCURRENCY</x:v>
      </x:c>
      <x:c r="E150" s="657" t="n">
        <x:v>80</x:v>
      </x:c>
      <x:c r="F150" s="656" t="str">
        <x:v>НЕБОЛЬШАЯ/СРЕДНЯЯ НЕТОЧНОСТЬ</x:v>
      </x:c>
      <x:c r="G150" s="658" t="str">
        <x:v>Основная идея верна, но часть требований/edge cases в «SQLX-21» раскрыта неполно.</x:v>
      </x:c>
    </x:row>
    <x:row r="151">
      <x:c r="A151" s="655" t="str">
        <x:v>gemma4-12b-qat-uncensored-hauhaucs-balanced</x:v>
      </x:c>
      <x:c r="B151" s="656" t="str">
        <x:v>thinking</x:v>
      </x:c>
      <x:c r="C151" s="656" t="str">
        <x:v>SQLX-23</x:v>
      </x:c>
      <x:c r="D151" s="656" t="str">
        <x:v>PERFORMANCE / PLANNER / MAINTENANCE</x:v>
      </x:c>
      <x:c r="E151" s="657" t="n">
        <x:v>90</x:v>
      </x:c>
      <x:c r="F151" s="656" t="str">
        <x:v>НЕБОЛЬШАЯ/СРЕДНЯЯ НЕТОЧНОСТЬ</x:v>
      </x:c>
      <x:c r="G151" s="658" t="str">
        <x:v>Почти корректно; небольшая техническая неполнота в «SQLX-23».</x:v>
      </x:c>
    </x:row>
    <x:row r="152">
      <x:c r="A152" s="655" t="str">
        <x:v>gemma4-12b-qat-uncensored-hauhaucs-balanced</x:v>
      </x:c>
      <x:c r="B152" s="656" t="str">
        <x:v>thinking</x:v>
      </x:c>
      <x:c r="C152" s="656" t="str">
        <x:v>SQLX-26</x:v>
      </x:c>
      <x:c r="D152" s="656" t="str">
        <x:v>PERFORMANCE / PLANNER / MAINTENANCE</x:v>
      </x:c>
      <x:c r="E152" s="657" t="n">
        <x:v>50</x:v>
      </x:c>
      <x:c r="F152" s="656" t="str">
        <x:v>ЗАМЕТНАЯ ОШИБКА</x:v>
      </x:c>
      <x:c r="G152" s="658" t="str">
        <x:v>`autovacuum_skip_count` не является стандартной полезной метрикой pg_stat_user_tables; диагностика hot table слишком узкая.</x:v>
      </x:c>
    </x:row>
    <x:row r="153">
      <x:c r="A153" s="655" t="str">
        <x:v>gemma4-12b-qat-uncensored-hauhaucs-balanced</x:v>
      </x:c>
      <x:c r="B153" s="656" t="str">
        <x:v>thinking</x:v>
      </x:c>
      <x:c r="C153" s="656" t="str">
        <x:v>SQLX-27</x:v>
      </x:c>
      <x:c r="D153" s="656" t="str">
        <x:v>PERFORMANCE / PLANNER / MAINTENANCE</x:v>
      </x:c>
      <x:c r="E153" s="657" t="n">
        <x:v>60</x:v>
      </x:c>
      <x:c r="F153" s="656" t="str">
        <x:v>СРЕДНЯЯ НЕТОЧНОСТЬ</x:v>
      </x:c>
      <x:c r="G153" s="658" t="str">
        <x:v>Ошибочно сказано, что обычный CREATE INDEX блокирует чтение; он блокирует writes, но SELECT обычно допускается.</x:v>
      </x:c>
    </x:row>
    <x:row r="154">
      <x:c r="A154" s="655" t="str">
        <x:v>gemma4-12b-qat-uncensored-hauhaucs-balanced</x:v>
      </x:c>
      <x:c r="B154" s="656" t="str">
        <x:v>thinking</x:v>
      </x:c>
      <x:c r="C154" s="656" t="str">
        <x:v>SQLX-28</x:v>
      </x:c>
      <x:c r="D154" s="656" t="str">
        <x:v>MIGRATIONS / RLS / RELIABILITY</x:v>
      </x:c>
      <x:c r="E154" s="657" t="n">
        <x:v>80</x:v>
      </x:c>
      <x:c r="F154" s="656" t="str">
        <x:v>НЕБОЛЬШАЯ/СРЕДНЯЯ НЕТОЧНОСТЬ</x:v>
      </x:c>
      <x:c r="G154" s="658" t="str">
        <x:v>Основная идея верна, но часть требований/edge cases в «SQLX-28» раскрыта неполно.</x:v>
      </x:c>
    </x:row>
    <x:row r="155">
      <x:c r="A155" s="655" t="str">
        <x:v>gemma4-12b-qat-uncensored-hauhaucs-balanced</x:v>
      </x:c>
      <x:c r="B155" s="656" t="str">
        <x:v>thinking</x:v>
      </x:c>
      <x:c r="C155" s="656" t="str">
        <x:v>SQLX-29</x:v>
      </x:c>
      <x:c r="D155" s="656" t="str">
        <x:v>MIGRATIONS / RLS / RELIABILITY</x:v>
      </x:c>
      <x:c r="E155" s="657" t="n">
        <x:v>90</x:v>
      </x:c>
      <x:c r="F155" s="656" t="str">
        <x:v>НЕБОЛЬШАЯ/СРЕДНЯЯ НЕТОЧНОСТЬ</x:v>
      </x:c>
      <x:c r="G155" s="658" t="str">
        <x:v>Почти корректно; небольшая техническая неполнота в «SQLX-29».</x:v>
      </x:c>
    </x:row>
    <x:row r="156">
      <x:c r="A156" s="655" t="str">
        <x:v>gemma4-12b-qat-uncensored-hauhaucs-balanced</x:v>
      </x:c>
      <x:c r="B156" s="656" t="str">
        <x:v>thinking</x:v>
      </x:c>
      <x:c r="C156" s="656" t="str">
        <x:v>SQLX-32</x:v>
      </x:c>
      <x:c r="D156" s="656" t="str">
        <x:v>LONG CONTEXT / SYSTEM DESIGN</x:v>
      </x:c>
      <x:c r="E156" s="657" t="n">
        <x:v>50</x:v>
      </x:c>
      <x:c r="F156" s="656" t="str">
        <x:v>ЗАМЕТНАЯ ОШИБКА</x:v>
      </x:c>
      <x:c r="G156" s="658" t="str">
        <x:v>Слишком неполный payment design: нет request-hash mismatch, state transitions, concurrent duplicate response/retry/audit invariants.</x:v>
      </x:c>
    </x:row>
    <x:row r="157">
      <x:c r="A157" s="655" t="str">
        <x:v>Qwen 3.8 27b</x:v>
      </x:c>
      <x:c r="B157" s="656" t="str">
        <x:v>без thinking</x:v>
      </x:c>
      <x:c r="C157" s="656" t="str">
        <x:v>SQLX-1</x:v>
      </x:c>
      <x:c r="D157" s="656" t="str">
        <x:v>INDEXING / QUERY DESIGN</x:v>
      </x:c>
      <x:c r="E157" s="657" t="n">
        <x:v>95</x:v>
      </x:c>
      <x:c r="F157" s="656" t="str">
        <x:v>НЕБОЛЬШАЯ НЕТОЧНОСТЬ</x:v>
      </x:c>
      <x:c r="G157" s="658" t="str">
        <x:v>Индекс правильный; отдельные утверждения о необходимости DESC и стоимости INCLUDE слишком категоричны.</x:v>
      </x:c>
    </x:row>
    <x:row r="158">
      <x:c r="A158" s="655" t="str">
        <x:v>Qwen 3.8 27b</x:v>
      </x:c>
      <x:c r="B158" s="656" t="str">
        <x:v>без thinking</x:v>
      </x:c>
      <x:c r="C158" s="656" t="str">
        <x:v>SQLX-2</x:v>
      </x:c>
      <x:c r="D158" s="656" t="str">
        <x:v>INDEXING / QUERY DESIGN</x:v>
      </x:c>
      <x:c r="E158" s="657" t="n">
        <x:v>50</x:v>
      </x:c>
      <x:c r="F158" s="656" t="str">
        <x:v>ЗАМЕТНАЯ ОШИБКА</x:v>
      </x:c>
      <x:c r="G158" s="658" t="str">
        <x:v>Фактическая ошибка: при equality по `status` и `tenant_id` B-tree может использовать оба leading predicates. Индекс `(status,tenant_id,...)` не обязан сканировать все `paid` строки.</x:v>
      </x:c>
    </x:row>
    <x:row r="159">
      <x:c r="A159" s="655" t="str">
        <x:v>Qwen 3.8 27b</x:v>
      </x:c>
      <x:c r="B159" s="656" t="str">
        <x:v>без thinking</x:v>
      </x:c>
      <x:c r="C159" s="656" t="str">
        <x:v>SQLX-5</x:v>
      </x:c>
      <x:c r="D159" s="656" t="str">
        <x:v>INDEXING / QUERY DESIGN</x:v>
      </x:c>
      <x:c r="E159" s="657" t="n">
        <x:v>80</x:v>
      </x:c>
      <x:c r="F159" s="656" t="str">
        <x:v>НЕБОЛЬШАЯ НЕТОЧНОСТЬ</x:v>
      </x:c>
      <x:c r="G159" s="658" t="str">
        <x:v>`jsonb_path_ops` в PostgreSQL 16 поддерживает не только `@&gt;`; ответ слишком ограничивает operator support.</x:v>
      </x:c>
    </x:row>
    <x:row r="160">
      <x:c r="A160" s="655" t="str">
        <x:v>Qwen 3.8 27b</x:v>
      </x:c>
      <x:c r="B160" s="656" t="str">
        <x:v>без thinking</x:v>
      </x:c>
      <x:c r="C160" s="656" t="str">
        <x:v>SQLX-6</x:v>
      </x:c>
      <x:c r="D160" s="656" t="str">
        <x:v>TRANSACTIONS / LOCKS / MVCC</x:v>
      </x:c>
      <x:c r="E160" s="657" t="n">
        <x:v>80</x:v>
      </x:c>
      <x:c r="F160" s="656" t="str">
        <x:v>НЕБОЛЬШАЯ НЕТОЧНОСТЬ</x:v>
      </x:c>
      <x:c r="G160" s="658" t="str">
        <x:v>Deadlock detection объяснён, но выбор victim не гарантирован как «транзакция, выполнившая меньше работы».</x:v>
      </x:c>
    </x:row>
    <x:row r="161">
      <x:c r="A161" s="655" t="str">
        <x:v>Qwen 3.8 27b</x:v>
      </x:c>
      <x:c r="B161" s="656" t="str">
        <x:v>без thinking</x:v>
      </x:c>
      <x:c r="C161" s="656" t="str">
        <x:v>SQLX-10</x:v>
      </x:c>
      <x:c r="D161" s="656" t="str">
        <x:v>TRANSACTIONS / LOCKS / MVCC</x:v>
      </x:c>
      <x:c r="E161" s="657" t="n">
        <x:v>70</x:v>
      </x:c>
      <x:c r="F161" s="656" t="str">
        <x:v>СРЕДНЯЯ НЕТОЧНОСТЬ</x:v>
      </x:c>
      <x:c r="G161" s="658" t="str">
        <x:v>MVCC суть верна, но обычный VACUUM не «переписывает живые строки»; он помечает освобождаемое пространство и обслуживает visibility/freeze.</x:v>
      </x:c>
    </x:row>
    <x:row r="162">
      <x:c r="A162" s="655" t="str">
        <x:v>Qwen 3.8 27b</x:v>
      </x:c>
      <x:c r="B162" s="656" t="str">
        <x:v>без thinking</x:v>
      </x:c>
      <x:c r="C162" s="656" t="str">
        <x:v>SQLX-11</x:v>
      </x:c>
      <x:c r="D162" s="656" t="str">
        <x:v>CONSTRAINTS / DATA MODEL</x:v>
      </x:c>
      <x:c r="E162" s="657" t="n">
        <x:v>90</x:v>
      </x:c>
      <x:c r="F162" s="656" t="str">
        <x:v>НЕБОЛЬШАЯ НЕТОЧНОСТЬ</x:v>
      </x:c>
      <x:c r="G162" s="658" t="str">
        <x:v>Schema сильная, но status не ограничен CHECK/enum, хотя это было частью задания.</x:v>
      </x:c>
    </x:row>
    <x:row r="163">
      <x:c r="A163" s="655" t="str">
        <x:v>Qwen 3.8 27b</x:v>
      </x:c>
      <x:c r="B163" s="656" t="str">
        <x:v>без thinking</x:v>
      </x:c>
      <x:c r="C163" s="656" t="str">
        <x:v>SQLX-12</x:v>
      </x:c>
      <x:c r="D163" s="656" t="str">
        <x:v>CONSTRAINTS / DATA MODEL</x:v>
      </x:c>
      <x:c r="E163" s="657" t="n">
        <x:v>20</x:v>
      </x:c>
      <x:c r="F163" s="656" t="str">
        <x:v>СУЩЕСТВЕННО</x:v>
      </x:c>
      <x:c r="G163" s="658" t="str">
        <x:v>Использован кастомный `RANGE(int)` вместо временного range type для периода бронирования; модель не связывает starts/ends и фактический time interval.</x:v>
      </x:c>
    </x:row>
    <x:row r="164">
      <x:c r="A164" s="655" t="str">
        <x:v>Qwen 3.8 27b</x:v>
      </x:c>
      <x:c r="B164" s="656" t="str">
        <x:v>без thinking</x:v>
      </x:c>
      <x:c r="C164" s="656" t="str">
        <x:v>SQLX-14</x:v>
      </x:c>
      <x:c r="D164" s="656" t="str">
        <x:v>CONSTRAINTS / DATA MODEL</x:v>
      </x:c>
      <x:c r="E164" s="657" t="n">
        <x:v>70</x:v>
      </x:c>
      <x:c r="F164" s="656" t="str">
        <x:v>СРЕДНЯЯ НЕТОЧНОСТЬ</x:v>
      </x:c>
      <x:c r="G164" s="658" t="str">
        <x:v>Soft delete не меняет FK semantics: FK продолжает ссылаться на физически существующую строку; `ON DELETE` не срабатывает при soft delete.</x:v>
      </x:c>
    </x:row>
    <x:row r="165">
      <x:c r="A165" s="655" t="str">
        <x:v>Qwen 3.8 27b</x:v>
      </x:c>
      <x:c r="B165" s="656" t="str">
        <x:v>без thinking</x:v>
      </x:c>
      <x:c r="C165" s="656" t="str">
        <x:v>SQLX-15</x:v>
      </x:c>
      <x:c r="D165" s="656" t="str">
        <x:v>ADVANCED SQL</x:v>
      </x:c>
      <x:c r="E165" s="657" t="n">
        <x:v>80</x:v>
      </x:c>
      <x:c r="F165" s="656" t="str">
        <x:v>НЕБОЛЬШАЯ НЕТОЧНОСТЬ</x:v>
      </x:c>
      <x:c r="G165" s="658" t="str">
        <x:v>Running balance не имеет устойчивого tie-breaker для одинакового created_at; в исходной схеме нет id, что нужно отдельно оговорить.</x:v>
      </x:c>
    </x:row>
    <x:row r="166">
      <x:c r="A166" s="655" t="str">
        <x:v>Qwen 3.8 27b</x:v>
      </x:c>
      <x:c r="B166" s="656" t="str">
        <x:v>без thinking</x:v>
      </x:c>
      <x:c r="C166" s="656" t="str">
        <x:v>SQLX-17</x:v>
      </x:c>
      <x:c r="D166" s="656" t="str">
        <x:v>ADVANCED SQL</x:v>
      </x:c>
      <x:c r="E166" s="657" t="n">
        <x:v>90</x:v>
      </x:c>
      <x:c r="F166" s="656" t="str">
        <x:v>НЕБОЛЬШАЯ НЕТОЧНОСТЬ</x:v>
      </x:c>
      <x:c r="G166" s="658" t="str">
        <x:v>Top-3 работает, но без tie-breaker порядок при равных total_cents недетерминирован.</x:v>
      </x:c>
    </x:row>
    <x:row r="167">
      <x:c r="A167" s="655" t="str">
        <x:v>Qwen 3.8 27b</x:v>
      </x:c>
      <x:c r="B167" s="656" t="str">
        <x:v>без thinking</x:v>
      </x:c>
      <x:c r="C167" s="656" t="str">
        <x:v>SQLX-18</x:v>
      </x:c>
      <x:c r="D167" s="656" t="str">
        <x:v>ADVANCED SQL</x:v>
      </x:c>
      <x:c r="E167" s="657" t="n">
        <x:v>20</x:v>
      </x:c>
      <x:c r="F167" s="656" t="str">
        <x:v>СУЩЕСТВЕННО</x:v>
      </x:c>
      <x:c r="G167" s="658" t="str">
        <x:v>Запрос фундаментально неверно помечает текущий `seq` как missing, если отсутствует `seq+1`; не возвращает сами пропущенные значения/диапазоны корректно.</x:v>
      </x:c>
    </x:row>
    <x:row r="168">
      <x:c r="A168" s="655" t="str">
        <x:v>Qwen 3.8 27b</x:v>
      </x:c>
      <x:c r="B168" s="656" t="str">
        <x:v>без thinking</x:v>
      </x:c>
      <x:c r="C168" s="656" t="str">
        <x:v>SQLX-20</x:v>
      </x:c>
      <x:c r="D168" s="656" t="str">
        <x:v>OUTBOX / QUEUES / CONCURRENCY</x:v>
      </x:c>
      <x:c r="E168" s="657" t="n">
        <x:v>70</x:v>
      </x:c>
      <x:c r="F168" s="656" t="str">
        <x:v>СРЕДНЯЯ НЕТОЧНОСТЬ</x:v>
      </x:c>
      <x:c r="G168" s="658" t="str">
        <x:v>Broker publish выполняется под открытой `FOR UPDATE` транзакцией и держит DB locks через network call; crash window остаётся at-least-once.</x:v>
      </x:c>
    </x:row>
    <x:row r="169">
      <x:c r="A169" s="659" t="str">
        <x:v>Qwen 3.8 27b</x:v>
      </x:c>
      <x:c r="B169" s="660" t="str">
        <x:v>без thinking</x:v>
      </x:c>
      <x:c r="C169" s="660" t="str">
        <x:v>SQLX-21</x:v>
      </x:c>
      <x:c r="D169" s="660" t="str">
        <x:v>OUTBOX / QUEUES / CONCURRENCY</x:v>
      </x:c>
      <x:c r="E169" s="661" t="n">
        <x:v>90</x:v>
      </x:c>
      <x:c r="F169" s="660" t="str">
        <x:v>НЕБОЛЬШАЯ НЕТОЧНОСТЬ</x:v>
      </x:c>
      <x:c r="G169" s="662" t="str">
        <x:v>Dedupe идея верна, но atomic consumer processing/event record раскрыты кратко.</x:v>
      </x:c>
    </x:row>
    <x:row r="170">
      <x:c r="A170" s="655" t="str">
        <x:v>Qwen 3.8 27b</x:v>
      </x:c>
      <x:c r="B170" s="656" t="str">
        <x:v>без thinking</x:v>
      </x:c>
      <x:c r="C170" s="656" t="str">
        <x:v>SQLX-22</x:v>
      </x:c>
      <x:c r="D170" s="656" t="str">
        <x:v>OUTBOX / QUEUES / CONCURRENCY</x:v>
      </x:c>
      <x:c r="E170" s="657" t="n">
        <x:v>80</x:v>
      </x:c>
      <x:c r="F170" s="656" t="str">
        <x:v>НЕБОЛЬШАЯ НЕТОЧНОСТЬ</x:v>
      </x:c>
      <x:c r="G170" s="658" t="str">
        <x:v>Partitioning — правильный путь, но DROP/DETACH всё равно требует locks/операционного планирования; утверждение «не блокирует» слишком абсолютное.</x:v>
      </x:c>
    </x:row>
    <x:row r="171">
      <x:c r="A171" s="655" t="str">
        <x:v>Qwen 3.8 27b</x:v>
      </x:c>
      <x:c r="B171" s="656" t="str">
        <x:v>без thinking</x:v>
      </x:c>
      <x:c r="C171" s="656" t="str">
        <x:v>SQLX-23</x:v>
      </x:c>
      <x:c r="D171" s="656" t="str">
        <x:v>PERFORMANCE / PLANNER / MAINTENANCE</x:v>
      </x:c>
      <x:c r="E171" s="657" t="n">
        <x:v>90</x:v>
      </x:c>
      <x:c r="F171" s="656" t="str">
        <x:v>НЕБОЛЬШАЯ НЕТОЧНОСТЬ</x:v>
      </x:c>
      <x:c r="G171" s="658" t="str">
        <x:v>Основные причины названы; correlations/extended stats/parameter planning детали можно раскрыть точнее.</x:v>
      </x:c>
    </x:row>
    <x:row r="172">
      <x:c r="A172" s="655" t="str">
        <x:v>Qwen 3.8 27b</x:v>
      </x:c>
      <x:c r="B172" s="656" t="str">
        <x:v>без thinking</x:v>
      </x:c>
      <x:c r="C172" s="656" t="str">
        <x:v>SQLX-24</x:v>
      </x:c>
      <x:c r="D172" s="656" t="str">
        <x:v>PERFORMANCE / PLANNER / MAINTENANCE</x:v>
      </x:c>
      <x:c r="E172" s="657" t="n">
        <x:v>90</x:v>
      </x:c>
      <x:c r="F172" s="656" t="str">
        <x:v>НЕБОЛЬШАЯ НЕТОЧНОСТЬ</x:v>
      </x:c>
      <x:c r="G172" s="658" t="str">
        <x:v>Index-only scan объяснён в целом верно; связь dead tuples/visibility map упрощена.</x:v>
      </x:c>
    </x:row>
    <x:row r="173">
      <x:c r="A173" s="655" t="str">
        <x:v>Qwen 3.8 27b</x:v>
      </x:c>
      <x:c r="B173" s="656" t="str">
        <x:v>без thinking</x:v>
      </x:c>
      <x:c r="C173" s="656" t="str">
        <x:v>SQLX-25</x:v>
      </x:c>
      <x:c r="D173" s="656" t="str">
        <x:v>PERFORMANCE / PLANNER / MAINTENANCE</x:v>
      </x:c>
      <x:c r="E173" s="657" t="n">
        <x:v>80</x:v>
      </x:c>
      <x:c r="F173" s="656" t="str">
        <x:v>НЕБОЛЬШАЯ НЕТОЧНОСТЬ</x:v>
      </x:c>
      <x:c r="G173" s="658" t="str">
        <x:v>Нормальный VACUUM не переписывает живые строки и не уменьшает heap file; формулировка частично неточна.</x:v>
      </x:c>
    </x:row>
    <x:row r="174">
      <x:c r="A174" s="655" t="str">
        <x:v>Qwen 3.8 27b</x:v>
      </x:c>
      <x:c r="B174" s="656" t="str">
        <x:v>без thinking</x:v>
      </x:c>
      <x:c r="C174" s="656" t="str">
        <x:v>SQLX-26</x:v>
      </x:c>
      <x:c r="D174" s="656" t="str">
        <x:v>PERFORMANCE / PLANNER / MAINTENANCE</x:v>
      </x:c>
      <x:c r="E174" s="657" t="n">
        <x:v>70</x:v>
      </x:c>
      <x:c r="F174" s="656" t="str">
        <x:v>СРЕДНЯЯ НЕТОЧНОСТЬ</x:v>
      </x:c>
      <x:c r="G174" s="658" t="str">
        <x:v>Список полезный, но `max_parallel_maintenance_workers` не решает autovacuum workers; не хватает freeze age, progress/worker saturation и table storage parameters.</x:v>
      </x:c>
    </x:row>
    <x:row r="175">
      <x:c r="A175" s="655" t="str">
        <x:v>Qwen 3.8 27b</x:v>
      </x:c>
      <x:c r="B175" s="656" t="str">
        <x:v>без thinking</x:v>
      </x:c>
      <x:c r="C175" s="656" t="str">
        <x:v>SQLX-27</x:v>
      </x:c>
      <x:c r="D175" s="656" t="str">
        <x:v>PERFORMANCE / PLANNER / MAINTENANCE</x:v>
      </x:c>
      <x:c r="E175" s="657" t="n">
        <x:v>60</x:v>
      </x:c>
      <x:c r="F175" s="656" t="str">
        <x:v>СРЕДНЯЯ НЕТОЧНОСТЬ</x:v>
      </x:c>
      <x:c r="G175" s="658" t="str">
        <x:v>Неверно указан lock mode обычного CREATE INDEX (`SHARE`, а не SHARE ROW EXCLUSIVE); ограничения CONCURRENTLY раскрыты частично.</x:v>
      </x:c>
    </x:row>
    <x:row r="176">
      <x:c r="A176" s="655" t="str">
        <x:v>Qwen 3.8 27b</x:v>
      </x:c>
      <x:c r="B176" s="656" t="str">
        <x:v>без thinking</x:v>
      </x:c>
      <x:c r="C176" s="656" t="str">
        <x:v>SQLX-28</x:v>
      </x:c>
      <x:c r="D176" s="656" t="str">
        <x:v>MIGRATIONS / RLS / RELIABILITY</x:v>
      </x:c>
      <x:c r="E176" s="657" t="n">
        <x:v>90</x:v>
      </x:c>
      <x:c r="F176" s="656" t="str">
        <x:v>НЕБОЛЬШАЯ НЕТОЧНОСТЬ</x:v>
      </x:c>
      <x:c r="G176" s="658" t="str">
        <x:v>Online sequence в целом правильный; final lock/backfill operational details сокращены.</x:v>
      </x:c>
    </x:row>
    <x:row r="177">
      <x:c r="A177" s="655" t="str">
        <x:v>Qwen 3.8 27b</x:v>
      </x:c>
      <x:c r="B177" s="656" t="str">
        <x:v>без thinking</x:v>
      </x:c>
      <x:c r="C177" s="656" t="str">
        <x:v>SQLX-30</x:v>
      </x:c>
      <x:c r="D177" s="656" t="str">
        <x:v>MIGRATIONS / RLS / RELIABILITY</x:v>
      </x:c>
      <x:c r="E177" s="657" t="n">
        <x:v>60</x:v>
      </x:c>
      <x:c r="F177" s="656" t="str">
        <x:v>СРЕДНЯЯ НЕТОЧНОСТЬ</x:v>
      </x:c>
      <x:c r="G177" s="658" t="str">
        <x:v>Read-your-writes идея верна, но предложенные LSN wait/replica функции сформулированы неточно для PostgreSQL 16.</x:v>
      </x:c>
    </x:row>
    <x:row r="178">
      <x:c r="A178" s="655" t="str">
        <x:v>Qwen 3.8 27b</x:v>
      </x:c>
      <x:c r="B178" s="656" t="str">
        <x:v>без thinking</x:v>
      </x:c>
      <x:c r="C178" s="656" t="str">
        <x:v>SQLX-32</x:v>
      </x:c>
      <x:c r="D178" s="656" t="str">
        <x:v>LONG CONTEXT / SYSTEM DESIGN</x:v>
      </x:c>
      <x:c r="E178" s="657" t="n">
        <x:v>75</x:v>
      </x:c>
      <x:c r="F178" s="656" t="str">
        <x:v>СРЕДНЯЯ НЕТОЧНОСТЬ</x:v>
      </x:c>
      <x:c r="G178" s="658" t="str">
        <x:v>Schema/idempotency/outbox направление верное, но status transitions, audit trail и external payment/retry recovery недостаточно полно формализованы.</x:v>
      </x:c>
    </x:row>
    <x:row r="179">
      <x:c r="A179" s="655" t="str">
        <x:v>Qwen 3.8 27b uncensored</x:v>
      </x:c>
      <x:c r="B179" s="656" t="str">
        <x:v>без thinking</x:v>
      </x:c>
      <x:c r="C179" s="656" t="str">
        <x:v>SQLX-1</x:v>
      </x:c>
      <x:c r="D179" s="656" t="str">
        <x:v>INDEXING / QUERY DESIGN</x:v>
      </x:c>
      <x:c r="E179" s="657" t="n">
        <x:v>90</x:v>
      </x:c>
      <x:c r="F179" s="656" t="str">
        <x:v>НЕБОЛЬШАЯ НЕТОЧНОСТЬ</x:v>
      </x:c>
      <x:c r="G179" s="658" t="str">
        <x:v>Индекс в целом подходящий, но primary key `id` не включается автоматически в отдельный B-tree index; для index-only `id` должен реально присутствовать в index key/INCLUDE.</x:v>
      </x:c>
    </x:row>
    <x:row r="180">
      <x:c r="A180" s="655" t="str">
        <x:v>Qwen 3.8 27b uncensored</x:v>
      </x:c>
      <x:c r="B180" s="656" t="str">
        <x:v>без thinking</x:v>
      </x:c>
      <x:c r="C180" s="656" t="str">
        <x:v>SQLX-2</x:v>
      </x:c>
      <x:c r="D180" s="656" t="str">
        <x:v>INDEXING / QUERY DESIGN</x:v>
      </x:c>
      <x:c r="E180" s="657" t="n">
        <x:v>50</x:v>
      </x:c>
      <x:c r="F180" s="656" t="str">
        <x:v>ЗАМЕТНАЯ ОШИБКА</x:v>
      </x:c>
      <x:c r="G180" s="658" t="str">
        <x:v>Фактическая ошибка: при equality по status и tenant_id PostgreSQL может использовать оба leading predicates; индекс не обязан сканировать весь paid-сегмент всех tenants.</x:v>
      </x:c>
    </x:row>
    <x:row r="181">
      <x:c r="A181" s="655" t="str">
        <x:v>Qwen 3.8 27b uncensored</x:v>
      </x:c>
      <x:c r="B181" s="656" t="str">
        <x:v>без thinking</x:v>
      </x:c>
      <x:c r="C181" s="656" t="str">
        <x:v>SQLX-4</x:v>
      </x:c>
      <x:c r="D181" s="656" t="str">
        <x:v>INDEXING / QUERY DESIGN</x:v>
      </x:c>
      <x:c r="E181" s="657" t="n">
        <x:v>90</x:v>
      </x:c>
      <x:c r="F181" s="656" t="str">
        <x:v>НЕБОЛЬШАЯ НЕТОЧНОСТЬ</x:v>
      </x:c>
      <x:c r="G181" s="658" t="str">
        <x:v>Почти корректно; небольшая техническая неполнота в SQLX-4.</x:v>
      </x:c>
    </x:row>
    <x:row r="182">
      <x:c r="A182" s="655" t="str">
        <x:v>Qwen 3.8 27b uncensored</x:v>
      </x:c>
      <x:c r="B182" s="656" t="str">
        <x:v>без thinking</x:v>
      </x:c>
      <x:c r="C182" s="656" t="str">
        <x:v>SQLX-5</x:v>
      </x:c>
      <x:c r="D182" s="656" t="str">
        <x:v>INDEXING / QUERY DESIGN</x:v>
      </x:c>
      <x:c r="E182" s="657" t="n">
        <x:v>70</x:v>
      </x:c>
      <x:c r="F182" s="656" t="str">
        <x:v>СРЕДНЯЯ НЕТОЧНОСТЬ</x:v>
      </x:c>
      <x:c r="G182" s="658" t="str">
        <x:v>`jsonb_path_ops` в PostgreSQL 16 поддерживает больше, чем только `@&gt;`; operator support описан слишком узко.</x:v>
      </x:c>
    </x:row>
    <x:row r="183">
      <x:c r="A183" s="655" t="str">
        <x:v>Qwen 3.8 27b uncensored</x:v>
      </x:c>
      <x:c r="B183" s="656" t="str">
        <x:v>без thinking</x:v>
      </x:c>
      <x:c r="C183" s="656" t="str">
        <x:v>SQLX-6</x:v>
      </x:c>
      <x:c r="D183" s="656" t="str">
        <x:v>TRANSACTIONS / LOCKS / MVCC</x:v>
      </x:c>
      <x:c r="E183" s="657" t="n">
        <x:v>90</x:v>
      </x:c>
      <x:c r="F183" s="656" t="str">
        <x:v>НЕБОЛЬШАЯ НЕТОЧНОСТЬ</x:v>
      </x:c>
      <x:c r="G183" s="658" t="str">
        <x:v>Почти корректно; небольшая техническая неполнота в SQLX-6.</x:v>
      </x:c>
    </x:row>
    <x:row r="184">
      <x:c r="A184" s="655" t="str">
        <x:v>Qwen 3.8 27b uncensored</x:v>
      </x:c>
      <x:c r="B184" s="656" t="str">
        <x:v>без thinking</x:v>
      </x:c>
      <x:c r="C184" s="656" t="str">
        <x:v>SQLX-8</x:v>
      </x:c>
      <x:c r="D184" s="656" t="str">
        <x:v>TRANSACTIONS / LOCKS / MVCC</x:v>
      </x:c>
      <x:c r="E184" s="657" t="n">
        <x:v>90</x:v>
      </x:c>
      <x:c r="F184" s="656" t="str">
        <x:v>НЕБОЛЬШАЯ НЕТОЧНОСТЬ</x:v>
      </x:c>
      <x:c r="G184" s="658" t="str">
        <x:v>Почти корректно; небольшая техническая неполнота в SQLX-8.</x:v>
      </x:c>
    </x:row>
    <x:row r="185">
      <x:c r="A185" s="655" t="str">
        <x:v>Qwen 3.8 27b uncensored</x:v>
      </x:c>
      <x:c r="B185" s="656" t="str">
        <x:v>без thinking</x:v>
      </x:c>
      <x:c r="C185" s="656" t="str">
        <x:v>SQLX-9</x:v>
      </x:c>
      <x:c r="D185" s="656" t="str">
        <x:v>TRANSACTIONS / LOCKS / MVCC</x:v>
      </x:c>
      <x:c r="E185" s="657" t="n">
        <x:v>90</x:v>
      </x:c>
      <x:c r="F185" s="656" t="str">
        <x:v>НЕБОЛЬШАЯ НЕТОЧНОСТЬ</x:v>
      </x:c>
      <x:c r="G185" s="658" t="str">
        <x:v>Почти корректно; небольшая техническая неполнота в SQLX-9.</x:v>
      </x:c>
    </x:row>
    <x:row r="186">
      <x:c r="A186" s="655" t="str">
        <x:v>Qwen 3.8 27b uncensored</x:v>
      </x:c>
      <x:c r="B186" s="656" t="str">
        <x:v>без thinking</x:v>
      </x:c>
      <x:c r="C186" s="656" t="str">
        <x:v>SQLX-12</x:v>
      </x:c>
      <x:c r="D186" s="656" t="str">
        <x:v>CONSTRAINTS / DATA MODEL</x:v>
      </x:c>
      <x:c r="E186" s="657" t="n">
        <x:v>20</x:v>
      </x:c>
      <x:c r="F186" s="656" t="str">
        <x:v>СУЩЕСТВЕННО</x:v>
      </x:c>
      <x:c r="G186" s="658" t="str">
        <x:v>DDL некорректен: создаётся конфликтующий/неверный custom `tsrange` с неподдерживаемым `subtype_format`; следовало использовать встроенный `tstzrange` + GiST exclusion.</x:v>
      </x:c>
    </x:row>
    <x:row r="187">
      <x:c r="A187" s="655" t="str">
        <x:v>Qwen 3.8 27b uncensored</x:v>
      </x:c>
      <x:c r="B187" s="656" t="str">
        <x:v>без thinking</x:v>
      </x:c>
      <x:c r="C187" s="656" t="str">
        <x:v>SQLX-14</x:v>
      </x:c>
      <x:c r="D187" s="656" t="str">
        <x:v>CONSTRAINTS / DATA MODEL</x:v>
      </x:c>
      <x:c r="E187" s="657" t="n">
        <x:v>80</x:v>
      </x:c>
      <x:c r="F187" s="656" t="str">
        <x:v>НЕБОЛЬШАЯ НЕТОЧНОСТЬ</x:v>
      </x:c>
      <x:c r="G187" s="658" t="str">
        <x:v>Soft delete/FK физическая семантика в целом верна, но application-level active-row integrity и cascades раскрыты кратко.</x:v>
      </x:c>
    </x:row>
    <x:row r="188">
      <x:c r="A188" s="655" t="str">
        <x:v>Qwen 3.8 27b uncensored</x:v>
      </x:c>
      <x:c r="B188" s="656" t="str">
        <x:v>без thinking</x:v>
      </x:c>
      <x:c r="C188" s="656" t="str">
        <x:v>SQLX-15</x:v>
      </x:c>
      <x:c r="D188" s="656" t="str">
        <x:v>ADVANCED SQL</x:v>
      </x:c>
      <x:c r="E188" s="657" t="n">
        <x:v>60</x:v>
      </x:c>
      <x:c r="F188" s="656" t="str">
        <x:v>СРЕДНЯЯ НЕТОЧНОСТЬ</x:v>
      </x:c>
      <x:c r="G188" s="658" t="str">
        <x:v>Запрос использует `id`, которого нет в исходно заданной таблице transactions; необходимость устойчивого tie-breaker не оформлена как schema prerequisite.</x:v>
      </x:c>
    </x:row>
    <x:row r="189">
      <x:c r="A189" s="655" t="str">
        <x:v>Qwen 3.8 27b uncensored</x:v>
      </x:c>
      <x:c r="B189" s="656" t="str">
        <x:v>без thinking</x:v>
      </x:c>
      <x:c r="C189" s="656" t="str">
        <x:v>SQLX-17</x:v>
      </x:c>
      <x:c r="D189" s="656" t="str">
        <x:v>ADVANCED SQL</x:v>
      </x:c>
      <x:c r="E189" s="657" t="n">
        <x:v>90</x:v>
      </x:c>
      <x:c r="F189" s="656" t="str">
        <x:v>НЕБОЛЬШАЯ НЕТОЧНОСТЬ</x:v>
      </x:c>
      <x:c r="G189" s="658" t="str">
        <x:v>Почти корректно; небольшая техническая неполнота в SQLX-17.</x:v>
      </x:c>
    </x:row>
    <x:row r="190">
      <x:c r="A190" s="655" t="str">
        <x:v>Qwen 3.8 27b uncensored</x:v>
      </x:c>
      <x:c r="B190" s="656" t="str">
        <x:v>без thinking</x:v>
      </x:c>
      <x:c r="C190" s="656" t="str">
        <x:v>SQLX-18</x:v>
      </x:c>
      <x:c r="D190" s="656" t="str">
        <x:v>ADVANCED SQL</x:v>
      </x:c>
      <x:c r="E190" s="657" t="n">
        <x:v>20</x:v>
      </x:c>
      <x:c r="F190" s="656" t="str">
        <x:v>СУЩЕСТВЕННО</x:v>
      </x:c>
      <x:c r="G190" s="658" t="str">
        <x:v>Запрос помечает существующий `seq` как missing, когда отсутствует предыдущий; он не возвращает сами пропущенные sequence values/intervals.</x:v>
      </x:c>
    </x:row>
    <x:row r="191">
      <x:c r="A191" s="655" t="str">
        <x:v>Qwen 3.8 27b uncensored</x:v>
      </x:c>
      <x:c r="B191" s="656" t="str">
        <x:v>без thinking</x:v>
      </x:c>
      <x:c r="C191" s="656" t="str">
        <x:v>SQLX-20</x:v>
      </x:c>
      <x:c r="D191" s="656" t="str">
        <x:v>OUTBOX / QUEUES / CONCURRENCY</x:v>
      </x:c>
      <x:c r="E191" s="657" t="n">
        <x:v>70</x:v>
      </x:c>
      <x:c r="F191" s="656" t="str">
        <x:v>СРЕДНЯЯ НЕТОЧНОСТЬ</x:v>
      </x:c>
      <x:c r="G191" s="658" t="str">
        <x:v>Broker publish выполняется при открытой транзакции с FOR UPDATE locks; network call держит locks и оставляет стандартный duplicate crash window.</x:v>
      </x:c>
    </x:row>
    <x:row r="192">
      <x:c r="A192" s="655" t="str">
        <x:v>Qwen 3.8 27b uncensored</x:v>
      </x:c>
      <x:c r="B192" s="656" t="str">
        <x:v>без thinking</x:v>
      </x:c>
      <x:c r="C192" s="656" t="str">
        <x:v>SQLX-21</x:v>
      </x:c>
      <x:c r="D192" s="656" t="str">
        <x:v>OUTBOX / QUEUES / CONCURRENCY</x:v>
      </x:c>
      <x:c r="E192" s="657" t="n">
        <x:v>80</x:v>
      </x:c>
      <x:c r="F192" s="656" t="str">
        <x:v>НЕБОЛЬШАЯ НЕТОЧНОСТЬ</x:v>
      </x:c>
      <x:c r="G192" s="658" t="str">
        <x:v>Exactly-once правильно отвергнут, но atomic consumer-side dedupe + side effect transaction раскрыты слишком кратко.</x:v>
      </x:c>
    </x:row>
    <x:row r="193">
      <x:c r="A193" s="655" t="str">
        <x:v>Qwen 3.8 27b uncensored</x:v>
      </x:c>
      <x:c r="B193" s="656" t="str">
        <x:v>без thinking</x:v>
      </x:c>
      <x:c r="C193" s="656" t="str">
        <x:v>SQLX-22</x:v>
      </x:c>
      <x:c r="D193" s="656" t="str">
        <x:v>OUTBOX / QUEUES / CONCURRENCY</x:v>
      </x:c>
      <x:c r="E193" s="657" t="n">
        <x:v>80</x:v>
      </x:c>
      <x:c r="F193" s="656" t="str">
        <x:v>НЕБОЛЬШАЯ НЕТОЧНОСТЬ</x:v>
      </x:c>
      <x:c r="G193" s="658" t="str">
        <x:v>Partitioning верное, но DROP/DETACH не означает отсутствие locks/операционных рисков.</x:v>
      </x:c>
    </x:row>
    <x:row r="194">
      <x:c r="A194" s="655" t="str">
        <x:v>Qwen 3.8 27b uncensored</x:v>
      </x:c>
      <x:c r="B194" s="656" t="str">
        <x:v>без thinking</x:v>
      </x:c>
      <x:c r="C194" s="656" t="str">
        <x:v>SQLX-23</x:v>
      </x:c>
      <x:c r="D194" s="656" t="str">
        <x:v>PERFORMANCE / PLANNER / MAINTENANCE</x:v>
      </x:c>
      <x:c r="E194" s="657" t="n">
        <x:v>90</x:v>
      </x:c>
      <x:c r="F194" s="656" t="str">
        <x:v>НЕБОЛЬШАЯ НЕТОЧНОСТЬ</x:v>
      </x:c>
      <x:c r="G194" s="658" t="str">
        <x:v>Почти корректно; небольшая техническая неполнота в SQLX-23.</x:v>
      </x:c>
    </x:row>
    <x:row r="195">
      <x:c r="A195" s="655" t="str">
        <x:v>Qwen 3.8 27b uncensored</x:v>
      </x:c>
      <x:c r="B195" s="656" t="str">
        <x:v>без thinking</x:v>
      </x:c>
      <x:c r="C195" s="656" t="str">
        <x:v>SQLX-24</x:v>
      </x:c>
      <x:c r="D195" s="656" t="str">
        <x:v>PERFORMANCE / PLANNER / MAINTENANCE</x:v>
      </x:c>
      <x:c r="E195" s="657" t="n">
        <x:v>80</x:v>
      </x:c>
      <x:c r="F195" s="656" t="str">
        <x:v>НЕБОЛЬШАЯ НЕТОЧНОСТЬ</x:v>
      </x:c>
      <x:c r="G195" s="658" t="str">
        <x:v>Index-only scan объяснён в целом верно, но отсутствие all-visible bit не запрещает plan: оно приводит к heap fetches.</x:v>
      </x:c>
    </x:row>
    <x:row r="196">
      <x:c r="A196" s="655" t="str">
        <x:v>Qwen 3.8 27b uncensored</x:v>
      </x:c>
      <x:c r="B196" s="656" t="str">
        <x:v>без thinking</x:v>
      </x:c>
      <x:c r="C196" s="656" t="str">
        <x:v>SQLX-26</x:v>
      </x:c>
      <x:c r="D196" s="656" t="str">
        <x:v>PERFORMANCE / PLANNER / MAINTENANCE</x:v>
      </x:c>
      <x:c r="E196" s="657" t="n">
        <x:v>70</x:v>
      </x:c>
      <x:c r="F196" s="656" t="str">
        <x:v>СРЕДНЯЯ НЕТОЧНОСТЬ</x:v>
      </x:c>
      <x:c r="G196" s="658" t="str">
        <x:v>Autovacuum checklist слишком короткий: не хватает worker saturation, freeze age, reloptions/progress и конфликтов long transactions.</x:v>
      </x:c>
    </x:row>
    <x:row r="197">
      <x:c r="A197" s="655" t="str">
        <x:v>Qwen 3.8 27b uncensored</x:v>
      </x:c>
      <x:c r="B197" s="656" t="str">
        <x:v>без thinking</x:v>
      </x:c>
      <x:c r="C197" s="656" t="str">
        <x:v>SQLX-27</x:v>
      </x:c>
      <x:c r="D197" s="656" t="str">
        <x:v>PERFORMANCE / PLANNER / MAINTENANCE</x:v>
      </x:c>
      <x:c r="E197" s="657" t="n">
        <x:v>80</x:v>
      </x:c>
      <x:c r="F197" s="656" t="str">
        <x:v>НЕБОЛЬШАЯ НЕТОЧНОСТЬ</x:v>
      </x:c>
      <x:c r="G197" s="658" t="str">
        <x:v>Lock modes/CONCURRENTLY перечислены частично; operational restrictions и invalid-index recovery неполны.</x:v>
      </x:c>
    </x:row>
    <x:row r="198">
      <x:c r="A198" s="655" t="str">
        <x:v>Qwen 3.8 27b uncensored</x:v>
      </x:c>
      <x:c r="B198" s="656" t="str">
        <x:v>без thinking</x:v>
      </x:c>
      <x:c r="C198" s="656" t="str">
        <x:v>SQLX-28</x:v>
      </x:c>
      <x:c r="D198" s="656" t="str">
        <x:v>MIGRATIONS / RLS / RELIABILITY</x:v>
      </x:c>
      <x:c r="E198" s="657" t="n">
        <x:v>80</x:v>
      </x:c>
      <x:c r="F198" s="656" t="str">
        <x:v>НЕБОЛЬШАЯ НЕТОЧНОСТЬ</x:v>
      </x:c>
      <x:c r="G198" s="658" t="str">
        <x:v>Zero-downtime sequence верная, но backfill показан одним массовым UPDATE без batching.</x:v>
      </x:c>
    </x:row>
    <x:row r="199">
      <x:c r="A199" s="655" t="str">
        <x:v>Qwen 3.8 27b uncensored</x:v>
      </x:c>
      <x:c r="B199" s="656" t="str">
        <x:v>без thinking</x:v>
      </x:c>
      <x:c r="C199" s="656" t="str">
        <x:v>SQLX-29</x:v>
      </x:c>
      <x:c r="D199" s="656" t="str">
        <x:v>MIGRATIONS / RLS / RELIABILITY</x:v>
      </x:c>
      <x:c r="E199" s="657" t="n">
        <x:v>80</x:v>
      </x:c>
      <x:c r="F199" s="656" t="str">
        <x:v>НЕБОЛЬШАЯ НЕТОЧНОСТЬ</x:v>
      </x:c>
      <x:c r="G199" s="658" t="str">
        <x:v>RLS policy не содержит WITH CHECK/fail-closed current_setting variant; pooling risk замечен.</x:v>
      </x:c>
    </x:row>
    <x:row r="200">
      <x:c r="A200" s="655" t="str">
        <x:v>Qwen 3.8 27b uncensored</x:v>
      </x:c>
      <x:c r="B200" s="656" t="str">
        <x:v>без thinking</x:v>
      </x:c>
      <x:c r="C200" s="656" t="str">
        <x:v>SQLX-30</x:v>
      </x:c>
      <x:c r="D200" s="656" t="str">
        <x:v>MIGRATIONS / RLS / RELIABILITY</x:v>
      </x:c>
      <x:c r="E200" s="657" t="n">
        <x:v>60</x:v>
      </x:c>
      <x:c r="F200" s="656" t="str">
        <x:v>СРЕДНЯЯ НЕТОЧНОСТЬ</x:v>
      </x:c>
      <x:c r="G200" s="658" t="str">
        <x:v>`pg_read_file()` не является read-your-writes/WAL replay primitive; конкретный LSN-wait API предложен ненадёжно.</x:v>
      </x:c>
    </x:row>
    <x:row r="201">
      <x:c r="A201" s="655" t="str">
        <x:v>Qwen 3.8 27b uncensored</x:v>
      </x:c>
      <x:c r="B201" s="656" t="str">
        <x:v>без thinking</x:v>
      </x:c>
      <x:c r="C201" s="656" t="str">
        <x:v>SQLX-32</x:v>
      </x:c>
      <x:c r="D201" s="656" t="str">
        <x:v>LONG CONTEXT / SYSTEM DESIGN</x:v>
      </x:c>
      <x:c r="E201" s="657" t="n">
        <x:v>70</x:v>
      </x:c>
      <x:c r="F201" s="656" t="str">
        <x:v>СРЕДНЯЯ НЕТОЧНОСТЬ</x:v>
      </x:c>
      <x:c r="G201" s="658" t="str">
        <x:v>Schema/idempotency направление верное, но outbox, external payment state/retry/reconciliation и audit transition invariants реализованы неполно.</x:v>
      </x:c>
    </x:row>
    <x:row r="202">
      <x:c r="A202" s="655" t="str">
        <x:v>Qwen 3.6 35b a3b HauhauCS</x:v>
      </x:c>
      <x:c r="B202" s="656" t="str">
        <x:v>без thinking</x:v>
      </x:c>
      <x:c r="C202" s="656" t="str">
        <x:v>SQLX-1</x:v>
      </x:c>
      <x:c r="D202" s="656" t="str">
        <x:v>INDEXING / QUERY DESIGN</x:v>
      </x:c>
      <x:c r="E202" s="657" t="n">
        <x:v>90</x:v>
      </x:c>
      <x:c r="F202" s="656" t="str">
        <x:v>НЕБОЛЬШАЯ/СРЕДНЯЯ НЕТОЧНОСТЬ</x:v>
      </x:c>
      <x:c r="G202" s="658" t="str">
        <x:v>Почти корректно; небольшая техническая неполнота в «SQLX-1».</x:v>
      </x:c>
    </x:row>
    <x:row r="203">
      <x:c r="A203" s="655" t="str">
        <x:v>Qwen 3.6 35b a3b HauhauCS</x:v>
      </x:c>
      <x:c r="B203" s="656" t="str">
        <x:v>без thinking</x:v>
      </x:c>
      <x:c r="C203" s="656" t="str">
        <x:v>SQLX-2</x:v>
      </x:c>
      <x:c r="D203" s="656" t="str">
        <x:v>INDEXING / QUERY DESIGN</x:v>
      </x:c>
      <x:c r="E203" s="657" t="n">
        <x:v>60</x:v>
      </x:c>
      <x:c r="F203" s="656" t="str">
        <x:v>СРЕДНЯЯ НЕТОЧНОСТЬ</x:v>
      </x:c>
      <x:c r="G203" s="658" t="str">
        <x:v>При equality по status и tenant_id B-tree может использовать обе leading equality-колонки; модель ошибочно описывает необходимость сканировать большой status-набор.</x:v>
      </x:c>
    </x:row>
    <x:row r="204">
      <x:c r="A204" s="655" t="str">
        <x:v>Qwen 3.6 35b a3b HauhauCS</x:v>
      </x:c>
      <x:c r="B204" s="656" t="str">
        <x:v>без thinking</x:v>
      </x:c>
      <x:c r="C204" s="656" t="str">
        <x:v>SQLX-5</x:v>
      </x:c>
      <x:c r="D204" s="656" t="str">
        <x:v>INDEXING / QUERY DESIGN</x:v>
      </x:c>
      <x:c r="E204" s="657" t="n">
        <x:v>60</x:v>
      </x:c>
      <x:c r="F204" s="656" t="str">
        <x:v>СРЕДНЯЯ НЕТОЧНОСТЬ</x:v>
      </x:c>
      <x:c r="G204" s="658" t="str">
        <x:v>jsonb_path_ops не ограничен top-level values и в PostgreSQL 16 поддерживает больше, чем описано; operator semantics неточны.</x:v>
      </x:c>
    </x:row>
    <x:row r="205">
      <x:c r="A205" s="655" t="str">
        <x:v>Qwen 3.6 35b a3b HauhauCS</x:v>
      </x:c>
      <x:c r="B205" s="656" t="str">
        <x:v>без thinking</x:v>
      </x:c>
      <x:c r="C205" s="656" t="str">
        <x:v>SQLX-6</x:v>
      </x:c>
      <x:c r="D205" s="656" t="str">
        <x:v>TRANSACTIONS / LOCKS / MVCC</x:v>
      </x:c>
      <x:c r="E205" s="657" t="n">
        <x:v>80</x:v>
      </x:c>
      <x:c r="F205" s="656" t="str">
        <x:v>НЕБОЛЬШАЯ/СРЕДНЯЯ НЕТОЧНОСТЬ</x:v>
      </x:c>
      <x:c r="G205" s="658" t="str">
        <x:v>Основная идея верна, но часть требований/edge cases в «SQLX-6» раскрыта неполно.</x:v>
      </x:c>
    </x:row>
    <x:row r="206">
      <x:c r="A206" s="655" t="str">
        <x:v>Qwen 3.6 35b a3b HauhauCS</x:v>
      </x:c>
      <x:c r="B206" s="656" t="str">
        <x:v>без thinking</x:v>
      </x:c>
      <x:c r="C206" s="656" t="str">
        <x:v>SQLX-7</x:v>
      </x:c>
      <x:c r="D206" s="656" t="str">
        <x:v>TRANSACTIONS / LOCKS / MVCC</x:v>
      </x:c>
      <x:c r="E206" s="657" t="n">
        <x:v>50</x:v>
      </x:c>
      <x:c r="F206" s="656" t="str">
        <x:v>ЗАМЕТНАЯ ОШИБКА</x:v>
      </x:c>
      <x:c r="G206" s="658" t="str">
        <x:v>Критическая ошибка: PostgreSQL REPEATABLE READ предотвращает phantoms, но допускает write skew; SSI относится к SERIALIZABLE.</x:v>
      </x:c>
    </x:row>
    <x:row r="207">
      <x:c r="A207" s="655" t="str">
        <x:v>Qwen 3.6 35b a3b HauhauCS</x:v>
      </x:c>
      <x:c r="B207" s="656" t="str">
        <x:v>без thinking</x:v>
      </x:c>
      <x:c r="C207" s="656" t="str">
        <x:v>SQLX-9</x:v>
      </x:c>
      <x:c r="D207" s="656" t="str">
        <x:v>TRANSACTIONS / LOCKS / MVCC</x:v>
      </x:c>
      <x:c r="E207" s="657" t="n">
        <x:v>90</x:v>
      </x:c>
      <x:c r="F207" s="656" t="str">
        <x:v>НЕБОЛЬШАЯ/СРЕДНЯЯ НЕТОЧНОСТЬ</x:v>
      </x:c>
      <x:c r="G207" s="658" t="str">
        <x:v>Почти корректно; небольшая техническая неполнота в «SQLX-9».</x:v>
      </x:c>
    </x:row>
    <x:row r="208">
      <x:c r="A208" s="655" t="str">
        <x:v>Qwen 3.6 35b a3b HauhauCS</x:v>
      </x:c>
      <x:c r="B208" s="656" t="str">
        <x:v>без thinking</x:v>
      </x:c>
      <x:c r="C208" s="656" t="str">
        <x:v>SQLX-11</x:v>
      </x:c>
      <x:c r="D208" s="656" t="str">
        <x:v>CONSTRAINTS / DATA MODEL</x:v>
      </x:c>
      <x:c r="E208" s="657" t="n">
        <x:v>90</x:v>
      </x:c>
      <x:c r="F208" s="656" t="str">
        <x:v>НЕБОЛЬШАЯ/СРЕДНЯЯ НЕТОЧНОСТЬ</x:v>
      </x:c>
      <x:c r="G208" s="658" t="str">
        <x:v>Почти корректно; небольшая техническая неполнота в «SQLX-11».</x:v>
      </x:c>
    </x:row>
    <x:row r="209">
      <x:c r="A209" s="655" t="str">
        <x:v>Qwen 3.6 35b a3b HauhauCS</x:v>
      </x:c>
      <x:c r="B209" s="656" t="str">
        <x:v>без thinking</x:v>
      </x:c>
      <x:c r="C209" s="656" t="str">
        <x:v>SQLX-12</x:v>
      </x:c>
      <x:c r="D209" s="656" t="str">
        <x:v>CONSTRAINTS / DATA MODEL</x:v>
      </x:c>
      <x:c r="E209" s="657" t="n">
        <x:v>70</x:v>
      </x:c>
      <x:c r="F209" s="656" t="str">
        <x:v>СРЕДНЯЯ НЕТОЧНОСТЬ</x:v>
      </x:c>
      <x:c r="G209" s="658" t="str">
        <x:v>Использован tsrange без уточнения timestamp type; отсутствует CHECK start&lt;end, поэтому constraint неполон.</x:v>
      </x:c>
    </x:row>
    <x:row r="210">
      <x:c r="A210" s="659" t="str">
        <x:v>Qwen 3.6 35b a3b HauhauCS</x:v>
      </x:c>
      <x:c r="B210" s="660" t="str">
        <x:v>без thinking</x:v>
      </x:c>
      <x:c r="C210" s="660" t="str">
        <x:v>SQLX-14</x:v>
      </x:c>
      <x:c r="D210" s="660" t="str">
        <x:v>CONSTRAINTS / DATA MODEL</x:v>
      </x:c>
      <x:c r="E210" s="661" t="n">
        <x:v>60</x:v>
      </x:c>
      <x:c r="F210" s="660" t="str">
        <x:v>СРЕДНЯЯ НЕТОЧНОСТЬ</x:v>
      </x:c>
      <x:c r="G210" s="662" t="str">
        <x:v>Soft-delete не делает FK недействительным: FK продолжает ссылаться на физически существующую строку.</x:v>
      </x:c>
    </x:row>
    <x:row r="211">
      <x:c r="A211" s="655" t="str">
        <x:v>Qwen 3.6 35b a3b HauhauCS</x:v>
      </x:c>
      <x:c r="B211" s="656" t="str">
        <x:v>без thinking</x:v>
      </x:c>
      <x:c r="C211" s="656" t="str">
        <x:v>SQLX-15</x:v>
      </x:c>
      <x:c r="D211" s="656" t="str">
        <x:v>ADVANCED SQL</x:v>
      </x:c>
      <x:c r="E211" s="657" t="n">
        <x:v>60</x:v>
      </x:c>
      <x:c r="F211" s="656" t="str">
        <x:v>СРЕДНЯЯ НЕТОЧНОСТЬ</x:v>
      </x:c>
      <x:c r="G211" s="658" t="str">
        <x:v>В исходной таблице transactions нет id; запрос опирается на несуществующий tie-breaker.</x:v>
      </x:c>
    </x:row>
    <x:row r="212">
      <x:c r="A212" s="655" t="str">
        <x:v>Qwen 3.6 35b a3b HauhauCS</x:v>
      </x:c>
      <x:c r="B212" s="656" t="str">
        <x:v>без thinking</x:v>
      </x:c>
      <x:c r="C212" s="656" t="str">
        <x:v>SQLX-17</x:v>
      </x:c>
      <x:c r="D212" s="656" t="str">
        <x:v>ADVANCED SQL</x:v>
      </x:c>
      <x:c r="E212" s="657" t="n">
        <x:v>80</x:v>
      </x:c>
      <x:c r="F212" s="656" t="str">
        <x:v>НЕБОЛЬШАЯ/СРЕДНЯЯ НЕТОЧНОСТЬ</x:v>
      </x:c>
      <x:c r="G212" s="658" t="str">
        <x:v>Основная идея верна, но часть требований/edge cases в «SQLX-17» раскрыта неполно.</x:v>
      </x:c>
    </x:row>
    <x:row r="213">
      <x:c r="A213" s="655" t="str">
        <x:v>Qwen 3.6 35b a3b HauhauCS</x:v>
      </x:c>
      <x:c r="B213" s="656" t="str">
        <x:v>без thinking</x:v>
      </x:c>
      <x:c r="C213" s="656" t="str">
        <x:v>SQLX-19</x:v>
      </x:c>
      <x:c r="D213" s="656" t="str">
        <x:v>ADVANCED SQL</x:v>
      </x:c>
      <x:c r="E213" s="657" t="n">
        <x:v>80</x:v>
      </x:c>
      <x:c r="F213" s="656" t="str">
        <x:v>НЕБОЛЬШАЯ/СРЕДНЯЯ НЕТОЧНОСТЬ</x:v>
      </x:c>
      <x:c r="G213" s="658" t="str">
        <x:v>Основная идея верна, но часть требований/edge cases в «SQLX-19» раскрыта неполно.</x:v>
      </x:c>
    </x:row>
    <x:row r="214">
      <x:c r="A214" s="655" t="str">
        <x:v>Qwen 3.6 35b a3b HauhauCS</x:v>
      </x:c>
      <x:c r="B214" s="656" t="str">
        <x:v>без thinking</x:v>
      </x:c>
      <x:c r="C214" s="656" t="str">
        <x:v>SQLX-20</x:v>
      </x:c>
      <x:c r="D214" s="656" t="str">
        <x:v>OUTBOX / QUEUES / CONCURRENCY</x:v>
      </x:c>
      <x:c r="E214" s="657" t="n">
        <x:v>40</x:v>
      </x:c>
      <x:c r="F214" s="656" t="str">
        <x:v>ЗАМЕТНАЯ ОШИБКА</x:v>
      </x:c>
      <x:c r="G214" s="658" t="str">
        <x:v>Outbox помечается published до broker publish, хотя текст утверждает обратное; crash window может потерять событие.</x:v>
      </x:c>
    </x:row>
    <x:row r="215">
      <x:c r="A215" s="655" t="str">
        <x:v>Qwen 3.6 35b a3b HauhauCS</x:v>
      </x:c>
      <x:c r="B215" s="656" t="str">
        <x:v>без thinking</x:v>
      </x:c>
      <x:c r="C215" s="656" t="str">
        <x:v>SQLX-21</x:v>
      </x:c>
      <x:c r="D215" s="656" t="str">
        <x:v>OUTBOX / QUEUES / CONCURRENCY</x:v>
      </x:c>
      <x:c r="E215" s="657" t="n">
        <x:v>90</x:v>
      </x:c>
      <x:c r="F215" s="656" t="str">
        <x:v>НЕБОЛЬШАЯ/СРЕДНЯЯ НЕТОЧНОСТЬ</x:v>
      </x:c>
      <x:c r="G215" s="658" t="str">
        <x:v>Check-before-publish не закрывает crash window; exactly-once не появляется, хотя consumer-idempotency сформулирована верно.</x:v>
      </x:c>
    </x:row>
    <x:row r="216">
      <x:c r="A216" s="655" t="str">
        <x:v>Qwen 3.6 35b a3b HauhauCS</x:v>
      </x:c>
      <x:c r="B216" s="656" t="str">
        <x:v>без thinking</x:v>
      </x:c>
      <x:c r="C216" s="656" t="str">
        <x:v>SQLX-22</x:v>
      </x:c>
      <x:c r="D216" s="656" t="str">
        <x:v>OUTBOX / QUEUES / CONCURRENCY</x:v>
      </x:c>
      <x:c r="E216" s="657" t="n">
        <x:v>90</x:v>
      </x:c>
      <x:c r="F216" s="656" t="str">
        <x:v>НЕБОЛЬШАЯ/СРЕДНЯЯ НЕТОЧНОСТЬ</x:v>
      </x:c>
      <x:c r="G216" s="658" t="str">
        <x:v>Почти корректно; небольшая техническая неполнота в «SQLX-22».</x:v>
      </x:c>
    </x:row>
    <x:row r="217">
      <x:c r="A217" s="655" t="str">
        <x:v>Qwen 3.6 35b a3b HauhauCS</x:v>
      </x:c>
      <x:c r="B217" s="656" t="str">
        <x:v>без thinking</x:v>
      </x:c>
      <x:c r="C217" s="656" t="str">
        <x:v>SQLX-24</x:v>
      </x:c>
      <x:c r="D217" s="656" t="str">
        <x:v>PERFORMANCE / PLANNER / MAINTENANCE</x:v>
      </x:c>
      <x:c r="E217" s="657" t="n">
        <x:v>60</x:v>
      </x:c>
      <x:c r="F217" s="656" t="str">
        <x:v>СРЕДНЯЯ НЕТОЧНОСТЬ</x:v>
      </x:c>
      <x:c r="G217" s="658" t="str">
        <x:v>Visibility map не позволяет index-only scan получать отсутствующие в индексе пользовательские колонки; это фактическая ошибка.</x:v>
      </x:c>
    </x:row>
    <x:row r="218">
      <x:c r="A218" s="655" t="str">
        <x:v>Qwen 3.6 35b a3b HauhauCS</x:v>
      </x:c>
      <x:c r="B218" s="656" t="str">
        <x:v>без thinking</x:v>
      </x:c>
      <x:c r="C218" s="656" t="str">
        <x:v>SQLX-25</x:v>
      </x:c>
      <x:c r="D218" s="656" t="str">
        <x:v>PERFORMANCE / PLANNER / MAINTENANCE</x:v>
      </x:c>
      <x:c r="E218" s="657" t="n">
        <x:v>90</x:v>
      </x:c>
      <x:c r="F218" s="656" t="str">
        <x:v>НЕБОЛЬШАЯ/СРЕДНЯЯ НЕТОЧНОСТЬ</x:v>
      </x:c>
      <x:c r="G218" s="658" t="str">
        <x:v>Почти корректно; небольшая техническая неполнота в «SQLX-25».</x:v>
      </x:c>
    </x:row>
    <x:row r="219">
      <x:c r="A219" s="655" t="str">
        <x:v>Qwen 3.6 35b a3b HauhauCS</x:v>
      </x:c>
      <x:c r="B219" s="656" t="str">
        <x:v>без thinking</x:v>
      </x:c>
      <x:c r="C219" s="656" t="str">
        <x:v>SQLX-26</x:v>
      </x:c>
      <x:c r="D219" s="656" t="str">
        <x:v>PERFORMANCE / PLANNER / MAINTENANCE</x:v>
      </x:c>
      <x:c r="E219" s="657" t="n">
        <x:v>80</x:v>
      </x:c>
      <x:c r="F219" s="656" t="str">
        <x:v>НЕБОЛЬШАЯ/СРЕДНЯЯ НЕТОЧНОСТЬ</x:v>
      </x:c>
      <x:c r="G219" s="658" t="str">
        <x:v>Основная идея верна, но часть требований/edge cases в «SQLX-26» раскрыта неполно.</x:v>
      </x:c>
    </x:row>
    <x:row r="220">
      <x:c r="A220" s="655" t="str">
        <x:v>Qwen 3.6 35b a3b HauhauCS</x:v>
      </x:c>
      <x:c r="B220" s="656" t="str">
        <x:v>без thinking</x:v>
      </x:c>
      <x:c r="C220" s="656" t="str">
        <x:v>SQLX-27</x:v>
      </x:c>
      <x:c r="D220" s="656" t="str">
        <x:v>PERFORMANCE / PLANNER / MAINTENANCE</x:v>
      </x:c>
      <x:c r="E220" s="657" t="n">
        <x:v>40</x:v>
      </x:c>
      <x:c r="F220" s="656" t="str">
        <x:v>ЗАМЕТНАЯ ОШИБКА</x:v>
      </x:c>
      <x:c r="G220" s="658" t="str">
        <x:v>Обычный CREATE INDEX не берёт AccessExclusiveLock; concurrent lock/UNIQUE ограничения описаны неточно.</x:v>
      </x:c>
    </x:row>
    <x:row r="221">
      <x:c r="A221" s="655" t="str">
        <x:v>Qwen 3.6 35b a3b HauhauCS</x:v>
      </x:c>
      <x:c r="B221" s="656" t="str">
        <x:v>без thinking</x:v>
      </x:c>
      <x:c r="C221" s="656" t="str">
        <x:v>SQLX-28</x:v>
      </x:c>
      <x:c r="D221" s="656" t="str">
        <x:v>MIGRATIONS / RLS / RELIABILITY</x:v>
      </x:c>
      <x:c r="E221" s="657" t="n">
        <x:v>90</x:v>
      </x:c>
      <x:c r="F221" s="656" t="str">
        <x:v>НЕБОЛЬШАЯ/СРЕДНЯЯ НЕТОЧНОСТЬ</x:v>
      </x:c>
      <x:c r="G221" s="658" t="str">
        <x:v>Почти корректно; небольшая техническая неполнота в «SQLX-28».</x:v>
      </x:c>
    </x:row>
    <x:row r="222">
      <x:c r="A222" s="655" t="str">
        <x:v>Qwen 3.6 35b a3b HauhauCS</x:v>
      </x:c>
      <x:c r="B222" s="656" t="str">
        <x:v>без thinking</x:v>
      </x:c>
      <x:c r="C222" s="656" t="str">
        <x:v>SQLX-29</x:v>
      </x:c>
      <x:c r="D222" s="656" t="str">
        <x:v>MIGRATIONS / RLS / RELIABILITY</x:v>
      </x:c>
      <x:c r="E222" s="657" t="n">
        <x:v>70</x:v>
      </x:c>
      <x:c r="F222" s="656" t="str">
        <x:v>СРЕДНЯЯ НЕТОЧНОСТЬ</x:v>
      </x:c>
      <x:c r="G222" s="658" t="str">
        <x:v>Перепутана семантика SET и SET LOCAL при pooling: SET сохраняется на session, SET LOCAL — только до конца transaction.</x:v>
      </x:c>
    </x:row>
    <x:row r="223">
      <x:c r="A223" s="655" t="str">
        <x:v>Qwen 3.6 35b a3b HauhauCS</x:v>
      </x:c>
      <x:c r="B223" s="656" t="str">
        <x:v>без thinking</x:v>
      </x:c>
      <x:c r="C223" s="656" t="str">
        <x:v>SQLX-30</x:v>
      </x:c>
      <x:c r="D223" s="656" t="str">
        <x:v>MIGRATIONS / RLS / RELIABILITY</x:v>
      </x:c>
      <x:c r="E223" s="657" t="n">
        <x:v>80</x:v>
      </x:c>
      <x:c r="F223" s="656" t="str">
        <x:v>НЕБОЛЬШАЯ/СРЕДНЯЯ НЕТОЧНОСТЬ</x:v>
      </x:c>
      <x:c r="G223" s="658" t="str">
        <x:v>Основная идея верна, но часть требований/edge cases в «SQLX-30» раскрыта неполно.</x:v>
      </x:c>
    </x:row>
    <x:row r="224">
      <x:c r="A224" s="655" t="str">
        <x:v>Qwen 3.6 35b a3b HauhauCS</x:v>
      </x:c>
      <x:c r="B224" s="656" t="str">
        <x:v>без thinking</x:v>
      </x:c>
      <x:c r="C224" s="656" t="str">
        <x:v>SQLX-32</x:v>
      </x:c>
      <x:c r="D224" s="656" t="str">
        <x:v>LONG CONTEXT / SYSTEM DESIGN</x:v>
      </x:c>
      <x:c r="E224" s="657" t="n">
        <x:v>40</x:v>
      </x:c>
      <x:c r="F224" s="656" t="str">
        <x:v>ЗАМЕТНАЯ ОШИБКА</x:v>
      </x:c>
      <x:c r="G224" s="658" t="str">
        <x:v>ON CONFLICT обновляет request_hash существующей записи — это ломает idempotency mismatch semantics; полноценный audit/state/retry flow неполон.</x:v>
      </x:c>
    </x:row>
    <x:row r="225">
      <x:c r="A225" s="655" t="str">
        <x:v>gemma4-12b-qat-uncensored-hauhaucs-balanced</x:v>
      </x:c>
      <x:c r="B225" s="656" t="str">
        <x:v>без thinking</x:v>
      </x:c>
      <x:c r="C225" s="656" t="str">
        <x:v>SQLX-1</x:v>
      </x:c>
      <x:c r="D225" s="656" t="str">
        <x:v>INDEXING / QUERY DESIGN</x:v>
      </x:c>
      <x:c r="E225" s="657" t="n">
        <x:v>80</x:v>
      </x:c>
      <x:c r="F225" s="656" t="str">
        <x:v>НЕБОЛЬШАЯ/СРЕДНЯЯ НЕТОЧНОСТЬ</x:v>
      </x:c>
      <x:c r="G225" s="658" t="str">
        <x:v>Основной индекс хорош, но partial index с `tenant_id=$1` недопустим: параметры нельзя использовать в index predicate.</x:v>
      </x:c>
    </x:row>
    <x:row r="226">
      <x:c r="A226" s="655" t="str">
        <x:v>gemma4-12b-qat-uncensored-hauhaucs-balanced</x:v>
      </x:c>
      <x:c r="B226" s="656" t="str">
        <x:v>без thinking</x:v>
      </x:c>
      <x:c r="C226" s="656" t="str">
        <x:v>SQLX-2</x:v>
      </x:c>
      <x:c r="D226" s="656" t="str">
        <x:v>INDEXING / QUERY DESIGN</x:v>
      </x:c>
      <x:c r="E226" s="657" t="n">
        <x:v>70</x:v>
      </x:c>
      <x:c r="F226" s="656" t="str">
        <x:v>СРЕДНЯЯ НЕТОЧНОСТЬ</x:v>
      </x:c>
      <x:c r="G226" s="658" t="str">
        <x:v>При equality по tenant и status порядок первых двух колонок объяснён слишком упрощённо; селективность первого поля не даёт описанного эффекта автоматически.</x:v>
      </x:c>
    </x:row>
    <x:row r="227">
      <x:c r="A227" s="655" t="str">
        <x:v>gemma4-12b-qat-uncensored-hauhaucs-balanced</x:v>
      </x:c>
      <x:c r="B227" s="656" t="str">
        <x:v>без thinking</x:v>
      </x:c>
      <x:c r="C227" s="656" t="str">
        <x:v>SQLX-3</x:v>
      </x:c>
      <x:c r="D227" s="656" t="str">
        <x:v>INDEXING / QUERY DESIGN</x:v>
      </x:c>
      <x:c r="E227" s="657" t="n">
        <x:v>80</x:v>
      </x:c>
      <x:c r="F227" s="656" t="str">
        <x:v>НЕБОЛЬШАЯ/СРЕДНЯЯ НЕТОЧНОСТЬ</x:v>
      </x:c>
      <x:c r="G227" s="658" t="str">
        <x:v>Первый keyset SQL содержит противоречивые cursor conditions; только второй упрощённый вариант корректен.</x:v>
      </x:c>
    </x:row>
    <x:row r="228">
      <x:c r="A228" s="655" t="str">
        <x:v>gemma4-12b-qat-uncensored-hauhaucs-balanced</x:v>
      </x:c>
      <x:c r="B228" s="656" t="str">
        <x:v>без thinking</x:v>
      </x:c>
      <x:c r="C228" s="656" t="str">
        <x:v>SQLX-5</x:v>
      </x:c>
      <x:c r="D228" s="656" t="str">
        <x:v>INDEXING / QUERY DESIGN</x:v>
      </x:c>
      <x:c r="E228" s="657" t="n">
        <x:v>80</x:v>
      </x:c>
      <x:c r="F228" s="656" t="str">
        <x:v>НЕБОЛЬШАЯ/СРЕДНЯЯ НЕТОЧНОСТЬ</x:v>
      </x:c>
      <x:c r="G228" s="658" t="str">
        <x:v>Основная идея верна, но часть требований/edge cases в «SQLX-5» раскрыта неполно.</x:v>
      </x:c>
    </x:row>
    <x:row r="229">
      <x:c r="A229" s="655" t="str">
        <x:v>gemma4-12b-qat-uncensored-hauhaucs-balanced</x:v>
      </x:c>
      <x:c r="B229" s="656" t="str">
        <x:v>без thinking</x:v>
      </x:c>
      <x:c r="C229" s="656" t="str">
        <x:v>SQLX-6</x:v>
      </x:c>
      <x:c r="D229" s="656" t="str">
        <x:v>TRANSACTIONS / LOCKS / MVCC</x:v>
      </x:c>
      <x:c r="E229" s="657" t="n">
        <x:v>90</x:v>
      </x:c>
      <x:c r="F229" s="656" t="str">
        <x:v>НЕБОЛЬШАЯ/СРЕДНЯЯ НЕТОЧНОСТЬ</x:v>
      </x:c>
      <x:c r="G229" s="658" t="str">
        <x:v>Почти корректно; небольшая техническая неполнота в «SQLX-6».</x:v>
      </x:c>
    </x:row>
    <x:row r="230">
      <x:c r="A230" s="655" t="str">
        <x:v>gemma4-12b-qat-uncensored-hauhaucs-balanced</x:v>
      </x:c>
      <x:c r="B230" s="656" t="str">
        <x:v>без thinking</x:v>
      </x:c>
      <x:c r="C230" s="656" t="str">
        <x:v>SQLX-7</x:v>
      </x:c>
      <x:c r="D230" s="656" t="str">
        <x:v>TRANSACTIONS / LOCKS / MVCC</x:v>
      </x:c>
      <x:c r="E230" s="657" t="n">
        <x:v>80</x:v>
      </x:c>
      <x:c r="F230" s="656" t="str">
        <x:v>НЕБОЛЬШАЯ/СРЕДНЯЯ НЕТОЧНОСТЬ</x:v>
      </x:c>
      <x:c r="G230" s="658" t="str">
        <x:v>Ответ сам себе противоречит по phantom reads; PostgreSQL REPEATABLE READ предотвращает phantoms, но допускает write skew.</x:v>
      </x:c>
    </x:row>
    <x:row r="231">
      <x:c r="A231" s="655" t="str">
        <x:v>gemma4-12b-qat-uncensored-hauhaucs-balanced</x:v>
      </x:c>
      <x:c r="B231" s="656" t="str">
        <x:v>без thinking</x:v>
      </x:c>
      <x:c r="C231" s="656" t="str">
        <x:v>SQLX-8</x:v>
      </x:c>
      <x:c r="D231" s="656" t="str">
        <x:v>TRANSACTIONS / LOCKS / MVCC</x:v>
      </x:c>
      <x:c r="E231" s="657" t="n">
        <x:v>80</x:v>
      </x:c>
      <x:c r="F231" s="656" t="str">
        <x:v>НЕБОЛЬШАЯ/СРЕДНЯЯ НЕТОЧНОСТЬ</x:v>
      </x:c>
      <x:c r="G231" s="658" t="str">
        <x:v>Основная идея верна, но часть требований/edge cases в «SQLX-8» раскрыта неполно.</x:v>
      </x:c>
    </x:row>
    <x:row r="232">
      <x:c r="A232" s="655" t="str">
        <x:v>gemma4-12b-qat-uncensored-hauhaucs-balanced</x:v>
      </x:c>
      <x:c r="B232" s="656" t="str">
        <x:v>без thinking</x:v>
      </x:c>
      <x:c r="C232" s="656" t="str">
        <x:v>SQLX-10</x:v>
      </x:c>
      <x:c r="D232" s="656" t="str">
        <x:v>TRANSACTIONS / LOCKS / MVCC</x:v>
      </x:c>
      <x:c r="E232" s="657" t="n">
        <x:v>90</x:v>
      </x:c>
      <x:c r="F232" s="656" t="str">
        <x:v>НЕБОЛЬШАЯ/СРЕДНЯЯ НЕТОЧНОСТЬ</x:v>
      </x:c>
      <x:c r="G232" s="658" t="str">
        <x:v>Почти корректно; небольшая техническая неполнота в «SQLX-10».</x:v>
      </x:c>
    </x:row>
    <x:row r="233">
      <x:c r="A233" s="655" t="str">
        <x:v>gemma4-12b-qat-uncensored-hauhaucs-balanced</x:v>
      </x:c>
      <x:c r="B233" s="656" t="str">
        <x:v>без thinking</x:v>
      </x:c>
      <x:c r="C233" s="656" t="str">
        <x:v>SQLX-11</x:v>
      </x:c>
      <x:c r="D233" s="656" t="str">
        <x:v>CONSTRAINTS / DATA MODEL</x:v>
      </x:c>
      <x:c r="E233" s="657" t="n">
        <x:v>80</x:v>
      </x:c>
      <x:c r="F233" s="656" t="str">
        <x:v>НЕБОЛЬШАЯ/СРЕДНЯЯ НЕТОЧНОСТЬ</x:v>
      </x:c>
      <x:c r="G233" s="658" t="str">
        <x:v>Основная идея верна, но часть требований/edge cases в «SQLX-11» раскрыта неполно.</x:v>
      </x:c>
    </x:row>
    <x:row r="234">
      <x:c r="A234" s="655" t="str">
        <x:v>gemma4-12b-qat-uncensored-hauhaucs-balanced</x:v>
      </x:c>
      <x:c r="B234" s="656" t="str">
        <x:v>без thinking</x:v>
      </x:c>
      <x:c r="C234" s="656" t="str">
        <x:v>SQLX-12</x:v>
      </x:c>
      <x:c r="D234" s="656" t="str">
        <x:v>CONSTRAINTS / DATA MODEL</x:v>
      </x:c>
      <x:c r="E234" s="657" t="n">
        <x:v>40</x:v>
      </x:c>
      <x:c r="F234" s="656" t="str">
        <x:v>ЗАМЕТНАЯ ОШИБКА</x:v>
      </x:c>
      <x:c r="G234" s="658" t="str">
        <x:v>Exclusion constraint синтаксически неполон: для room_id нужен `room_id WITH =` и соответствующий GiST operator class.</x:v>
      </x:c>
    </x:row>
    <x:row r="235">
      <x:c r="A235" s="655" t="str">
        <x:v>gemma4-12b-qat-uncensored-hauhaucs-balanced</x:v>
      </x:c>
      <x:c r="B235" s="656" t="str">
        <x:v>без thinking</x:v>
      </x:c>
      <x:c r="C235" s="656" t="str">
        <x:v>SQLX-13</x:v>
      </x:c>
      <x:c r="D235" s="656" t="str">
        <x:v>CONSTRAINTS / DATA MODEL</x:v>
      </x:c>
      <x:c r="E235" s="657" t="n">
        <x:v>90</x:v>
      </x:c>
      <x:c r="F235" s="656" t="str">
        <x:v>НЕБОЛЬШАЯ/СРЕДНЯЯ НЕТОЧНОСТЬ</x:v>
      </x:c>
      <x:c r="G235" s="658" t="str">
        <x:v>Почти корректно; небольшая техническая неполнота в «SQLX-13».</x:v>
      </x:c>
    </x:row>
    <x:row r="236">
      <x:c r="A236" s="655" t="str">
        <x:v>gemma4-12b-qat-uncensored-hauhaucs-balanced</x:v>
      </x:c>
      <x:c r="B236" s="656" t="str">
        <x:v>без thinking</x:v>
      </x:c>
      <x:c r="C236" s="656" t="str">
        <x:v>SQLX-14</x:v>
      </x:c>
      <x:c r="D236" s="656" t="str">
        <x:v>CONSTRAINTS / DATA MODEL</x:v>
      </x:c>
      <x:c r="E236" s="657" t="n">
        <x:v>80</x:v>
      </x:c>
      <x:c r="F236" s="656" t="str">
        <x:v>НЕБОЛЬШАЯ/СРЕДНЯЯ НЕТОЧНОСТЬ</x:v>
      </x:c>
      <x:c r="G236" s="658" t="str">
        <x:v>Основная идея верна, но часть требований/edge cases в «SQLX-14» раскрыта неполно.</x:v>
      </x:c>
    </x:row>
    <x:row r="237">
      <x:c r="A237" s="655" t="str">
        <x:v>gemma4-12b-qat-uncensored-hauhaucs-balanced</x:v>
      </x:c>
      <x:c r="B237" s="656" t="str">
        <x:v>без thinking</x:v>
      </x:c>
      <x:c r="C237" s="656" t="str">
        <x:v>SQLX-15</x:v>
      </x:c>
      <x:c r="D237" s="656" t="str">
        <x:v>ADVANCED SQL</x:v>
      </x:c>
      <x:c r="E237" s="657" t="n">
        <x:v>90</x:v>
      </x:c>
      <x:c r="F237" s="656" t="str">
        <x:v>НЕБОЛЬШАЯ/СРЕДНЯЯ НЕТОЧНОСТЬ</x:v>
      </x:c>
      <x:c r="G237" s="658" t="str">
        <x:v>Почти корректно; небольшая техническая неполнота в «SQLX-15».</x:v>
      </x:c>
    </x:row>
    <x:row r="238">
      <x:c r="A238" s="655" t="str">
        <x:v>gemma4-12b-qat-uncensored-hauhaucs-balanced</x:v>
      </x:c>
      <x:c r="B238" s="656" t="str">
        <x:v>без thinking</x:v>
      </x:c>
      <x:c r="C238" s="656" t="str">
        <x:v>SQLX-16</x:v>
      </x:c>
      <x:c r="D238" s="656" t="str">
        <x:v>ADVANCED SQL</x:v>
      </x:c>
      <x:c r="E238" s="657" t="n">
        <x:v>70</x:v>
      </x:c>
      <x:c r="F238" s="656" t="str">
        <x:v>СРЕДНЯЯ НЕТОЧНОСТЬ</x:v>
      </x:c>
      <x:c r="G238" s="658" t="str">
        <x:v>`e.id &lt;&gt; $1` не защищает от циклов длиной &gt;1; полноценный path-array guard только упомянут, но не реализован.</x:v>
      </x:c>
    </x:row>
    <x:row r="239">
      <x:c r="A239" s="655" t="str">
        <x:v>gemma4-12b-qat-uncensored-hauhaucs-balanced</x:v>
      </x:c>
      <x:c r="B239" s="656" t="str">
        <x:v>без thinking</x:v>
      </x:c>
      <x:c r="C239" s="656" t="str">
        <x:v>SQLX-17</x:v>
      </x:c>
      <x:c r="D239" s="656" t="str">
        <x:v>ADVANCED SQL</x:v>
      </x:c>
      <x:c r="E239" s="657" t="n">
        <x:v>70</x:v>
      </x:c>
      <x:c r="F239" s="656" t="str">
        <x:v>СРЕДНЯЯ НЕТОЧНОСТЬ</x:v>
      </x:c>
      <x:c r="G239" s="658" t="str">
        <x:v>DENSE_RANK может вернуть больше трёх заказов при ties; для ровно top-3 нужен ROW_NUMBER/tie-breaker.</x:v>
      </x:c>
    </x:row>
    <x:row r="240">
      <x:c r="A240" s="655" t="str">
        <x:v>gemma4-12b-qat-uncensored-hauhaucs-balanced</x:v>
      </x:c>
      <x:c r="B240" s="656" t="str">
        <x:v>без thinking</x:v>
      </x:c>
      <x:c r="C240" s="656" t="str">
        <x:v>SQLX-18</x:v>
      </x:c>
      <x:c r="D240" s="656" t="str">
        <x:v>ADVANCED SQL</x:v>
      </x:c>
      <x:c r="E240" s="657" t="n">
        <x:v>20</x:v>
      </x:c>
      <x:c r="F240" s="656" t="str">
        <x:v>СУЩЕСТВЕННО</x:v>
      </x:c>
      <x:c r="G240" s="658" t="str">
        <x:v>Запрос неверен: `row_num &lt;&gt; total_count` отмечает почти все строки и не находит отсутствующие sequence.</x:v>
      </x:c>
    </x:row>
    <x:row r="241">
      <x:c r="A241" s="655" t="str">
        <x:v>gemma4-12b-qat-uncensored-hauhaucs-balanced</x:v>
      </x:c>
      <x:c r="B241" s="656" t="str">
        <x:v>без thinking</x:v>
      </x:c>
      <x:c r="C241" s="656" t="str">
        <x:v>SQLX-20</x:v>
      </x:c>
      <x:c r="D241" s="656" t="str">
        <x:v>OUTBOX / QUEUES / CONCURRENCY</x:v>
      </x:c>
      <x:c r="E241" s="657" t="n">
        <x:v>70</x:v>
      </x:c>
      <x:c r="F241" s="656" t="str">
        <x:v>СРЕДНЯЯ НЕТОЧНОСТЬ</x:v>
      </x:c>
      <x:c r="G241" s="658" t="str">
        <x:v>Schema/query не показывают корректное место установки `published_at`; network publish/DB lock lifecycle раскрыт неполно.</x:v>
      </x:c>
    </x:row>
    <x:row r="242">
      <x:c r="A242" s="655" t="str">
        <x:v>gemma4-12b-qat-uncensored-hauhaucs-balanced</x:v>
      </x:c>
      <x:c r="B242" s="656" t="str">
        <x:v>без thinking</x:v>
      </x:c>
      <x:c r="C242" s="656" t="str">
        <x:v>SQLX-21</x:v>
      </x:c>
      <x:c r="D242" s="656" t="str">
        <x:v>OUTBOX / QUEUES / CONCURRENCY</x:v>
      </x:c>
      <x:c r="E242" s="657" t="n">
        <x:v>70</x:v>
      </x:c>
      <x:c r="F242" s="656" t="str">
        <x:v>СРЕДНЯЯ НЕТОЧНОСТЬ</x:v>
      </x:c>
      <x:c r="G242" s="658" t="str">
        <x:v>At-least-once + idempotency даёт effectively-once side effects, но не превращает broker delivery в истинное exactly-once.</x:v>
      </x:c>
    </x:row>
    <x:row r="243">
      <x:c r="A243" s="655" t="str">
        <x:v>gemma4-12b-qat-uncensored-hauhaucs-balanced</x:v>
      </x:c>
      <x:c r="B243" s="656" t="str">
        <x:v>без thinking</x:v>
      </x:c>
      <x:c r="C243" s="656" t="str">
        <x:v>SQLX-23</x:v>
      </x:c>
      <x:c r="D243" s="656" t="str">
        <x:v>PERFORMANCE / PLANNER / MAINTENANCE</x:v>
      </x:c>
      <x:c r="E243" s="657" t="n">
        <x:v>90</x:v>
      </x:c>
      <x:c r="F243" s="656" t="str">
        <x:v>НЕБОЛЬШАЯ/СРЕДНЯЯ НЕТОЧНОСТЬ</x:v>
      </x:c>
      <x:c r="G243" s="658" t="str">
        <x:v>Почти корректно; небольшая техническая неполнота в «SQLX-23».</x:v>
      </x:c>
    </x:row>
    <x:row r="244">
      <x:c r="A244" s="655" t="str">
        <x:v>gemma4-12b-qat-uncensored-hauhaucs-balanced</x:v>
      </x:c>
      <x:c r="B244" s="656" t="str">
        <x:v>без thinking</x:v>
      </x:c>
      <x:c r="C244" s="656" t="str">
        <x:v>SQLX-25</x:v>
      </x:c>
      <x:c r="D244" s="656" t="str">
        <x:v>PERFORMANCE / PLANNER / MAINTENANCE</x:v>
      </x:c>
      <x:c r="E244" s="657" t="n">
        <x:v>90</x:v>
      </x:c>
      <x:c r="F244" s="656" t="str">
        <x:v>НЕБОЛЬШАЯ/СРЕДНЯЯ НЕТОЧНОСТЬ</x:v>
      </x:c>
      <x:c r="G244" s="658" t="str">
        <x:v>Почти корректно; небольшая техническая неполнота в «SQLX-25».</x:v>
      </x:c>
    </x:row>
    <x:row r="245">
      <x:c r="A245" s="655" t="str">
        <x:v>gemma4-12b-qat-uncensored-hauhaucs-balanced</x:v>
      </x:c>
      <x:c r="B245" s="656" t="str">
        <x:v>без thinking</x:v>
      </x:c>
      <x:c r="C245" s="656" t="str">
        <x:v>SQLX-26</x:v>
      </x:c>
      <x:c r="D245" s="656" t="str">
        <x:v>PERFORMANCE / PLANNER / MAINTENANCE</x:v>
      </x:c>
      <x:c r="E245" s="657" t="n">
        <x:v>70</x:v>
      </x:c>
      <x:c r="F245" s="656" t="str">
        <x:v>СРЕДНЯЯ НЕТОЧНОСТЬ</x:v>
      </x:c>
      <x:c r="G245" s="658" t="str">
        <x:v>Частично корректно, но остаётся существенный production/semantic пробел в «SQLX-26».</x:v>
      </x:c>
    </x:row>
    <x:row r="246">
      <x:c r="A246" s="655" t="str">
        <x:v>gemma4-12b-qat-uncensored-hauhaucs-balanced</x:v>
      </x:c>
      <x:c r="B246" s="656" t="str">
        <x:v>без thinking</x:v>
      </x:c>
      <x:c r="C246" s="656" t="str">
        <x:v>SQLX-27</x:v>
      </x:c>
      <x:c r="D246" s="656" t="str">
        <x:v>PERFORMANCE / PLANNER / MAINTENANCE</x:v>
      </x:c>
      <x:c r="E246" s="657" t="n">
        <x:v>80</x:v>
      </x:c>
      <x:c r="F246" s="656" t="str">
        <x:v>НЕБОЛЬШАЯ/СРЕДНЯЯ НЕТОЧНОСТЬ</x:v>
      </x:c>
      <x:c r="G246" s="658" t="str">
        <x:v>Основная идея верна, но часть требований/edge cases в «SQLX-27» раскрыта неполно.</x:v>
      </x:c>
    </x:row>
    <x:row r="247">
      <x:c r="A247" s="655" t="str">
        <x:v>gemma4-12b-qat-uncensored-hauhaucs-balanced</x:v>
      </x:c>
      <x:c r="B247" s="656" t="str">
        <x:v>без thinking</x:v>
      </x:c>
      <x:c r="C247" s="656" t="str">
        <x:v>SQLX-28</x:v>
      </x:c>
      <x:c r="D247" s="656" t="str">
        <x:v>MIGRATIONS / RLS / RELIABILITY</x:v>
      </x:c>
      <x:c r="E247" s="657" t="n">
        <x:v>50</x:v>
      </x:c>
      <x:c r="F247" s="656" t="str">
        <x:v>ЗАМЕТНАЯ ОШИБКА</x:v>
      </x:c>
      <x:c r="G247" s="658" t="str">
        <x:v>Online NOT NULL sequence нарушен: CHECK NOT VALID/VALIDATE и final SET NOT NULL стоят в неверной/неполной последовательности.</x:v>
      </x:c>
    </x:row>
    <x:row r="248">
      <x:c r="A248" s="655" t="str">
        <x:v>gemma4-12b-qat-uncensored-hauhaucs-balanced</x:v>
      </x:c>
      <x:c r="B248" s="656" t="str">
        <x:v>без thinking</x:v>
      </x:c>
      <x:c r="C248" s="656" t="str">
        <x:v>SQLX-29</x:v>
      </x:c>
      <x:c r="D248" s="656" t="str">
        <x:v>MIGRATIONS / RLS / RELIABILITY</x:v>
      </x:c>
      <x:c r="E248" s="657" t="n">
        <x:v>80</x:v>
      </x:c>
      <x:c r="F248" s="656" t="str">
        <x:v>НЕБОЛЬШАЯ/СРЕДНЯЯ НЕТОЧНОСТЬ</x:v>
      </x:c>
      <x:c r="G248" s="658" t="str">
        <x:v>Основная идея верна, но часть требований/edge cases в «SQLX-29» раскрыта неполно.</x:v>
      </x:c>
    </x:row>
    <x:row r="249">
      <x:c r="A249" s="655" t="str">
        <x:v>gemma4-12b-qat-uncensored-hauhaucs-balanced</x:v>
      </x:c>
      <x:c r="B249" s="656" t="str">
        <x:v>без thinking</x:v>
      </x:c>
      <x:c r="C249" s="656" t="str">
        <x:v>SQLX-30</x:v>
      </x:c>
      <x:c r="D249" s="656" t="str">
        <x:v>MIGRATIONS / RLS / RELIABILITY</x:v>
      </x:c>
      <x:c r="E249" s="657" t="n">
        <x:v>80</x:v>
      </x:c>
      <x:c r="F249" s="656" t="str">
        <x:v>НЕБОЛЬШАЯ/СРЕДНЯЯ НЕТОЧНОСТЬ</x:v>
      </x:c>
      <x:c r="G249" s="658" t="str">
        <x:v>Основная идея верна, но часть требований/edge cases в «SQLX-30» раскрыта неполно.</x:v>
      </x:c>
    </x:row>
    <x:row r="250">
      <x:c r="A250" s="659" t="str">
        <x:v>gemma4-12b-qat-uncensored-hauhaucs-balanced</x:v>
      </x:c>
      <x:c r="B250" s="660" t="str">
        <x:v>без thinking</x:v>
      </x:c>
      <x:c r="C250" s="660" t="str">
        <x:v>SQLX-32</x:v>
      </x:c>
      <x:c r="D250" s="660" t="str">
        <x:v>LONG CONTEXT / SYSTEM DESIGN</x:v>
      </x:c>
      <x:c r="E250" s="661" t="n">
        <x:v>50</x:v>
      </x:c>
      <x:c r="F250" s="660" t="str">
        <x:v>ЗАМЕТНАЯ ОШИБКА</x:v>
      </x:c>
      <x:c r="G250" s="662" t="str">
        <x:v>`ON CONFLICT DO NOTHING` flow перепутывает new/conflict branch и не делает request-hash/state/audit invariants атомарными.</x:v>
      </x:c>
    </x:row>
    <x:row r="251">
      <x:c r="A251" s="562"/>
      <x:c r="B251" s="563"/>
      <x:c r="C251" s="563"/>
      <x:c r="D251" s="563"/>
      <x:c r="E251" s="639"/>
      <x:c r="F251" s="563"/>
      <x:c r="G251" s="565"/>
    </x:row>
    <x:row r="252">
      <x:c r="A252" s="562"/>
      <x:c r="B252" s="563"/>
      <x:c r="C252" s="563"/>
      <x:c r="D252" s="563"/>
      <x:c r="E252" s="639"/>
      <x:c r="F252" s="563"/>
      <x:c r="G252" s="565"/>
    </x:row>
    <x:row r="253">
      <x:c r="A253" s="562"/>
      <x:c r="B253" s="563"/>
      <x:c r="C253" s="563"/>
      <x:c r="D253" s="563"/>
      <x:c r="E253" s="639"/>
      <x:c r="F253" s="563"/>
      <x:c r="G253" s="565"/>
    </x:row>
    <x:row r="254">
      <x:c r="A254" s="566"/>
      <x:c r="B254" s="567"/>
      <x:c r="C254" s="567"/>
      <x:c r="D254" s="567"/>
      <x:c r="E254" s="640"/>
      <x:c r="F254" s="567"/>
      <x:c r="G254" s="569"/>
    </x:row>
    <x:row r="255">
      <x:c r="A255" s="562"/>
      <x:c r="B255" s="563"/>
      <x:c r="C255" s="563"/>
      <x:c r="D255" s="563"/>
      <x:c r="E255" s="639"/>
      <x:c r="F255" s="563"/>
      <x:c r="G255" s="565"/>
    </x:row>
    <x:row r="256">
      <x:c r="A256" s="562"/>
      <x:c r="B256" s="563"/>
      <x:c r="C256" s="563"/>
      <x:c r="D256" s="563"/>
      <x:c r="E256" s="639"/>
      <x:c r="F256" s="563"/>
      <x:c r="G256" s="565"/>
    </x:row>
    <x:row r="257">
      <x:c r="A257" s="562"/>
      <x:c r="B257" s="563"/>
      <x:c r="C257" s="563"/>
      <x:c r="D257" s="563"/>
      <x:c r="E257" s="639"/>
      <x:c r="F257" s="563"/>
      <x:c r="G257" s="565"/>
    </x:row>
    <x:row r="258">
      <x:c r="A258" s="566"/>
      <x:c r="B258" s="567"/>
      <x:c r="C258" s="567"/>
      <x:c r="D258" s="567"/>
      <x:c r="E258" s="640"/>
      <x:c r="F258" s="567"/>
      <x:c r="G258" s="569"/>
    </x:row>
    <x:row r="259">
      <x:c r="A259"/>
      <x:c r="B259"/>
      <x:c r="C259"/>
      <x:c r="D259"/>
      <x:c r="E259" s="639"/>
      <x:c r="F259"/>
      <x:c r="G259"/>
    </x:row>
    <x:row r="260">
      <x:c r="A260"/>
      <x:c r="B260"/>
      <x:c r="C260"/>
      <x:c r="D260"/>
      <x:c r="E260" s="639"/>
      <x:c r="F260"/>
      <x:c r="G260"/>
    </x:row>
    <x:row r="261">
      <x:c r="A261"/>
      <x:c r="B261"/>
      <x:c r="C261"/>
      <x:c r="D261"/>
      <x:c r="E261" s="639"/>
      <x:c r="F261"/>
      <x:c r="G261"/>
    </x:row>
    <x:row r="262">
      <x:c r="A262"/>
      <x:c r="B262"/>
      <x:c r="C262"/>
      <x:c r="D262"/>
      <x:c r="E262" s="639"/>
      <x:c r="F262"/>
      <x:c r="G262"/>
    </x:row>
    <x:row r="263">
      <x:c r="A263"/>
      <x:c r="B263"/>
      <x:c r="C263"/>
      <x:c r="D263"/>
      <x:c r="E263" s="639"/>
      <x:c r="F263"/>
      <x:c r="G263"/>
    </x:row>
    <x:row r="264">
      <x:c r="A264"/>
      <x:c r="B264"/>
      <x:c r="C264"/>
      <x:c r="D264"/>
      <x:c r="E264" s="639"/>
      <x:c r="F264"/>
      <x:c r="G264"/>
    </x:row>
    <x:row r="265">
      <x:c r="A265"/>
      <x:c r="B265"/>
      <x:c r="C265"/>
      <x:c r="D265"/>
      <x:c r="E265" s="639"/>
      <x:c r="F265"/>
      <x:c r="G265"/>
    </x:row>
    <x:row r="266">
      <x:c r="A266"/>
      <x:c r="B266"/>
      <x:c r="C266"/>
      <x:c r="D266"/>
      <x:c r="E266" s="639"/>
      <x:c r="F266"/>
      <x:c r="G266"/>
    </x:row>
    <x:row r="267">
      <x:c r="A267"/>
      <x:c r="B267"/>
      <x:c r="C267"/>
      <x:c r="D267"/>
      <x:c r="E267" s="639"/>
      <x:c r="F267"/>
      <x:c r="G267"/>
    </x:row>
    <x:row r="268">
      <x:c r="A268"/>
      <x:c r="B268"/>
      <x:c r="C268"/>
      <x:c r="D268"/>
      <x:c r="E268" s="639"/>
      <x:c r="F268"/>
      <x:c r="G268"/>
    </x:row>
    <x:row r="269">
      <x:c r="A269"/>
      <x:c r="B269"/>
      <x:c r="C269"/>
      <x:c r="D269"/>
      <x:c r="E269" s="639"/>
      <x:c r="F269"/>
      <x:c r="G269"/>
    </x:row>
    <x:row r="270">
      <x:c r="A270"/>
      <x:c r="B270"/>
      <x:c r="C270"/>
      <x:c r="D270"/>
      <x:c r="E270" s="639"/>
      <x:c r="F270"/>
      <x:c r="G270"/>
    </x:row>
    <x:row r="271">
      <x:c r="A271"/>
      <x:c r="B271"/>
      <x:c r="C271"/>
      <x:c r="D271"/>
      <x:c r="E271" s="639"/>
      <x:c r="F271"/>
      <x:c r="G271"/>
    </x:row>
    <x:row r="272">
      <x:c r="A272"/>
      <x:c r="B272"/>
      <x:c r="C272"/>
      <x:c r="D272"/>
      <x:c r="E272" s="639"/>
      <x:c r="F272"/>
      <x:c r="G272"/>
    </x:row>
    <x:row r="273">
      <x:c r="A273"/>
      <x:c r="B273"/>
      <x:c r="C273"/>
      <x:c r="D273"/>
      <x:c r="E273" s="639"/>
      <x:c r="F273"/>
      <x:c r="G273"/>
    </x:row>
    <x:row r="274">
      <x:c r="A274"/>
      <x:c r="B274"/>
      <x:c r="C274"/>
      <x:c r="D274"/>
      <x:c r="E274" s="639"/>
      <x:c r="F274"/>
      <x:c r="G274"/>
    </x:row>
    <x:row r="275">
      <x:c r="A275"/>
      <x:c r="B275"/>
      <x:c r="C275"/>
      <x:c r="D275"/>
      <x:c r="E275" s="639"/>
      <x:c r="F275"/>
      <x:c r="G275"/>
    </x:row>
    <x:row r="276">
      <x:c r="A276"/>
      <x:c r="B276"/>
      <x:c r="C276"/>
      <x:c r="D276"/>
      <x:c r="E276" s="639"/>
      <x:c r="F276"/>
      <x:c r="G276"/>
    </x:row>
    <x:row r="277">
      <x:c r="A277"/>
      <x:c r="B277"/>
      <x:c r="C277"/>
      <x:c r="D277"/>
      <x:c r="E277" s="639"/>
      <x:c r="F277"/>
      <x:c r="G277"/>
    </x:row>
    <x:row r="278">
      <x:c r="A278"/>
      <x:c r="B278"/>
      <x:c r="C278"/>
      <x:c r="D278"/>
      <x:c r="E278" s="639"/>
      <x:c r="F278"/>
      <x:c r="G278"/>
    </x:row>
    <x:row r="279">
      <x:c r="A279"/>
      <x:c r="B279"/>
      <x:c r="C279"/>
      <x:c r="D279"/>
      <x:c r="E279" s="639"/>
      <x:c r="F279"/>
      <x:c r="G279"/>
    </x:row>
    <x:row r="280">
      <x:c r="A280"/>
      <x:c r="B280"/>
      <x:c r="C280"/>
      <x:c r="D280"/>
      <x:c r="E280" s="639"/>
      <x:c r="F280"/>
      <x:c r="G280"/>
    </x:row>
    <x:row r="281">
      <x:c r="A281"/>
      <x:c r="B281"/>
      <x:c r="C281"/>
      <x:c r="D281"/>
      <x:c r="E281" s="640"/>
      <x:c r="F281"/>
      <x:c r="G281"/>
    </x:row>
    <x:row r="282">
      <x:c r="A282"/>
      <x:c r="B282"/>
      <x:c r="C282"/>
      <x:c r="D282"/>
      <x:c r="E282" s="639"/>
      <x:c r="F282"/>
      <x:c r="G282"/>
    </x:row>
    <x:row r="283">
      <x:c r="A283"/>
      <x:c r="B283"/>
      <x:c r="C283"/>
      <x:c r="D283"/>
      <x:c r="E283" s="639"/>
      <x:c r="F283"/>
      <x:c r="G283"/>
    </x:row>
    <x:row r="284">
      <x:c r="A284"/>
      <x:c r="B284"/>
      <x:c r="C284"/>
      <x:c r="D284"/>
      <x:c r="E284" s="639"/>
      <x:c r="F284"/>
      <x:c r="G284"/>
    </x:row>
    <x:row r="285">
      <x:c r="A285"/>
      <x:c r="B285"/>
      <x:c r="C285"/>
      <x:c r="D285"/>
      <x:c r="E285" s="639"/>
      <x:c r="F285"/>
      <x:c r="G285"/>
    </x:row>
    <x:row r="286">
      <x:c r="A286"/>
      <x:c r="B286"/>
      <x:c r="C286"/>
      <x:c r="D286"/>
      <x:c r="E286" s="639"/>
      <x:c r="F286"/>
      <x:c r="G286"/>
    </x:row>
    <x:row r="287">
      <x:c r="A287"/>
      <x:c r="B287"/>
      <x:c r="C287"/>
      <x:c r="D287"/>
      <x:c r="E287" s="639"/>
      <x:c r="F287"/>
      <x:c r="G287"/>
    </x:row>
    <x:row r="288">
      <x:c r="A288"/>
      <x:c r="B288"/>
      <x:c r="C288"/>
      <x:c r="D288"/>
      <x:c r="E288" s="639"/>
      <x:c r="F288"/>
      <x:c r="G288"/>
    </x:row>
    <x:row r="289">
      <x:c r="A289"/>
      <x:c r="B289"/>
      <x:c r="C289"/>
      <x:c r="D289"/>
      <x:c r="E289" s="639"/>
      <x:c r="F289"/>
      <x:c r="G289"/>
    </x:row>
    <x:row r="290">
      <x:c r="A290"/>
      <x:c r="B290"/>
      <x:c r="C290"/>
      <x:c r="D290"/>
      <x:c r="E290" s="639"/>
      <x:c r="F290"/>
      <x:c r="G290"/>
    </x:row>
    <x:row r="291">
      <x:c r="A291"/>
      <x:c r="B291"/>
      <x:c r="C291"/>
      <x:c r="D291"/>
      <x:c r="E291" s="639"/>
      <x:c r="F291"/>
      <x:c r="G291"/>
    </x:row>
    <x:row r="292">
      <x:c r="A292"/>
      <x:c r="B292"/>
      <x:c r="C292"/>
      <x:c r="D292"/>
      <x:c r="E292" s="639"/>
      <x:c r="F292"/>
      <x:c r="G292"/>
    </x:row>
    <x:row r="293">
      <x:c r="A293"/>
      <x:c r="B293"/>
      <x:c r="C293"/>
      <x:c r="D293"/>
      <x:c r="E293" s="639"/>
      <x:c r="F293"/>
      <x:c r="G293"/>
    </x:row>
    <x:row r="294">
      <x:c r="A294"/>
      <x:c r="B294"/>
      <x:c r="C294"/>
      <x:c r="D294"/>
      <x:c r="E294" s="639"/>
      <x:c r="F294"/>
      <x:c r="G294"/>
    </x:row>
    <x:row r="295">
      <x:c r="A295"/>
      <x:c r="B295"/>
      <x:c r="C295"/>
      <x:c r="D295"/>
      <x:c r="E295" s="639"/>
      <x:c r="F295"/>
      <x:c r="G295"/>
    </x:row>
    <x:row r="296">
      <x:c r="A296"/>
      <x:c r="B296"/>
      <x:c r="C296"/>
      <x:c r="D296"/>
      <x:c r="E296" s="639"/>
      <x:c r="F296"/>
      <x:c r="G296"/>
    </x:row>
    <x:row r="297">
      <x:c r="A297"/>
      <x:c r="B297"/>
      <x:c r="C297"/>
      <x:c r="D297"/>
      <x:c r="E297" s="639"/>
      <x:c r="F297"/>
      <x:c r="G297"/>
    </x:row>
    <x:row r="298">
      <x:c r="A298"/>
      <x:c r="B298"/>
      <x:c r="C298"/>
      <x:c r="D298"/>
      <x:c r="E298" s="639"/>
      <x:c r="F298"/>
      <x:c r="G298"/>
    </x:row>
    <x:row r="299">
      <x:c r="A299"/>
      <x:c r="B299"/>
      <x:c r="C299"/>
      <x:c r="D299"/>
      <x:c r="E299" s="639"/>
      <x:c r="F299"/>
      <x:c r="G299"/>
    </x:row>
    <x:row r="300">
      <x:c r="A300"/>
      <x:c r="B300"/>
      <x:c r="C300"/>
      <x:c r="D300"/>
      <x:c r="E300" s="639"/>
      <x:c r="F300"/>
      <x:c r="G300"/>
    </x:row>
    <x:row r="301">
      <x:c r="A301"/>
      <x:c r="B301"/>
      <x:c r="C301"/>
      <x:c r="D301"/>
      <x:c r="E301" s="639"/>
      <x:c r="F301"/>
      <x:c r="G301"/>
    </x:row>
    <x:row r="302">
      <x:c r="A302"/>
      <x:c r="B302"/>
      <x:c r="C302"/>
      <x:c r="D302"/>
      <x:c r="E302" s="639"/>
      <x:c r="F302"/>
      <x:c r="G302"/>
    </x:row>
    <x:row r="303">
      <x:c r="A303"/>
      <x:c r="B303"/>
      <x:c r="C303"/>
      <x:c r="D303"/>
      <x:c r="E303" s="639"/>
      <x:c r="F303"/>
      <x:c r="G303"/>
    </x:row>
    <x:row r="304">
      <x:c r="A304"/>
      <x:c r="B304"/>
      <x:c r="C304"/>
      <x:c r="D304"/>
      <x:c r="E304" s="639"/>
      <x:c r="F304"/>
      <x:c r="G304"/>
    </x:row>
    <x:row r="305">
      <x:c r="A305"/>
      <x:c r="B305"/>
      <x:c r="C305"/>
      <x:c r="D305"/>
      <x:c r="E305" s="639"/>
      <x:c r="F305"/>
      <x:c r="G305"/>
    </x:row>
    <x:row r="306">
      <x:c r="A306"/>
      <x:c r="B306"/>
      <x:c r="C306"/>
      <x:c r="D306"/>
      <x:c r="E306" s="639"/>
      <x:c r="F306"/>
      <x:c r="G306"/>
    </x:row>
    <x:row r="307">
      <x:c r="A307"/>
      <x:c r="B307"/>
      <x:c r="C307"/>
      <x:c r="D307"/>
      <x:c r="E307" s="639"/>
      <x:c r="F307"/>
      <x:c r="G307"/>
    </x:row>
    <x:row r="308">
      <x:c r="A308"/>
      <x:c r="B308"/>
      <x:c r="C308"/>
      <x:c r="D308"/>
      <x:c r="E308" s="639"/>
      <x:c r="F308"/>
      <x:c r="G308"/>
    </x:row>
    <x:row r="309">
      <x:c r="A309"/>
      <x:c r="B309"/>
      <x:c r="C309"/>
      <x:c r="D309"/>
      <x:c r="E309" s="639"/>
      <x:c r="F309"/>
      <x:c r="G309"/>
    </x:row>
    <x:row r="310">
      <x:c r="A310"/>
      <x:c r="B310"/>
      <x:c r="C310"/>
      <x:c r="D310"/>
      <x:c r="E310" s="639"/>
      <x:c r="F310"/>
      <x:c r="G310"/>
    </x:row>
    <x:row r="311">
      <x:c r="A311"/>
      <x:c r="B311"/>
      <x:c r="C311"/>
      <x:c r="D311"/>
      <x:c r="E311" s="639"/>
      <x:c r="F311"/>
      <x:c r="G311"/>
    </x:row>
    <x:row r="312">
      <x:c r="A312"/>
      <x:c r="B312"/>
      <x:c r="C312"/>
      <x:c r="D312"/>
      <x:c r="E312" s="639"/>
      <x:c r="F312"/>
      <x:c r="G312"/>
    </x:row>
    <x:row r="313">
      <x:c r="A313"/>
      <x:c r="B313"/>
      <x:c r="C313"/>
      <x:c r="D313"/>
      <x:c r="E313" s="639"/>
      <x:c r="F313"/>
      <x:c r="G313"/>
    </x:row>
    <x:row r="314">
      <x:c r="A314"/>
      <x:c r="B314"/>
      <x:c r="C314"/>
      <x:c r="D314"/>
      <x:c r="E314" s="639"/>
      <x:c r="F314"/>
      <x:c r="G314"/>
    </x:row>
    <x:row r="315">
      <x:c r="A315"/>
      <x:c r="B315"/>
      <x:c r="C315"/>
      <x:c r="D315"/>
      <x:c r="E315" s="639"/>
      <x:c r="F315"/>
      <x:c r="G315"/>
    </x:row>
    <x:row r="316">
      <x:c r="A316"/>
      <x:c r="B316"/>
      <x:c r="C316"/>
      <x:c r="D316"/>
      <x:c r="E316" s="639"/>
      <x:c r="F316"/>
      <x:c r="G316"/>
    </x:row>
    <x:row r="317">
      <x:c r="A317"/>
      <x:c r="B317"/>
      <x:c r="C317"/>
      <x:c r="D317"/>
      <x:c r="E317" s="640"/>
      <x:c r="F317"/>
      <x:c r="G317"/>
    </x:row>
    <x:row r="318">
      <x:c r="A318"/>
      <x:c r="B318"/>
      <x:c r="C318"/>
      <x:c r="D318"/>
      <x:c r="E318" s="639"/>
      <x:c r="F318"/>
      <x:c r="G318"/>
    </x:row>
    <x:row r="319">
      <x:c r="A319"/>
      <x:c r="B319"/>
      <x:c r="C319"/>
      <x:c r="D319"/>
      <x:c r="E319" s="639"/>
      <x:c r="F319"/>
      <x:c r="G319"/>
    </x:row>
    <x:row r="320">
      <x:c r="A320"/>
      <x:c r="B320"/>
      <x:c r="C320"/>
      <x:c r="D320"/>
      <x:c r="E320" s="639"/>
      <x:c r="F320"/>
      <x:c r="G320"/>
    </x:row>
    <x:row r="321">
      <x:c r="A321"/>
      <x:c r="B321"/>
      <x:c r="C321"/>
      <x:c r="D321"/>
      <x:c r="E321" s="639"/>
      <x:c r="F321"/>
      <x:c r="G321"/>
    </x:row>
    <x:row r="322">
      <x:c r="A322"/>
      <x:c r="B322"/>
      <x:c r="C322"/>
      <x:c r="D322"/>
      <x:c r="E322" s="639"/>
      <x:c r="F322"/>
      <x:c r="G322"/>
    </x:row>
    <x:row r="323">
      <x:c r="A323"/>
      <x:c r="B323"/>
      <x:c r="C323"/>
      <x:c r="D323"/>
      <x:c r="E323" s="639"/>
      <x:c r="F323"/>
      <x:c r="G323"/>
    </x:row>
    <x:row r="324">
      <x:c r="A324"/>
      <x:c r="B324"/>
      <x:c r="C324"/>
      <x:c r="D324"/>
      <x:c r="E324" s="639"/>
      <x:c r="F324"/>
      <x:c r="G324"/>
    </x:row>
    <x:row r="325">
      <x:c r="A325"/>
      <x:c r="B325"/>
      <x:c r="C325"/>
      <x:c r="D325"/>
      <x:c r="E325" s="639"/>
      <x:c r="F325"/>
      <x:c r="G325"/>
    </x:row>
    <x:row r="326">
      <x:c r="A326"/>
      <x:c r="B326"/>
      <x:c r="C326"/>
      <x:c r="D326"/>
      <x:c r="E326" s="639"/>
      <x:c r="F326"/>
      <x:c r="G326"/>
    </x:row>
    <x:row r="327">
      <x:c r="A327"/>
      <x:c r="B327"/>
      <x:c r="C327"/>
      <x:c r="D327"/>
      <x:c r="E327" s="639"/>
      <x:c r="F327"/>
      <x:c r="G327"/>
    </x:row>
    <x:row r="328">
      <x:c r="A328"/>
      <x:c r="B328"/>
      <x:c r="C328"/>
      <x:c r="D328"/>
      <x:c r="E328" s="639"/>
      <x:c r="F328"/>
      <x:c r="G328"/>
    </x:row>
    <x:row r="329">
      <x:c r="A329"/>
      <x:c r="B329"/>
      <x:c r="C329"/>
      <x:c r="D329"/>
      <x:c r="E329" s="639"/>
      <x:c r="F329"/>
      <x:c r="G329"/>
    </x:row>
    <x:row r="330">
      <x:c r="A330"/>
      <x:c r="B330"/>
      <x:c r="C330"/>
      <x:c r="D330"/>
      <x:c r="E330" s="639"/>
      <x:c r="F330"/>
      <x:c r="G330"/>
    </x:row>
    <x:row r="331">
      <x:c r="A331"/>
      <x:c r="B331"/>
      <x:c r="C331"/>
      <x:c r="D331"/>
      <x:c r="E331" s="639"/>
      <x:c r="F331"/>
      <x:c r="G331"/>
    </x:row>
    <x:row r="332">
      <x:c r="A332"/>
      <x:c r="B332"/>
      <x:c r="C332"/>
      <x:c r="D332"/>
      <x:c r="E332" s="639"/>
      <x:c r="F332"/>
      <x:c r="G332"/>
    </x:row>
    <x:row r="333">
      <x:c r="A333"/>
      <x:c r="B333"/>
      <x:c r="C333"/>
      <x:c r="D333"/>
      <x:c r="E333" s="639"/>
      <x:c r="F333"/>
      <x:c r="G333"/>
    </x:row>
    <x:row r="334">
      <x:c r="A334"/>
      <x:c r="B334"/>
      <x:c r="C334"/>
      <x:c r="D334"/>
      <x:c r="E334" s="639"/>
      <x:c r="F334"/>
      <x:c r="G334"/>
    </x:row>
    <x:row r="335">
      <x:c r="A335"/>
      <x:c r="B335"/>
      <x:c r="C335"/>
      <x:c r="D335"/>
      <x:c r="E335" s="639"/>
      <x:c r="F335"/>
      <x:c r="G335"/>
    </x:row>
    <x:row r="336">
      <x:c r="A336"/>
      <x:c r="B336"/>
      <x:c r="C336"/>
      <x:c r="D336"/>
      <x:c r="E336" s="639"/>
      <x:c r="F336"/>
      <x:c r="G336"/>
    </x:row>
    <x:row r="337">
      <x:c r="A337"/>
      <x:c r="B337"/>
      <x:c r="C337"/>
      <x:c r="D337"/>
      <x:c r="E337" s="639"/>
      <x:c r="F337"/>
      <x:c r="G337"/>
    </x:row>
    <x:row r="338">
      <x:c r="A338"/>
      <x:c r="B338"/>
      <x:c r="C338"/>
      <x:c r="D338"/>
      <x:c r="E338" s="639"/>
      <x:c r="F338"/>
      <x:c r="G338"/>
    </x:row>
    <x:row r="339">
      <x:c r="A339"/>
      <x:c r="B339"/>
      <x:c r="C339"/>
      <x:c r="D339"/>
      <x:c r="E339" s="639"/>
      <x:c r="F339"/>
      <x:c r="G339"/>
    </x:row>
    <x:row r="340">
      <x:c r="A340"/>
      <x:c r="B340"/>
      <x:c r="C340"/>
      <x:c r="D340"/>
      <x:c r="E340" s="6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</x:row>
    <x:row r="1005">
      <x:c r="A1005"/>
      <x:c r="B1005"/>
      <x:c r="C1005"/>
      <x:c r="D1005"/>
      <x:c r="E1005"/>
      <x:c r="F1005"/>
      <x:c r="G1005"/>
    </x:row>
    <x:row r="1006">
      <x:c r="A1006"/>
      <x:c r="B1006"/>
      <x:c r="C1006"/>
      <x:c r="D1006"/>
      <x:c r="E1006"/>
      <x:c r="F1006"/>
      <x:c r="G1006"/>
    </x:row>
    <x:row r="1007">
      <x:c r="A1007"/>
      <x:c r="B1007"/>
      <x:c r="C1007"/>
      <x:c r="D1007"/>
      <x:c r="E1007"/>
      <x:c r="F1007"/>
      <x:c r="G1007"/>
    </x:row>
    <x:row r="1008">
      <x:c r="A1008"/>
      <x:c r="B1008"/>
      <x:c r="C1008"/>
      <x:c r="D1008"/>
      <x:c r="E1008"/>
      <x:c r="F1008"/>
      <x:c r="G1008"/>
    </x:row>
    <x:row r="1009">
      <x:c r="A1009"/>
      <x:c r="B1009"/>
      <x:c r="C1009"/>
      <x:c r="D1009"/>
      <x:c r="E1009"/>
      <x:c r="F1009"/>
      <x:c r="G1009"/>
    </x:row>
    <x:row r="1010">
      <x:c r="A1010"/>
      <x:c r="B1010"/>
      <x:c r="C1010"/>
      <x:c r="D1010"/>
      <x:c r="E1010"/>
      <x:c r="F1010"/>
      <x:c r="G1010"/>
    </x:row>
    <x:row r="1011">
      <x:c r="A1011"/>
      <x:c r="B1011"/>
      <x:c r="C1011"/>
      <x:c r="D1011"/>
      <x:c r="E1011"/>
      <x:c r="F1011"/>
      <x:c r="G1011"/>
    </x:row>
    <x:row r="1012">
      <x:c r="A1012"/>
      <x:c r="B1012"/>
      <x:c r="C1012"/>
      <x:c r="D1012"/>
      <x:c r="E1012"/>
      <x:c r="F1012"/>
      <x:c r="G1012"/>
    </x:row>
    <x:row r="1013">
      <x:c r="A1013"/>
      <x:c r="B1013"/>
      <x:c r="C1013"/>
      <x:c r="D1013"/>
      <x:c r="E1013"/>
      <x:c r="F1013"/>
      <x:c r="G1013"/>
    </x:row>
    <x:row r="1014">
      <x:c r="A1014"/>
      <x:c r="B1014"/>
      <x:c r="C1014"/>
      <x:c r="D1014"/>
      <x:c r="E1014"/>
      <x:c r="F1014"/>
      <x:c r="G1014"/>
    </x:row>
    <x:row r="1015">
      <x:c r="A1015"/>
      <x:c r="B1015"/>
      <x:c r="C1015"/>
      <x:c r="D1015"/>
      <x:c r="E1015"/>
      <x:c r="F1015"/>
      <x:c r="G1015"/>
    </x:row>
    <x:row r="1016">
      <x:c r="A1016"/>
      <x:c r="B1016"/>
      <x:c r="C1016"/>
      <x:c r="D1016"/>
      <x:c r="E1016"/>
      <x:c r="F1016"/>
      <x:c r="G1016"/>
    </x:row>
    <x:row r="1017">
      <x:c r="A1017"/>
      <x:c r="B1017"/>
      <x:c r="C1017"/>
      <x:c r="D1017"/>
      <x:c r="E1017"/>
      <x:c r="F1017"/>
      <x:c r="G1017"/>
    </x:row>
    <x:row r="1018">
      <x:c r="A1018"/>
      <x:c r="B1018"/>
      <x:c r="C1018"/>
      <x:c r="D1018"/>
      <x:c r="E1018"/>
      <x:c r="F1018"/>
      <x:c r="G1018"/>
    </x:row>
    <x:row r="1019">
      <x:c r="A1019"/>
      <x:c r="B1019"/>
      <x:c r="C1019"/>
      <x:c r="D1019"/>
      <x:c r="E1019"/>
      <x:c r="F1019"/>
      <x:c r="G1019"/>
    </x:row>
    <x:row r="1020">
      <x:c r="A1020"/>
      <x:c r="B1020"/>
      <x:c r="C1020"/>
      <x:c r="D1020"/>
      <x:c r="E1020"/>
      <x:c r="F1020"/>
      <x:c r="G1020"/>
    </x:row>
    <x:row r="1021">
      <x:c r="A1021"/>
      <x:c r="B1021"/>
      <x:c r="C1021"/>
      <x:c r="D1021"/>
      <x:c r="E1021"/>
      <x:c r="F1021"/>
      <x:c r="G1021"/>
    </x:row>
    <x:row r="1022">
      <x:c r="A1022"/>
      <x:c r="B1022"/>
      <x:c r="C1022"/>
      <x:c r="D1022"/>
      <x:c r="E1022"/>
      <x:c r="F1022"/>
      <x:c r="G1022"/>
    </x:row>
    <x:row r="1023">
      <x:c r="A1023"/>
      <x:c r="B1023"/>
      <x:c r="C1023"/>
      <x:c r="D1023"/>
      <x:c r="E1023"/>
      <x:c r="F1023"/>
      <x:c r="G1023"/>
    </x:row>
    <x:row r="1024">
      <x:c r="A1024"/>
      <x:c r="B1024"/>
      <x:c r="C1024"/>
      <x:c r="D1024"/>
      <x:c r="E1024"/>
      <x:c r="F1024"/>
      <x:c r="G1024"/>
    </x:row>
    <x:row r="1025">
      <x:c r="A1025"/>
      <x:c r="B1025"/>
      <x:c r="C1025"/>
      <x:c r="D1025"/>
      <x:c r="E1025"/>
      <x:c r="F1025"/>
      <x:c r="G1025"/>
    </x:row>
    <x:row r="1026">
      <x:c r="A1026"/>
      <x:c r="B1026"/>
      <x:c r="C1026"/>
      <x:c r="D1026"/>
      <x:c r="E1026"/>
      <x:c r="F1026"/>
      <x:c r="G1026"/>
    </x:row>
    <x:row r="1027">
      <x:c r="A1027"/>
      <x:c r="B1027"/>
      <x:c r="C1027"/>
      <x:c r="D1027"/>
      <x:c r="E1027"/>
      <x:c r="F1027"/>
      <x:c r="G1027"/>
    </x:row>
    <x:row r="1028">
      <x:c r="A1028"/>
      <x:c r="B1028"/>
      <x:c r="C1028"/>
      <x:c r="D1028"/>
      <x:c r="E1028"/>
      <x:c r="F1028"/>
      <x:c r="G1028"/>
    </x:row>
    <x:row r="1029">
      <x:c r="A1029"/>
      <x:c r="B1029"/>
      <x:c r="C1029"/>
      <x:c r="D1029"/>
      <x:c r="E1029"/>
      <x:c r="F1029"/>
      <x:c r="G1029"/>
    </x:row>
    <x:row r="1030">
      <x:c r="A1030"/>
      <x:c r="B1030"/>
      <x:c r="C1030"/>
      <x:c r="D1030"/>
      <x:c r="E1030"/>
      <x:c r="F1030"/>
      <x:c r="G1030"/>
    </x:row>
    <x:row r="1031">
      <x:c r="A1031"/>
      <x:c r="B1031"/>
      <x:c r="C1031"/>
      <x:c r="D1031"/>
      <x:c r="E1031"/>
      <x:c r="F1031"/>
      <x:c r="G1031"/>
    </x:row>
    <x:row r="1032">
      <x:c r="A1032"/>
      <x:c r="B1032"/>
      <x:c r="C1032"/>
      <x:c r="D1032"/>
      <x:c r="E1032"/>
      <x:c r="F1032"/>
      <x:c r="G1032"/>
    </x:row>
    <x:row r="1033">
      <x:c r="A1033"/>
      <x:c r="B1033"/>
      <x:c r="C1033"/>
      <x:c r="D1033"/>
      <x:c r="E1033"/>
      <x:c r="F1033"/>
      <x:c r="G1033"/>
    </x:row>
    <x:row r="1034">
      <x:c r="A1034"/>
      <x:c r="B1034"/>
      <x:c r="C1034"/>
      <x:c r="D1034"/>
      <x:c r="E1034"/>
      <x:c r="F1034"/>
      <x:c r="G1034"/>
    </x:row>
    <x:row r="1035">
      <x:c r="A1035"/>
      <x:c r="B1035"/>
      <x:c r="C1035"/>
      <x:c r="D1035"/>
      <x:c r="E1035"/>
      <x:c r="F1035"/>
      <x:c r="G1035"/>
    </x:row>
    <x:row r="1036">
      <x:c r="A1036"/>
      <x:c r="B1036"/>
      <x:c r="C1036"/>
      <x:c r="D1036"/>
      <x:c r="E1036"/>
      <x:c r="F1036"/>
      <x:c r="G1036"/>
    </x:row>
    <x:row r="1037">
      <x:c r="A1037"/>
      <x:c r="B1037"/>
      <x:c r="C1037"/>
      <x:c r="D1037"/>
      <x:c r="E1037"/>
      <x:c r="F1037"/>
      <x:c r="G1037"/>
    </x:row>
    <x:row r="1038">
      <x:c r="A1038"/>
      <x:c r="B1038"/>
      <x:c r="C1038"/>
      <x:c r="D1038"/>
      <x:c r="E1038"/>
      <x:c r="F1038"/>
      <x:c r="G1038"/>
    </x:row>
    <x:row r="1039">
      <x:c r="A1039"/>
      <x:c r="B1039"/>
      <x:c r="C1039"/>
      <x:c r="D1039"/>
      <x:c r="E1039"/>
      <x:c r="F1039"/>
      <x:c r="G1039"/>
    </x:row>
    <x:row r="1040">
      <x:c r="A1040"/>
      <x:c r="B1040"/>
      <x:c r="C1040"/>
      <x:c r="D1040"/>
      <x:c r="E1040"/>
      <x:c r="F1040"/>
      <x:c r="G1040"/>
    </x:row>
    <x:row r="1041">
      <x:c r="A1041"/>
      <x:c r="B1041"/>
      <x:c r="C1041"/>
      <x:c r="D1041"/>
      <x:c r="E1041"/>
      <x:c r="F1041"/>
      <x:c r="G1041"/>
    </x:row>
    <x:row r="1042">
      <x:c r="A1042"/>
      <x:c r="B1042"/>
      <x:c r="C1042"/>
      <x:c r="D1042"/>
      <x:c r="E1042"/>
      <x:c r="F1042"/>
      <x:c r="G1042"/>
    </x:row>
    <x:row r="1043">
      <x:c r="A1043"/>
      <x:c r="B1043"/>
      <x:c r="C1043"/>
      <x:c r="D1043"/>
      <x:c r="E1043"/>
      <x:c r="F1043"/>
      <x:c r="G1043"/>
    </x:row>
    <x:row r="1044">
      <x:c r="A1044"/>
      <x:c r="B1044"/>
      <x:c r="C1044"/>
      <x:c r="D1044"/>
      <x:c r="E1044"/>
      <x:c r="F1044"/>
      <x:c r="G1044"/>
    </x:row>
    <x:row r="1045">
      <x:c r="A1045"/>
      <x:c r="B1045"/>
      <x:c r="C1045"/>
      <x:c r="D1045"/>
      <x:c r="E1045"/>
      <x:c r="F1045"/>
      <x:c r="G1045"/>
    </x:row>
    <x:row r="1046">
      <x:c r="A1046"/>
      <x:c r="B1046"/>
      <x:c r="C1046"/>
      <x:c r="D1046"/>
      <x:c r="E1046"/>
      <x:c r="F1046"/>
      <x:c r="G1046"/>
    </x:row>
    <x:row r="1047">
      <x:c r="A1047"/>
      <x:c r="B1047"/>
      <x:c r="C1047"/>
      <x:c r="D1047"/>
      <x:c r="E1047"/>
      <x:c r="F1047"/>
      <x:c r="G1047"/>
    </x:row>
    <x:row r="1048">
      <x:c r="A1048"/>
      <x:c r="B1048"/>
      <x:c r="C1048"/>
      <x:c r="D1048"/>
      <x:c r="E1048"/>
      <x:c r="F1048"/>
      <x:c r="G1048"/>
    </x:row>
    <x:row r="1049">
      <x:c r="A1049"/>
      <x:c r="B1049"/>
      <x:c r="C1049"/>
      <x:c r="D1049"/>
      <x:c r="E1049"/>
      <x:c r="F1049"/>
      <x:c r="G1049"/>
    </x:row>
    <x:row r="1050">
      <x:c r="A1050"/>
      <x:c r="B1050"/>
      <x:c r="C1050"/>
      <x:c r="D1050"/>
      <x:c r="E1050"/>
      <x:c r="F1050"/>
      <x:c r="G1050"/>
    </x:row>
    <x:row r="1051">
      <x:c r="A1051"/>
      <x:c r="B1051"/>
      <x:c r="C1051"/>
      <x:c r="D1051"/>
      <x:c r="E1051"/>
      <x:c r="F1051"/>
      <x:c r="G1051"/>
    </x:row>
    <x:row r="1052">
      <x:c r="A1052"/>
      <x:c r="B1052"/>
      <x:c r="C1052"/>
      <x:c r="D1052"/>
      <x:c r="E1052"/>
      <x:c r="F1052"/>
      <x:c r="G1052"/>
    </x:row>
    <x:row r="1053">
      <x:c r="A1053"/>
      <x:c r="B1053"/>
      <x:c r="C1053"/>
      <x:c r="D1053"/>
      <x:c r="E1053"/>
      <x:c r="F1053"/>
      <x:c r="G1053"/>
    </x:row>
    <x:row r="1054">
      <x:c r="A1054"/>
      <x:c r="B1054"/>
      <x:c r="C1054"/>
      <x:c r="D1054"/>
      <x:c r="E1054"/>
      <x:c r="F1054"/>
      <x:c r="G1054"/>
    </x:row>
    <x:row r="1055">
      <x:c r="A1055"/>
      <x:c r="B1055"/>
      <x:c r="C1055"/>
      <x:c r="D1055"/>
      <x:c r="E1055"/>
      <x:c r="F1055"/>
      <x:c r="G1055"/>
    </x:row>
    <x:row r="1056">
      <x:c r="A1056"/>
      <x:c r="B1056"/>
      <x:c r="C1056"/>
      <x:c r="D1056"/>
      <x:c r="E1056"/>
      <x:c r="F1056"/>
      <x:c r="G1056"/>
    </x:row>
    <x:row r="1057">
      <x:c r="A1057"/>
      <x:c r="B1057"/>
      <x:c r="C1057"/>
      <x:c r="D1057"/>
      <x:c r="E1057"/>
      <x:c r="F1057"/>
      <x:c r="G1057"/>
    </x:row>
    <x:row r="1058">
      <x:c r="A1058"/>
      <x:c r="B1058"/>
      <x:c r="C1058"/>
      <x:c r="D1058"/>
      <x:c r="E1058"/>
      <x:c r="F1058"/>
      <x:c r="G1058"/>
    </x:row>
    <x:row r="1059">
      <x:c r="A1059"/>
      <x:c r="B1059"/>
      <x:c r="C1059"/>
      <x:c r="D1059"/>
      <x:c r="E1059"/>
      <x:c r="F1059"/>
      <x:c r="G1059"/>
    </x:row>
    <x:row r="1060">
      <x:c r="A1060"/>
      <x:c r="B1060"/>
      <x:c r="C1060"/>
      <x:c r="D1060"/>
      <x:c r="E1060"/>
      <x:c r="F1060"/>
      <x:c r="G1060"/>
    </x:row>
    <x:row r="1061">
      <x:c r="A1061"/>
      <x:c r="B1061"/>
      <x:c r="C1061"/>
      <x:c r="D1061"/>
      <x:c r="E1061"/>
      <x:c r="F1061"/>
      <x:c r="G1061"/>
    </x:row>
    <x:row r="1062">
      <x:c r="A1062"/>
      <x:c r="B1062"/>
      <x:c r="C1062"/>
      <x:c r="D1062"/>
      <x:c r="E1062"/>
      <x:c r="F1062"/>
      <x:c r="G1062"/>
    </x:row>
    <x:row r="1063">
      <x:c r="A1063"/>
      <x:c r="B1063"/>
      <x:c r="C1063"/>
      <x:c r="D1063"/>
      <x:c r="E1063"/>
      <x:c r="F1063"/>
      <x:c r="G1063"/>
    </x:row>
    <x:row r="1064">
      <x:c r="A1064"/>
      <x:c r="B1064"/>
      <x:c r="C1064"/>
      <x:c r="D1064"/>
      <x:c r="E1064"/>
      <x:c r="F1064"/>
      <x:c r="G1064"/>
    </x:row>
    <x:row r="1065">
      <x:c r="A1065"/>
      <x:c r="B1065"/>
      <x:c r="C1065"/>
      <x:c r="D1065"/>
      <x:c r="E1065"/>
      <x:c r="F1065"/>
      <x:c r="G1065"/>
    </x:row>
    <x:row r="1066">
      <x:c r="A1066"/>
      <x:c r="B1066"/>
      <x:c r="C1066"/>
      <x:c r="D1066"/>
      <x:c r="E1066"/>
      <x:c r="F1066"/>
      <x:c r="G1066"/>
    </x:row>
    <x:row r="1067">
      <x:c r="A1067"/>
      <x:c r="B1067"/>
      <x:c r="C1067"/>
      <x:c r="D1067"/>
      <x:c r="E1067"/>
      <x:c r="F1067"/>
      <x:c r="G1067"/>
    </x:row>
    <x:row r="1068">
      <x:c r="A1068"/>
      <x:c r="B1068"/>
      <x:c r="C1068"/>
      <x:c r="D1068"/>
      <x:c r="E1068"/>
      <x:c r="F1068"/>
      <x:c r="G1068"/>
    </x:row>
    <x:row r="1069">
      <x:c r="A1069"/>
      <x:c r="B1069"/>
      <x:c r="C1069"/>
      <x:c r="D1069"/>
      <x:c r="E1069"/>
      <x:c r="F1069"/>
      <x:c r="G1069"/>
    </x:row>
    <x:row r="1070">
      <x:c r="A1070"/>
      <x:c r="B1070"/>
      <x:c r="C1070"/>
      <x:c r="D1070"/>
      <x:c r="E1070"/>
      <x:c r="F1070"/>
      <x:c r="G1070"/>
    </x:row>
    <x:row r="1071">
      <x:c r="A1071"/>
      <x:c r="B1071"/>
      <x:c r="C1071"/>
      <x:c r="D1071"/>
      <x:c r="E1071"/>
      <x:c r="F1071"/>
      <x:c r="G1071"/>
    </x:row>
    <x:row r="1072">
      <x:c r="A1072"/>
      <x:c r="B1072"/>
      <x:c r="C1072"/>
      <x:c r="D1072"/>
      <x:c r="E1072"/>
      <x:c r="F1072"/>
      <x:c r="G1072"/>
    </x:row>
    <x:row r="1073">
      <x:c r="A1073"/>
      <x:c r="B1073"/>
      <x:c r="C1073"/>
      <x:c r="D1073"/>
      <x:c r="E1073"/>
      <x:c r="F1073"/>
      <x:c r="G1073"/>
    </x:row>
    <x:row r="1074">
      <x:c r="A1074"/>
      <x:c r="B1074"/>
      <x:c r="C1074"/>
      <x:c r="D1074"/>
      <x:c r="E1074"/>
      <x:c r="F1074"/>
      <x:c r="G1074"/>
    </x:row>
    <x:row r="1075">
      <x:c r="A1075"/>
      <x:c r="B1075"/>
      <x:c r="C1075"/>
      <x:c r="D1075"/>
      <x:c r="E1075"/>
      <x:c r="F1075"/>
      <x:c r="G1075"/>
    </x:row>
    <x:row r="1076">
      <x:c r="A1076"/>
      <x:c r="B1076"/>
      <x:c r="C1076"/>
      <x:c r="D1076"/>
      <x:c r="E1076"/>
      <x:c r="F1076"/>
      <x:c r="G1076"/>
    </x:row>
    <x:row r="1077">
      <x:c r="A1077"/>
      <x:c r="B1077"/>
      <x:c r="C1077"/>
      <x:c r="D1077"/>
      <x:c r="E1077"/>
      <x:c r="F1077"/>
      <x:c r="G1077"/>
    </x:row>
    <x:row r="1078">
      <x:c r="A1078"/>
      <x:c r="B1078"/>
      <x:c r="C1078"/>
      <x:c r="D1078"/>
      <x:c r="E1078"/>
      <x:c r="F1078"/>
      <x:c r="G1078"/>
    </x:row>
    <x:row r="1079">
      <x:c r="A1079"/>
      <x:c r="B1079"/>
      <x:c r="C1079"/>
      <x:c r="D1079"/>
      <x:c r="E1079"/>
      <x:c r="F1079"/>
      <x:c r="G1079"/>
    </x:row>
    <x:row r="1080">
      <x:c r="A1080"/>
      <x:c r="B1080"/>
      <x:c r="C1080"/>
      <x:c r="D1080"/>
      <x:c r="E1080"/>
      <x:c r="F1080"/>
      <x:c r="G1080"/>
    </x:row>
    <x:row r="1081">
      <x:c r="A1081"/>
      <x:c r="B1081"/>
      <x:c r="C1081"/>
      <x:c r="D1081"/>
      <x:c r="E1081"/>
      <x:c r="F1081"/>
      <x:c r="G1081"/>
    </x:row>
    <x:row r="1082">
      <x:c r="A1082"/>
      <x:c r="B1082"/>
      <x:c r="C1082"/>
      <x:c r="D1082"/>
      <x:c r="E1082"/>
      <x:c r="F1082"/>
      <x:c r="G1082"/>
    </x:row>
    <x:row r="1083">
      <x:c r="A1083"/>
      <x:c r="B1083"/>
      <x:c r="C1083"/>
      <x:c r="D1083"/>
      <x:c r="E1083"/>
      <x:c r="F1083"/>
      <x:c r="G1083"/>
    </x:row>
    <x:row r="1084">
      <x:c r="A1084"/>
      <x:c r="B1084"/>
      <x:c r="C1084"/>
      <x:c r="D1084"/>
      <x:c r="E1084"/>
      <x:c r="F1084"/>
      <x:c r="G1084"/>
    </x:row>
    <x:row r="1085">
      <x:c r="A1085"/>
      <x:c r="B1085"/>
      <x:c r="C1085"/>
      <x:c r="D1085"/>
      <x:c r="E1085"/>
      <x:c r="F1085"/>
      <x:c r="G1085"/>
    </x:row>
    <x:row r="1086">
      <x:c r="A1086"/>
      <x:c r="B1086"/>
      <x:c r="C1086"/>
      <x:c r="D1086"/>
      <x:c r="E1086"/>
      <x:c r="F1086"/>
      <x:c r="G1086"/>
    </x:row>
    <x:row r="1087">
      <x:c r="A1087"/>
      <x:c r="B1087"/>
      <x:c r="C1087"/>
      <x:c r="D1087"/>
      <x:c r="E1087"/>
      <x:c r="F1087"/>
      <x:c r="G1087"/>
    </x:row>
    <x:row r="1088">
      <x:c r="A1088"/>
      <x:c r="B1088"/>
      <x:c r="C1088"/>
      <x:c r="D1088"/>
      <x:c r="E1088"/>
      <x:c r="F1088"/>
      <x:c r="G1088"/>
    </x:row>
    <x:row r="1089">
      <x:c r="A1089"/>
      <x:c r="B1089"/>
      <x:c r="C1089"/>
      <x:c r="D1089"/>
      <x:c r="E1089"/>
      <x:c r="F1089"/>
      <x:c r="G1089"/>
    </x:row>
    <x:row r="1090">
      <x:c r="A1090"/>
      <x:c r="B1090"/>
      <x:c r="C1090"/>
      <x:c r="D1090"/>
      <x:c r="E1090"/>
      <x:c r="F1090"/>
      <x:c r="G1090"/>
    </x:row>
    <x:row r="1091">
      <x:c r="A1091"/>
      <x:c r="B1091"/>
      <x:c r="C1091"/>
      <x:c r="D1091"/>
      <x:c r="E1091"/>
      <x:c r="F1091"/>
      <x:c r="G1091"/>
    </x:row>
    <x:row r="1092">
      <x:c r="A1092"/>
      <x:c r="B1092"/>
      <x:c r="C1092"/>
      <x:c r="D1092"/>
      <x:c r="E1092"/>
      <x:c r="F1092"/>
      <x:c r="G1092"/>
    </x:row>
    <x:row r="1093">
      <x:c r="A1093"/>
      <x:c r="B1093"/>
      <x:c r="C1093"/>
      <x:c r="D1093"/>
      <x:c r="E1093"/>
      <x:c r="F1093"/>
      <x:c r="G1093"/>
    </x:row>
    <x:row r="1094">
      <x:c r="A1094"/>
      <x:c r="B1094"/>
      <x:c r="C1094"/>
      <x:c r="D1094"/>
      <x:c r="E1094"/>
      <x:c r="F1094"/>
      <x:c r="G1094"/>
    </x:row>
    <x:row r="1095">
      <x:c r="A1095"/>
      <x:c r="B1095"/>
      <x:c r="C1095"/>
      <x:c r="D1095"/>
      <x:c r="E1095"/>
      <x:c r="F1095"/>
      <x:c r="G1095"/>
    </x:row>
    <x:row r="1096">
      <x:c r="A1096"/>
      <x:c r="B1096"/>
      <x:c r="C1096"/>
      <x:c r="D1096"/>
      <x:c r="E1096"/>
      <x:c r="F1096"/>
      <x:c r="G1096"/>
    </x:row>
    <x:row r="1097">
      <x:c r="A1097"/>
      <x:c r="B1097"/>
      <x:c r="C1097"/>
      <x:c r="D1097"/>
      <x:c r="E1097"/>
      <x:c r="F1097"/>
      <x:c r="G1097"/>
    </x:row>
    <x:row r="1098">
      <x:c r="A1098"/>
      <x:c r="B1098"/>
      <x:c r="C1098"/>
      <x:c r="D1098"/>
      <x:c r="E1098"/>
      <x:c r="F1098"/>
      <x:c r="G1098"/>
    </x:row>
    <x:row r="1099">
      <x:c r="A1099"/>
      <x:c r="B1099"/>
      <x:c r="C1099"/>
      <x:c r="D1099"/>
      <x:c r="E1099"/>
      <x:c r="F1099"/>
      <x:c r="G1099"/>
    </x:row>
    <x:row r="1100">
      <x:c r="A1100"/>
      <x:c r="B1100"/>
      <x:c r="C1100"/>
      <x:c r="D1100"/>
      <x:c r="E1100"/>
      <x:c r="F1100"/>
      <x:c r="G1100"/>
    </x:row>
    <x:row r="1101">
      <x:c r="A1101"/>
      <x:c r="B1101"/>
      <x:c r="C1101"/>
      <x:c r="D1101"/>
      <x:c r="E1101"/>
      <x:c r="F1101"/>
      <x:c r="G1101"/>
    </x:row>
    <x:row r="1102">
      <x:c r="A1102"/>
      <x:c r="B1102"/>
      <x:c r="C1102"/>
      <x:c r="D1102"/>
      <x:c r="E1102"/>
      <x:c r="F1102"/>
      <x:c r="G1102"/>
    </x:row>
    <x:row r="1103">
      <x:c r="A1103"/>
      <x:c r="B1103"/>
      <x:c r="C1103"/>
      <x:c r="D1103"/>
      <x:c r="E1103"/>
      <x:c r="F1103"/>
      <x:c r="G1103"/>
    </x:row>
    <x:row r="1104">
      <x:c r="A1104"/>
      <x:c r="B1104"/>
      <x:c r="C1104"/>
      <x:c r="D1104"/>
      <x:c r="E1104"/>
      <x:c r="F1104"/>
      <x:c r="G1104"/>
    </x:row>
    <x:row r="1105">
      <x:c r="A1105"/>
      <x:c r="B1105"/>
      <x:c r="C1105"/>
      <x:c r="D1105"/>
      <x:c r="E1105"/>
      <x:c r="F1105"/>
      <x:c r="G1105"/>
    </x:row>
    <x:row r="1106">
      <x:c r="A1106"/>
      <x:c r="B1106"/>
      <x:c r="C1106"/>
      <x:c r="D1106"/>
      <x:c r="E1106"/>
      <x:c r="F1106"/>
      <x:c r="G1106"/>
    </x:row>
    <x:row r="1107">
      <x:c r="A1107"/>
      <x:c r="B1107"/>
      <x:c r="C1107"/>
      <x:c r="D1107"/>
      <x:c r="E1107"/>
      <x:c r="F1107"/>
      <x:c r="G1107"/>
    </x:row>
    <x:row r="1108">
      <x:c r="A1108"/>
      <x:c r="B1108"/>
      <x:c r="C1108"/>
      <x:c r="D1108"/>
      <x:c r="E1108"/>
      <x:c r="F1108"/>
      <x:c r="G1108"/>
    </x:row>
    <x:row r="1109">
      <x:c r="A1109"/>
      <x:c r="B1109"/>
      <x:c r="C1109"/>
      <x:c r="D1109"/>
      <x:c r="E1109"/>
      <x:c r="F1109"/>
      <x:c r="G1109"/>
    </x:row>
    <x:row r="1110">
      <x:c r="A1110"/>
      <x:c r="B1110"/>
      <x:c r="C1110"/>
      <x:c r="D1110"/>
      <x:c r="E1110"/>
      <x:c r="F1110"/>
      <x:c r="G1110"/>
    </x:row>
    <x:row r="1111">
      <x:c r="A1111"/>
      <x:c r="B1111"/>
      <x:c r="C1111"/>
      <x:c r="D1111"/>
      <x:c r="E1111"/>
      <x:c r="F1111"/>
      <x:c r="G1111"/>
    </x:row>
    <x:row r="1112">
      <x:c r="A1112"/>
      <x:c r="B1112"/>
      <x:c r="C1112"/>
      <x:c r="D1112"/>
      <x:c r="E1112"/>
      <x:c r="F1112"/>
      <x:c r="G1112"/>
    </x:row>
    <x:row r="1113">
      <x:c r="A1113"/>
      <x:c r="B1113"/>
      <x:c r="C1113"/>
      <x:c r="D1113"/>
      <x:c r="E1113"/>
      <x:c r="F1113"/>
      <x:c r="G1113"/>
    </x:row>
    <x:row r="1114">
      <x:c r="A1114"/>
      <x:c r="B1114"/>
      <x:c r="C1114"/>
      <x:c r="D1114"/>
      <x:c r="E1114"/>
      <x:c r="F1114"/>
      <x:c r="G1114"/>
    </x:row>
    <x:row r="1115">
      <x:c r="A1115"/>
      <x:c r="B1115"/>
      <x:c r="C1115"/>
      <x:c r="D1115"/>
      <x:c r="E1115"/>
      <x:c r="F1115"/>
      <x:c r="G1115"/>
    </x:row>
    <x:row r="1116">
      <x:c r="A1116"/>
      <x:c r="B1116"/>
      <x:c r="C1116"/>
      <x:c r="D1116"/>
      <x:c r="E1116"/>
      <x:c r="F1116"/>
      <x:c r="G1116"/>
    </x:row>
    <x:row r="1117">
      <x:c r="A1117"/>
      <x:c r="B1117"/>
      <x:c r="C1117"/>
      <x:c r="D1117"/>
      <x:c r="E1117"/>
      <x:c r="F1117"/>
      <x:c r="G1117"/>
    </x:row>
    <x:row r="1118">
      <x:c r="A1118"/>
      <x:c r="B1118"/>
      <x:c r="C1118"/>
      <x:c r="D1118"/>
      <x:c r="E1118"/>
      <x:c r="F1118"/>
      <x:c r="G1118"/>
    </x:row>
    <x:row r="1119">
      <x:c r="A1119"/>
      <x:c r="B1119"/>
      <x:c r="C1119"/>
      <x:c r="D1119"/>
      <x:c r="E1119"/>
      <x:c r="F1119"/>
      <x:c r="G1119"/>
    </x:row>
    <x:row r="1120">
      <x:c r="A1120"/>
      <x:c r="B1120"/>
      <x:c r="C1120"/>
      <x:c r="D1120"/>
      <x:c r="E1120"/>
      <x:c r="F1120"/>
      <x:c r="G1120"/>
    </x:row>
    <x:row r="1121">
      <x:c r="A1121"/>
      <x:c r="B1121"/>
      <x:c r="C1121"/>
      <x:c r="D1121"/>
      <x:c r="E1121"/>
      <x:c r="F1121"/>
      <x:c r="G1121"/>
    </x:row>
    <x:row r="1122">
      <x:c r="A1122"/>
      <x:c r="B1122"/>
      <x:c r="C1122"/>
      <x:c r="D1122"/>
      <x:c r="E1122"/>
      <x:c r="F1122"/>
      <x:c r="G1122"/>
    </x:row>
    <x:row r="1123">
      <x:c r="A1123"/>
      <x:c r="B1123"/>
      <x:c r="C1123"/>
      <x:c r="D1123"/>
      <x:c r="E1123"/>
      <x:c r="F1123"/>
      <x:c r="G1123"/>
    </x:row>
    <x:row r="1124">
      <x:c r="A1124"/>
      <x:c r="B1124"/>
      <x:c r="C1124"/>
      <x:c r="D1124"/>
      <x:c r="E1124"/>
      <x:c r="F1124"/>
      <x:c r="G1124"/>
    </x:row>
    <x:row r="1125">
      <x:c r="A1125"/>
      <x:c r="B1125"/>
      <x:c r="C1125"/>
      <x:c r="D1125"/>
      <x:c r="E1125"/>
      <x:c r="F1125"/>
      <x:c r="G1125"/>
    </x:row>
    <x:row r="1126">
      <x:c r="A1126"/>
      <x:c r="B1126"/>
      <x:c r="C1126"/>
      <x:c r="D1126"/>
      <x:c r="E1126"/>
      <x:c r="F1126"/>
      <x:c r="G1126"/>
    </x:row>
    <x:row r="1127">
      <x:c r="A1127"/>
      <x:c r="B1127"/>
      <x:c r="C1127"/>
      <x:c r="D1127"/>
      <x:c r="E1127"/>
      <x:c r="F1127"/>
      <x:c r="G1127"/>
    </x:row>
    <x:row r="1128">
      <x:c r="A1128"/>
      <x:c r="B1128"/>
      <x:c r="C1128"/>
      <x:c r="D1128"/>
      <x:c r="E1128"/>
      <x:c r="F1128"/>
      <x:c r="G1128"/>
    </x:row>
    <x:row r="1129">
      <x:c r="A1129"/>
      <x:c r="B1129"/>
      <x:c r="C1129"/>
      <x:c r="D1129"/>
      <x:c r="E1129"/>
      <x:c r="F1129"/>
      <x:c r="G1129"/>
    </x:row>
    <x:row r="1130">
      <x:c r="A1130"/>
      <x:c r="B1130"/>
      <x:c r="C1130"/>
      <x:c r="D1130"/>
      <x:c r="E1130"/>
      <x:c r="F1130"/>
      <x:c r="G1130"/>
    </x:row>
    <x:row r="1131">
      <x:c r="A1131"/>
      <x:c r="B1131"/>
      <x:c r="C1131"/>
      <x:c r="D1131"/>
      <x:c r="E1131"/>
      <x:c r="F1131"/>
      <x:c r="G1131"/>
    </x:row>
    <x:row r="1132">
      <x:c r="A1132"/>
      <x:c r="B1132"/>
      <x:c r="C1132"/>
      <x:c r="D1132"/>
      <x:c r="E1132"/>
      <x:c r="F1132"/>
      <x:c r="G1132"/>
    </x:row>
    <x:row r="1133">
      <x:c r="A1133"/>
      <x:c r="B1133"/>
      <x:c r="C1133"/>
      <x:c r="D1133"/>
      <x:c r="E1133"/>
      <x:c r="F1133"/>
      <x:c r="G1133"/>
    </x:row>
    <x:row r="1134">
      <x:c r="A1134"/>
      <x:c r="B1134"/>
      <x:c r="C1134"/>
      <x:c r="D1134"/>
      <x:c r="E1134"/>
      <x:c r="F1134"/>
      <x:c r="G1134"/>
    </x:row>
    <x:row r="1135">
      <x:c r="A1135"/>
      <x:c r="B1135"/>
      <x:c r="C1135"/>
      <x:c r="D1135"/>
      <x:c r="E1135"/>
      <x:c r="F1135"/>
      <x:c r="G1135"/>
    </x:row>
    <x:row r="1136">
      <x:c r="A1136"/>
      <x:c r="B1136"/>
      <x:c r="C1136"/>
      <x:c r="D1136"/>
      <x:c r="E1136"/>
      <x:c r="F1136"/>
      <x:c r="G1136"/>
    </x:row>
    <x:row r="1137">
      <x:c r="A1137"/>
      <x:c r="B1137"/>
      <x:c r="C1137"/>
      <x:c r="D1137"/>
      <x:c r="E1137"/>
      <x:c r="F1137"/>
      <x:c r="G1137"/>
    </x:row>
    <x:row r="1138">
      <x:c r="A1138"/>
      <x:c r="B1138"/>
      <x:c r="C1138"/>
      <x:c r="D1138"/>
      <x:c r="E1138"/>
      <x:c r="F1138"/>
      <x:c r="G1138"/>
    </x:row>
    <x:row r="1139">
      <x:c r="A1139"/>
      <x:c r="B1139"/>
      <x:c r="C1139"/>
      <x:c r="D1139"/>
      <x:c r="E1139"/>
      <x:c r="F1139"/>
      <x:c r="G1139"/>
    </x:row>
    <x:row r="1140">
      <x:c r="A1140"/>
      <x:c r="B1140"/>
      <x:c r="C1140"/>
      <x:c r="D1140"/>
      <x:c r="E1140"/>
      <x:c r="F1140"/>
      <x:c r="G1140"/>
    </x:row>
    <x:row r="1141">
      <x:c r="A1141"/>
      <x:c r="B1141"/>
      <x:c r="C1141"/>
      <x:c r="D1141"/>
      <x:c r="E1141"/>
      <x:c r="F1141"/>
      <x:c r="G1141"/>
    </x:row>
    <x:row r="1142">
      <x:c r="A1142"/>
      <x:c r="B1142"/>
      <x:c r="C1142"/>
      <x:c r="D1142"/>
      <x:c r="E1142"/>
      <x:c r="F1142"/>
      <x:c r="G1142"/>
    </x:row>
    <x:row r="1143">
      <x:c r="A1143"/>
      <x:c r="B1143"/>
      <x:c r="C1143"/>
      <x:c r="D1143"/>
      <x:c r="E1143"/>
      <x:c r="F1143"/>
      <x:c r="G1143"/>
    </x:row>
    <x:row r="1144">
      <x:c r="A1144"/>
      <x:c r="B1144"/>
      <x:c r="C1144"/>
      <x:c r="D1144"/>
      <x:c r="E1144"/>
      <x:c r="F1144"/>
      <x:c r="G1144"/>
    </x:row>
    <x:row r="1145">
      <x:c r="A1145"/>
      <x:c r="B1145"/>
      <x:c r="C1145"/>
      <x:c r="D1145"/>
      <x:c r="E1145"/>
      <x:c r="F1145"/>
      <x:c r="G1145"/>
    </x:row>
    <x:row r="1146">
      <x:c r="A1146"/>
      <x:c r="B1146"/>
      <x:c r="C1146"/>
      <x:c r="D1146"/>
      <x:c r="E1146"/>
      <x:c r="F1146"/>
      <x:c r="G1146"/>
    </x:row>
    <x:row r="1147">
      <x:c r="A1147"/>
      <x:c r="B1147"/>
      <x:c r="C1147"/>
      <x:c r="D1147"/>
      <x:c r="E1147"/>
      <x:c r="F1147"/>
      <x:c r="G1147"/>
    </x:row>
    <x:row r="1148">
      <x:c r="A1148"/>
      <x:c r="B1148"/>
      <x:c r="C1148"/>
      <x:c r="D1148"/>
      <x:c r="E1148"/>
      <x:c r="F1148"/>
      <x:c r="G1148"/>
    </x:row>
    <x:row r="1149">
      <x:c r="A1149"/>
      <x:c r="B1149"/>
      <x:c r="C1149"/>
      <x:c r="D1149"/>
      <x:c r="E1149"/>
      <x:c r="F1149"/>
      <x:c r="G1149"/>
    </x:row>
    <x:row r="1150">
      <x:c r="A1150"/>
      <x:c r="B1150"/>
      <x:c r="C1150"/>
      <x:c r="D1150"/>
      <x:c r="E1150"/>
      <x:c r="F1150"/>
      <x:c r="G1150"/>
    </x:row>
    <x:row r="1151">
      <x:c r="A1151"/>
      <x:c r="B1151"/>
      <x:c r="C1151"/>
      <x:c r="D1151"/>
      <x:c r="E1151"/>
      <x:c r="F1151"/>
      <x:c r="G1151"/>
    </x:row>
    <x:row r="1152">
      <x:c r="A1152"/>
      <x:c r="B1152"/>
      <x:c r="C1152"/>
      <x:c r="D1152"/>
      <x:c r="E1152"/>
      <x:c r="F1152"/>
      <x:c r="G1152"/>
    </x:row>
    <x:row r="1153">
      <x:c r="A1153"/>
      <x:c r="B1153"/>
      <x:c r="C1153"/>
      <x:c r="D1153"/>
      <x:c r="E1153"/>
      <x:c r="F1153"/>
      <x:c r="G1153"/>
    </x:row>
    <x:row r="1154">
      <x:c r="A1154"/>
      <x:c r="B1154"/>
      <x:c r="C1154"/>
      <x:c r="D1154"/>
      <x:c r="E1154"/>
      <x:c r="F1154"/>
      <x:c r="G1154"/>
    </x:row>
    <x:row r="1155">
      <x:c r="A1155"/>
      <x:c r="B1155"/>
      <x:c r="C1155"/>
      <x:c r="D1155"/>
      <x:c r="E1155"/>
      <x:c r="F1155"/>
      <x:c r="G1155"/>
    </x:row>
    <x:row r="1156">
      <x:c r="A1156"/>
      <x:c r="B1156"/>
      <x:c r="C1156"/>
      <x:c r="D1156"/>
      <x:c r="E1156"/>
      <x:c r="F1156"/>
      <x:c r="G1156"/>
    </x:row>
    <x:row r="1157">
      <x:c r="A1157"/>
      <x:c r="B1157"/>
      <x:c r="C1157"/>
      <x:c r="D1157"/>
      <x:c r="E1157"/>
      <x:c r="F1157"/>
      <x:c r="G1157"/>
    </x:row>
    <x:row r="1158">
      <x:c r="A1158"/>
      <x:c r="B1158"/>
      <x:c r="C1158"/>
      <x:c r="D1158"/>
      <x:c r="E1158"/>
      <x:c r="F1158"/>
      <x:c r="G1158"/>
    </x:row>
    <x:row r="1159">
      <x:c r="A1159"/>
      <x:c r="B1159"/>
      <x:c r="C1159"/>
      <x:c r="D1159"/>
      <x:c r="E1159"/>
      <x:c r="F1159"/>
      <x:c r="G1159"/>
    </x:row>
    <x:row r="1160">
      <x:c r="A1160"/>
      <x:c r="B1160"/>
      <x:c r="C1160"/>
      <x:c r="D1160"/>
      <x:c r="E1160"/>
      <x:c r="F1160"/>
      <x:c r="G1160"/>
    </x:row>
    <x:row r="1161">
      <x:c r="A1161"/>
      <x:c r="B1161"/>
      <x:c r="C1161"/>
      <x:c r="D1161"/>
      <x:c r="E1161"/>
      <x:c r="F1161"/>
      <x:c r="G1161"/>
    </x:row>
    <x:row r="1162">
      <x:c r="A1162"/>
      <x:c r="B1162"/>
      <x:c r="C1162"/>
      <x:c r="D1162"/>
      <x:c r="E1162"/>
      <x:c r="F1162"/>
      <x:c r="G1162"/>
    </x:row>
    <x:row r="1163">
      <x:c r="A1163"/>
      <x:c r="B1163"/>
      <x:c r="C1163"/>
      <x:c r="D1163"/>
      <x:c r="E1163"/>
      <x:c r="F1163"/>
      <x:c r="G1163"/>
    </x:row>
    <x:row r="1164">
      <x:c r="A1164"/>
      <x:c r="B1164"/>
      <x:c r="C1164"/>
      <x:c r="D1164"/>
      <x:c r="E1164"/>
      <x:c r="F1164"/>
      <x:c r="G1164"/>
    </x:row>
    <x:row r="1165">
      <x:c r="A1165"/>
      <x:c r="B1165"/>
      <x:c r="C1165"/>
      <x:c r="D1165"/>
      <x:c r="E1165"/>
      <x:c r="F1165"/>
      <x:c r="G1165"/>
    </x:row>
    <x:row r="1166">
      <x:c r="A1166"/>
      <x:c r="B1166"/>
      <x:c r="C1166"/>
      <x:c r="D1166"/>
      <x:c r="E1166"/>
      <x:c r="F1166"/>
      <x:c r="G1166"/>
    </x:row>
    <x:row r="1167">
      <x:c r="A1167"/>
      <x:c r="B1167"/>
      <x:c r="C1167"/>
      <x:c r="D1167"/>
      <x:c r="E1167"/>
      <x:c r="F1167"/>
      <x:c r="G1167"/>
    </x:row>
    <x:row r="1168">
      <x:c r="A1168"/>
      <x:c r="B1168"/>
      <x:c r="C1168"/>
      <x:c r="D1168"/>
      <x:c r="E1168"/>
      <x:c r="F1168"/>
      <x:c r="G1168"/>
    </x:row>
    <x:row r="1169">
      <x:c r="A1169"/>
      <x:c r="B1169"/>
      <x:c r="C1169"/>
      <x:c r="D1169"/>
      <x:c r="E1169"/>
      <x:c r="F1169"/>
      <x:c r="G1169"/>
    </x:row>
    <x:row r="1170">
      <x:c r="A1170"/>
      <x:c r="B1170"/>
      <x:c r="C1170"/>
      <x:c r="D1170"/>
      <x:c r="E1170"/>
      <x:c r="F1170"/>
      <x:c r="G1170"/>
    </x:row>
    <x:row r="1171">
      <x:c r="A1171"/>
      <x:c r="B1171"/>
      <x:c r="C1171"/>
      <x:c r="D1171"/>
      <x:c r="E1171"/>
      <x:c r="F1171"/>
      <x:c r="G1171"/>
    </x:row>
    <x:row r="1172">
      <x:c r="A1172"/>
      <x:c r="B1172"/>
      <x:c r="C1172"/>
      <x:c r="D1172"/>
      <x:c r="E1172"/>
      <x:c r="F1172"/>
      <x:c r="G1172"/>
    </x:row>
    <x:row r="1173">
      <x:c r="A1173"/>
      <x:c r="B1173"/>
      <x:c r="C1173"/>
      <x:c r="D1173"/>
      <x:c r="E1173"/>
      <x:c r="F1173"/>
      <x:c r="G1173"/>
    </x:row>
    <x:row r="1174">
      <x:c r="A1174"/>
      <x:c r="B1174"/>
      <x:c r="C1174"/>
      <x:c r="D1174"/>
      <x:c r="E1174"/>
      <x:c r="F1174"/>
      <x:c r="G1174"/>
    </x:row>
    <x:row r="1175">
      <x:c r="A1175"/>
      <x:c r="B1175"/>
      <x:c r="C1175"/>
      <x:c r="D1175"/>
      <x:c r="E1175"/>
      <x:c r="F1175"/>
      <x:c r="G1175"/>
    </x:row>
    <x:row r="1176">
      <x:c r="A1176"/>
      <x:c r="B1176"/>
      <x:c r="C1176"/>
      <x:c r="D1176"/>
      <x:c r="E1176"/>
      <x:c r="F1176"/>
      <x:c r="G1176"/>
    </x:row>
    <x:row r="1177">
      <x:c r="A1177"/>
      <x:c r="B1177"/>
      <x:c r="C1177"/>
      <x:c r="D1177"/>
      <x:c r="E1177"/>
      <x:c r="F1177"/>
      <x:c r="G1177"/>
    </x:row>
    <x:row r="1178">
      <x:c r="A1178"/>
      <x:c r="B1178"/>
      <x:c r="C1178"/>
      <x:c r="D1178"/>
      <x:c r="E1178"/>
      <x:c r="F1178"/>
      <x:c r="G1178"/>
    </x:row>
    <x:row r="1179">
      <x:c r="A1179"/>
      <x:c r="B1179"/>
      <x:c r="C1179"/>
      <x:c r="D1179"/>
      <x:c r="E1179"/>
      <x:c r="F1179"/>
      <x:c r="G1179"/>
    </x:row>
    <x:row r="1180">
      <x:c r="A1180"/>
      <x:c r="B1180"/>
      <x:c r="C1180"/>
      <x:c r="D1180"/>
      <x:c r="E1180"/>
      <x:c r="F1180"/>
      <x:c r="G1180"/>
    </x:row>
    <x:row r="1181">
      <x:c r="A1181"/>
      <x:c r="B1181"/>
      <x:c r="C1181"/>
      <x:c r="D1181"/>
      <x:c r="E1181"/>
      <x:c r="F1181"/>
      <x:c r="G1181"/>
    </x:row>
    <x:row r="1182">
      <x:c r="A1182"/>
      <x:c r="B1182"/>
      <x:c r="C1182"/>
      <x:c r="D1182"/>
      <x:c r="E1182"/>
      <x:c r="F1182"/>
      <x:c r="G1182"/>
    </x:row>
    <x:row r="1183">
      <x:c r="A1183"/>
      <x:c r="B1183"/>
      <x:c r="C1183"/>
      <x:c r="D1183"/>
      <x:c r="E1183"/>
      <x:c r="F1183"/>
      <x:c r="G1183"/>
    </x:row>
    <x:row r="1184">
      <x:c r="A1184"/>
      <x:c r="B1184"/>
      <x:c r="C1184"/>
      <x:c r="D1184"/>
      <x:c r="E1184"/>
      <x:c r="F1184"/>
      <x:c r="G1184"/>
    </x:row>
    <x:row r="1185">
      <x:c r="A1185"/>
      <x:c r="B1185"/>
      <x:c r="C1185"/>
      <x:c r="D1185"/>
      <x:c r="E1185"/>
      <x:c r="F1185"/>
      <x:c r="G1185"/>
    </x:row>
    <x:row r="1186">
      <x:c r="A1186"/>
      <x:c r="B1186"/>
      <x:c r="C1186"/>
      <x:c r="D1186"/>
      <x:c r="E1186"/>
      <x:c r="F1186"/>
      <x:c r="G1186"/>
    </x:row>
    <x:row r="1187">
      <x:c r="A1187"/>
      <x:c r="B1187"/>
      <x:c r="C1187"/>
      <x:c r="D1187"/>
      <x:c r="E1187"/>
      <x:c r="F1187"/>
      <x:c r="G1187"/>
    </x:row>
    <x:row r="1188">
      <x:c r="A1188"/>
      <x:c r="B1188"/>
      <x:c r="C1188"/>
      <x:c r="D1188"/>
      <x:c r="E1188"/>
      <x:c r="F1188"/>
      <x:c r="G1188"/>
    </x:row>
    <x:row r="1189">
      <x:c r="A1189"/>
      <x:c r="B1189"/>
      <x:c r="C1189"/>
      <x:c r="D1189"/>
      <x:c r="E1189"/>
      <x:c r="F1189"/>
      <x:c r="G1189"/>
    </x:row>
    <x:row r="1190">
      <x:c r="A1190"/>
      <x:c r="B1190"/>
      <x:c r="C1190"/>
      <x:c r="D1190"/>
      <x:c r="E1190"/>
      <x:c r="F1190"/>
      <x:c r="G1190"/>
    </x:row>
    <x:row r="1191">
      <x:c r="A1191"/>
      <x:c r="B1191"/>
      <x:c r="C1191"/>
      <x:c r="D1191"/>
      <x:c r="E1191"/>
      <x:c r="F1191"/>
      <x:c r="G1191"/>
    </x:row>
    <x:row r="1192">
      <x:c r="A1192"/>
      <x:c r="B1192"/>
      <x:c r="C1192"/>
      <x:c r="D1192"/>
      <x:c r="E1192"/>
      <x:c r="F1192"/>
      <x:c r="G1192"/>
    </x:row>
    <x:row r="1193">
      <x:c r="A1193"/>
      <x:c r="B1193"/>
      <x:c r="C1193"/>
      <x:c r="D1193"/>
      <x:c r="E1193"/>
      <x:c r="F1193"/>
      <x:c r="G1193"/>
    </x:row>
    <x:row r="1194">
      <x:c r="A1194"/>
      <x:c r="B1194"/>
      <x:c r="C1194"/>
      <x:c r="D1194"/>
      <x:c r="E1194"/>
      <x:c r="F1194"/>
      <x:c r="G1194"/>
    </x:row>
    <x:row r="1195">
      <x:c r="A1195"/>
      <x:c r="B1195"/>
      <x:c r="C1195"/>
      <x:c r="D1195"/>
      <x:c r="E1195"/>
      <x:c r="F1195"/>
      <x:c r="G1195"/>
    </x:row>
    <x:row r="1196">
      <x:c r="A1196"/>
      <x:c r="B1196"/>
      <x:c r="C1196"/>
      <x:c r="D1196"/>
      <x:c r="E1196"/>
      <x:c r="F1196"/>
      <x:c r="G1196"/>
    </x:row>
    <x:row r="1197">
      <x:c r="A1197"/>
      <x:c r="B1197"/>
      <x:c r="C1197"/>
      <x:c r="D1197"/>
      <x:c r="E1197"/>
      <x:c r="F1197"/>
      <x:c r="G1197"/>
    </x:row>
    <x:row r="1198">
      <x:c r="A1198"/>
      <x:c r="B1198"/>
      <x:c r="C1198"/>
      <x:c r="D1198"/>
      <x:c r="E1198"/>
      <x:c r="F1198"/>
      <x:c r="G1198"/>
    </x:row>
    <x:row r="1199">
      <x:c r="A1199"/>
      <x:c r="B1199"/>
      <x:c r="C1199"/>
      <x:c r="D1199"/>
      <x:c r="E1199"/>
      <x:c r="F1199"/>
      <x:c r="G1199"/>
    </x:row>
    <x:row r="1200">
      <x:c r="A1200"/>
      <x:c r="B1200"/>
      <x:c r="C1200"/>
      <x:c r="D1200"/>
      <x:c r="E1200"/>
      <x:c r="F1200"/>
      <x:c r="G1200"/>
    </x:row>
    <x:row r="1201">
      <x:c r="A1201"/>
      <x:c r="B1201"/>
      <x:c r="C1201"/>
      <x:c r="D1201"/>
      <x:c r="E1201"/>
      <x:c r="F1201"/>
      <x:c r="G1201"/>
    </x:row>
    <x:row r="1202">
      <x:c r="A1202"/>
      <x:c r="B1202"/>
      <x:c r="C1202"/>
      <x:c r="D1202"/>
      <x:c r="E1202"/>
      <x:c r="F1202"/>
      <x:c r="G1202"/>
    </x:row>
    <x:row r="1203">
      <x:c r="A1203"/>
      <x:c r="B1203"/>
      <x:c r="C1203"/>
      <x:c r="D1203"/>
      <x:c r="E1203"/>
      <x:c r="F1203"/>
      <x:c r="G1203"/>
    </x:row>
    <x:row r="1204">
      <x:c r="A1204"/>
      <x:c r="B1204"/>
      <x:c r="C1204"/>
      <x:c r="D1204"/>
      <x:c r="E1204"/>
      <x:c r="F1204"/>
      <x:c r="G1204"/>
    </x:row>
    <x:row r="1205">
      <x:c r="A1205"/>
      <x:c r="B1205"/>
      <x:c r="C1205"/>
      <x:c r="D1205"/>
      <x:c r="E1205"/>
      <x:c r="F1205"/>
      <x:c r="G1205"/>
    </x:row>
    <x:row r="1206">
      <x:c r="A1206"/>
      <x:c r="B1206"/>
      <x:c r="C1206"/>
      <x:c r="D1206"/>
      <x:c r="E1206"/>
      <x:c r="F1206"/>
      <x:c r="G1206"/>
    </x:row>
    <x:row r="1207">
      <x:c r="A1207"/>
      <x:c r="B1207"/>
      <x:c r="C1207"/>
      <x:c r="D1207"/>
      <x:c r="E1207"/>
      <x:c r="F1207"/>
      <x:c r="G1207"/>
    </x:row>
    <x:row r="1208">
      <x:c r="A1208"/>
      <x:c r="B1208"/>
      <x:c r="C1208"/>
      <x:c r="D1208"/>
      <x:c r="E1208"/>
      <x:c r="F1208"/>
      <x:c r="G1208"/>
    </x:row>
    <x:row r="1209">
      <x:c r="A1209"/>
      <x:c r="B1209"/>
      <x:c r="C1209"/>
      <x:c r="D1209"/>
      <x:c r="E1209"/>
      <x:c r="F1209"/>
      <x:c r="G1209"/>
    </x:row>
    <x:row r="1210">
      <x:c r="A1210"/>
      <x:c r="B1210"/>
      <x:c r="C1210"/>
      <x:c r="D1210"/>
      <x:c r="E1210"/>
      <x:c r="F1210"/>
      <x:c r="G1210"/>
    </x:row>
    <x:row r="1211">
      <x:c r="A1211"/>
      <x:c r="B1211"/>
      <x:c r="C1211"/>
      <x:c r="D1211"/>
      <x:c r="E1211"/>
      <x:c r="F1211"/>
      <x:c r="G1211"/>
    </x:row>
    <x:row r="1212">
      <x:c r="A1212"/>
      <x:c r="B1212"/>
      <x:c r="C1212"/>
      <x:c r="D1212"/>
      <x:c r="E1212"/>
      <x:c r="F1212"/>
      <x:c r="G1212"/>
    </x:row>
    <x:row r="1213">
      <x:c r="A1213"/>
      <x:c r="B1213"/>
      <x:c r="C1213"/>
      <x:c r="D1213"/>
      <x:c r="E1213"/>
      <x:c r="F1213"/>
      <x:c r="G1213"/>
    </x:row>
    <x:row r="1214">
      <x:c r="A1214"/>
      <x:c r="B1214"/>
      <x:c r="C1214"/>
      <x:c r="D1214"/>
      <x:c r="E1214"/>
      <x:c r="F1214"/>
      <x:c r="G1214"/>
    </x:row>
    <x:row r="1215">
      <x:c r="A1215"/>
      <x:c r="B1215"/>
      <x:c r="C1215"/>
      <x:c r="D1215"/>
      <x:c r="E1215"/>
      <x:c r="F1215"/>
      <x:c r="G1215"/>
    </x:row>
    <x:row r="1216">
      <x:c r="A1216"/>
      <x:c r="B1216"/>
      <x:c r="C1216"/>
      <x:c r="D1216"/>
      <x:c r="E1216"/>
      <x:c r="F1216"/>
      <x:c r="G1216"/>
    </x:row>
    <x:row r="1217">
      <x:c r="A1217"/>
      <x:c r="B1217"/>
      <x:c r="C1217"/>
      <x:c r="D1217"/>
      <x:c r="E1217"/>
      <x:c r="F1217"/>
      <x:c r="G1217"/>
    </x:row>
    <x:row r="1218">
      <x:c r="A1218"/>
      <x:c r="B1218"/>
      <x:c r="C1218"/>
      <x:c r="D1218"/>
      <x:c r="E1218"/>
      <x:c r="F1218"/>
      <x:c r="G1218"/>
    </x:row>
    <x:row r="1219">
      <x:c r="A1219"/>
      <x:c r="B1219"/>
      <x:c r="C1219"/>
      <x:c r="D1219"/>
      <x:c r="E1219"/>
      <x:c r="F1219"/>
      <x:c r="G1219"/>
    </x:row>
    <x:row r="1220">
      <x:c r="A1220"/>
      <x:c r="B1220"/>
      <x:c r="C1220"/>
      <x:c r="D1220"/>
      <x:c r="E1220"/>
      <x:c r="F1220"/>
      <x:c r="G1220"/>
    </x:row>
    <x:row r="1221">
      <x:c r="A1221"/>
      <x:c r="B1221"/>
      <x:c r="C1221"/>
      <x:c r="D1221"/>
      <x:c r="E1221"/>
      <x:c r="F1221"/>
      <x:c r="G1221"/>
    </x:row>
    <x:row r="1222">
      <x:c r="A1222"/>
      <x:c r="B1222"/>
      <x:c r="C1222"/>
      <x:c r="D1222"/>
      <x:c r="E1222"/>
      <x:c r="F1222"/>
      <x:c r="G1222"/>
    </x:row>
    <x:row r="1223">
      <x:c r="A1223"/>
      <x:c r="B1223"/>
      <x:c r="C1223"/>
      <x:c r="D1223"/>
      <x:c r="E1223"/>
      <x:c r="F1223"/>
      <x:c r="G1223"/>
    </x:row>
    <x:row r="1224">
      <x:c r="A1224"/>
      <x:c r="B1224"/>
      <x:c r="C1224"/>
      <x:c r="D1224"/>
      <x:c r="E1224"/>
      <x:c r="F1224"/>
      <x:c r="G1224"/>
    </x:row>
    <x:row r="1225">
      <x:c r="A1225"/>
      <x:c r="B1225"/>
      <x:c r="C1225"/>
      <x:c r="D1225"/>
      <x:c r="E1225"/>
      <x:c r="F1225"/>
      <x:c r="G1225"/>
    </x:row>
    <x:row r="1226">
      <x:c r="A1226"/>
      <x:c r="B1226"/>
      <x:c r="C1226"/>
      <x:c r="D1226"/>
      <x:c r="E1226"/>
      <x:c r="F1226"/>
      <x:c r="G1226"/>
    </x:row>
    <x:row r="1227">
      <x:c r="A1227"/>
      <x:c r="B1227"/>
      <x:c r="C1227"/>
      <x:c r="D1227"/>
      <x:c r="E1227"/>
      <x:c r="F1227"/>
      <x:c r="G1227"/>
    </x:row>
    <x:row r="1228">
      <x:c r="A1228"/>
      <x:c r="B1228"/>
      <x:c r="C1228"/>
      <x:c r="D1228"/>
      <x:c r="E1228"/>
      <x:c r="F1228"/>
      <x:c r="G1228"/>
    </x:row>
    <x:row r="1229">
      <x:c r="A1229"/>
      <x:c r="B1229"/>
      <x:c r="C1229"/>
      <x:c r="D1229"/>
      <x:c r="E1229"/>
      <x:c r="F1229"/>
      <x:c r="G1229"/>
    </x:row>
    <x:row r="1230">
      <x:c r="A1230"/>
      <x:c r="B1230"/>
      <x:c r="C1230"/>
      <x:c r="D1230"/>
      <x:c r="E1230"/>
      <x:c r="F1230"/>
      <x:c r="G1230"/>
    </x:row>
    <x:row r="1231">
      <x:c r="A1231"/>
      <x:c r="B1231"/>
      <x:c r="C1231"/>
      <x:c r="D1231"/>
      <x:c r="E1231"/>
      <x:c r="F1231"/>
      <x:c r="G1231"/>
    </x:row>
    <x:row r="1232">
      <x:c r="A1232"/>
      <x:c r="B1232"/>
      <x:c r="C1232"/>
      <x:c r="D1232"/>
      <x:c r="E1232"/>
      <x:c r="F1232"/>
      <x:c r="G1232"/>
    </x:row>
    <x:row r="1233">
      <x:c r="A1233"/>
      <x:c r="B1233"/>
      <x:c r="C1233"/>
      <x:c r="D1233"/>
      <x:c r="E1233"/>
      <x:c r="F1233"/>
      <x:c r="G1233"/>
    </x:row>
    <x:row r="1234">
      <x:c r="A1234"/>
      <x:c r="B1234"/>
      <x:c r="C1234"/>
      <x:c r="D1234"/>
      <x:c r="E1234"/>
      <x:c r="F1234"/>
      <x:c r="G1234"/>
    </x:row>
    <x:row r="1235">
      <x:c r="A1235"/>
      <x:c r="B1235"/>
      <x:c r="C1235"/>
      <x:c r="D1235"/>
      <x:c r="E1235"/>
      <x:c r="F1235"/>
      <x:c r="G1235"/>
    </x:row>
    <x:row r="1236">
      <x:c r="A1236"/>
      <x:c r="B1236"/>
      <x:c r="C1236"/>
      <x:c r="D1236"/>
      <x:c r="E1236"/>
      <x:c r="F1236"/>
      <x:c r="G1236"/>
    </x:row>
    <x:row r="1237">
      <x:c r="A1237"/>
      <x:c r="B1237"/>
      <x:c r="C1237"/>
      <x:c r="D1237"/>
      <x:c r="E1237"/>
      <x:c r="F1237"/>
      <x:c r="G1237"/>
    </x:row>
    <x:row r="1238">
      <x:c r="A1238"/>
      <x:c r="B1238"/>
      <x:c r="C1238"/>
      <x:c r="D1238"/>
      <x:c r="E1238"/>
      <x:c r="F1238"/>
      <x:c r="G1238"/>
    </x:row>
    <x:row r="1239">
      <x:c r="A1239"/>
      <x:c r="B1239"/>
      <x:c r="C1239"/>
      <x:c r="D1239"/>
      <x:c r="E1239"/>
      <x:c r="F1239"/>
      <x:c r="G1239"/>
    </x:row>
    <x:row r="1240">
      <x:c r="A1240"/>
      <x:c r="B1240"/>
      <x:c r="C1240"/>
      <x:c r="D1240"/>
      <x:c r="E1240"/>
      <x:c r="F1240"/>
      <x:c r="G1240"/>
    </x:row>
    <x:row r="1241">
      <x:c r="A1241"/>
      <x:c r="B1241"/>
      <x:c r="C1241"/>
      <x:c r="D1241"/>
      <x:c r="E1241"/>
      <x:c r="F1241"/>
      <x:c r="G1241"/>
    </x:row>
    <x:row r="1242">
      <x:c r="A1242"/>
      <x:c r="B1242"/>
      <x:c r="C1242"/>
      <x:c r="D1242"/>
      <x:c r="E1242"/>
      <x:c r="F1242"/>
      <x:c r="G1242"/>
    </x:row>
    <x:row r="1243">
      <x:c r="A1243"/>
      <x:c r="B1243"/>
      <x:c r="C1243"/>
      <x:c r="D1243"/>
      <x:c r="E1243"/>
      <x:c r="F1243"/>
      <x:c r="G1243"/>
    </x:row>
    <x:row r="1244">
      <x:c r="A1244"/>
      <x:c r="B1244"/>
      <x:c r="C1244"/>
      <x:c r="D1244"/>
      <x:c r="E1244"/>
      <x:c r="F1244"/>
      <x:c r="G1244"/>
    </x:row>
    <x:row r="1245">
      <x:c r="A1245"/>
      <x:c r="B1245"/>
      <x:c r="C1245"/>
      <x:c r="D1245"/>
      <x:c r="E1245"/>
      <x:c r="F1245"/>
      <x:c r="G1245"/>
    </x:row>
    <x:row r="1246">
      <x:c r="A1246"/>
      <x:c r="B1246"/>
      <x:c r="C1246"/>
      <x:c r="D1246"/>
      <x:c r="E1246"/>
      <x:c r="F1246"/>
      <x:c r="G1246"/>
    </x:row>
    <x:row r="1247">
      <x:c r="A1247"/>
      <x:c r="B1247"/>
      <x:c r="C1247"/>
      <x:c r="D1247"/>
      <x:c r="E1247"/>
      <x:c r="F1247"/>
      <x:c r="G1247"/>
    </x:row>
    <x:row r="1248">
      <x:c r="A1248"/>
      <x:c r="B1248"/>
      <x:c r="C1248"/>
      <x:c r="D1248"/>
      <x:c r="E1248"/>
      <x:c r="F1248"/>
      <x:c r="G1248"/>
    </x:row>
    <x:row r="1249">
      <x:c r="A1249"/>
      <x:c r="B1249"/>
      <x:c r="C1249"/>
      <x:c r="D1249"/>
      <x:c r="E1249"/>
      <x:c r="F1249"/>
      <x:c r="G1249"/>
    </x:row>
    <x:row r="1250">
      <x:c r="A1250"/>
      <x:c r="B1250"/>
      <x:c r="C1250"/>
      <x:c r="D1250"/>
      <x:c r="E1250"/>
      <x:c r="F1250"/>
      <x:c r="G1250"/>
    </x:row>
    <x:row r="1251">
      <x:c r="A1251"/>
      <x:c r="B1251"/>
      <x:c r="C1251"/>
      <x:c r="D1251"/>
      <x:c r="E1251"/>
      <x:c r="F1251"/>
      <x:c r="G1251"/>
    </x:row>
    <x:row r="1252">
      <x:c r="A1252"/>
      <x:c r="B1252"/>
      <x:c r="C1252"/>
      <x:c r="D1252"/>
      <x:c r="E1252"/>
      <x:c r="F1252"/>
      <x:c r="G1252"/>
    </x:row>
    <x:row r="1253">
      <x:c r="A1253"/>
      <x:c r="B1253"/>
      <x:c r="C1253"/>
      <x:c r="D1253"/>
      <x:c r="E1253"/>
      <x:c r="F1253"/>
      <x:c r="G1253"/>
    </x:row>
    <x:row r="1254">
      <x:c r="A1254"/>
      <x:c r="B1254"/>
      <x:c r="C1254"/>
      <x:c r="D1254"/>
      <x:c r="E1254"/>
      <x:c r="F1254"/>
      <x:c r="G1254"/>
    </x:row>
    <x:row r="1255">
      <x:c r="A1255"/>
      <x:c r="B1255"/>
      <x:c r="C1255"/>
      <x:c r="D1255"/>
      <x:c r="E1255"/>
      <x:c r="F1255"/>
      <x:c r="G1255"/>
    </x:row>
    <x:row r="1256">
      <x:c r="A1256"/>
      <x:c r="B1256"/>
      <x:c r="C1256"/>
      <x:c r="D1256"/>
      <x:c r="E1256"/>
      <x:c r="F1256"/>
      <x:c r="G1256"/>
    </x:row>
    <x:row r="1257">
      <x:c r="A1257"/>
      <x:c r="B1257"/>
      <x:c r="C1257"/>
      <x:c r="D1257"/>
      <x:c r="E1257"/>
      <x:c r="F1257"/>
      <x:c r="G1257"/>
    </x:row>
    <x:row r="1258">
      <x:c r="A1258"/>
      <x:c r="B1258"/>
      <x:c r="C1258"/>
      <x:c r="D1258"/>
      <x:c r="E1258"/>
      <x:c r="F1258"/>
      <x:c r="G1258"/>
    </x:row>
    <x:row r="1259">
      <x:c r="A1259"/>
      <x:c r="B1259"/>
      <x:c r="C1259"/>
      <x:c r="D1259"/>
      <x:c r="E1259"/>
      <x:c r="F1259"/>
      <x:c r="G1259"/>
    </x:row>
    <x:row r="1260">
      <x:c r="A1260"/>
      <x:c r="B1260"/>
      <x:c r="C1260"/>
      <x:c r="D1260"/>
      <x:c r="E1260"/>
      <x:c r="F1260"/>
      <x:c r="G1260"/>
    </x:row>
    <x:row r="1261">
      <x:c r="A1261"/>
      <x:c r="B1261"/>
      <x:c r="C1261"/>
      <x:c r="D1261"/>
      <x:c r="E1261"/>
      <x:c r="F1261"/>
      <x:c r="G1261"/>
    </x:row>
    <x:row r="1262">
      <x:c r="A1262"/>
      <x:c r="B1262"/>
      <x:c r="C1262"/>
      <x:c r="D1262"/>
      <x:c r="E1262"/>
      <x:c r="F1262"/>
      <x:c r="G1262"/>
    </x:row>
    <x:row r="1263">
      <x:c r="A1263"/>
      <x:c r="B1263"/>
      <x:c r="C1263"/>
      <x:c r="D1263"/>
      <x:c r="E1263"/>
      <x:c r="F1263"/>
      <x:c r="G1263"/>
    </x:row>
    <x:row r="1264">
      <x:c r="A1264"/>
      <x:c r="B1264"/>
      <x:c r="C1264"/>
      <x:c r="D1264"/>
      <x:c r="E1264"/>
      <x:c r="F1264"/>
      <x:c r="G1264"/>
    </x:row>
    <x:row r="1265">
      <x:c r="A1265"/>
      <x:c r="B1265"/>
      <x:c r="C1265"/>
      <x:c r="D1265"/>
      <x:c r="E1265"/>
      <x:c r="F1265"/>
      <x:c r="G1265"/>
    </x:row>
    <x:row r="1266">
      <x:c r="A1266"/>
      <x:c r="B1266"/>
      <x:c r="C1266"/>
      <x:c r="D1266"/>
      <x:c r="E1266"/>
      <x:c r="F1266"/>
      <x:c r="G1266"/>
    </x:row>
    <x:row r="1267">
      <x:c r="A1267"/>
      <x:c r="B1267"/>
      <x:c r="C1267"/>
      <x:c r="D1267"/>
      <x:c r="E1267"/>
      <x:c r="F1267"/>
      <x:c r="G1267"/>
    </x:row>
    <x:row r="1268">
      <x:c r="A1268"/>
      <x:c r="B1268"/>
      <x:c r="C1268"/>
      <x:c r="D1268"/>
      <x:c r="E1268"/>
      <x:c r="F1268"/>
      <x:c r="G1268"/>
    </x:row>
    <x:row r="1269">
      <x:c r="A1269"/>
      <x:c r="B1269"/>
      <x:c r="C1269"/>
      <x:c r="D1269"/>
      <x:c r="E1269"/>
      <x:c r="F1269"/>
      <x:c r="G1269"/>
    </x:row>
    <x:row r="1270">
      <x:c r="A1270"/>
      <x:c r="B1270"/>
      <x:c r="C1270"/>
      <x:c r="D1270"/>
      <x:c r="E1270"/>
      <x:c r="F1270"/>
      <x:c r="G1270"/>
    </x:row>
    <x:row r="1271">
      <x:c r="A1271"/>
      <x:c r="B1271"/>
      <x:c r="C1271"/>
      <x:c r="D1271"/>
      <x:c r="E1271"/>
      <x:c r="F1271"/>
      <x:c r="G1271"/>
    </x:row>
    <x:row r="1272">
      <x:c r="A1272"/>
      <x:c r="B1272"/>
      <x:c r="C1272"/>
      <x:c r="D1272"/>
      <x:c r="E1272"/>
      <x:c r="F1272"/>
      <x:c r="G1272"/>
    </x:row>
    <x:row r="1273">
      <x:c r="A1273"/>
      <x:c r="B1273"/>
      <x:c r="C1273"/>
      <x:c r="D1273"/>
      <x:c r="E1273"/>
      <x:c r="F1273"/>
      <x:c r="G1273"/>
    </x:row>
    <x:row r="1274">
      <x:c r="A1274"/>
      <x:c r="B1274"/>
      <x:c r="C1274"/>
      <x:c r="D1274"/>
      <x:c r="E1274"/>
      <x:c r="F1274"/>
      <x:c r="G1274"/>
    </x:row>
    <x:row r="1275">
      <x:c r="A1275"/>
      <x:c r="B1275"/>
      <x:c r="C1275"/>
      <x:c r="D1275"/>
      <x:c r="E1275"/>
      <x:c r="F1275"/>
      <x:c r="G1275"/>
    </x:row>
    <x:row r="1276">
      <x:c r="A1276"/>
      <x:c r="B1276"/>
      <x:c r="C1276"/>
      <x:c r="D1276"/>
      <x:c r="E1276"/>
      <x:c r="F1276"/>
      <x:c r="G1276"/>
    </x:row>
    <x:row r="1277">
      <x:c r="A1277"/>
      <x:c r="B1277"/>
      <x:c r="C1277"/>
      <x:c r="D1277"/>
      <x:c r="E1277"/>
      <x:c r="F1277"/>
      <x:c r="G1277"/>
    </x:row>
    <x:row r="1278">
      <x:c r="A1278"/>
      <x:c r="B1278"/>
      <x:c r="C1278"/>
      <x:c r="D1278"/>
      <x:c r="E1278"/>
      <x:c r="F1278"/>
      <x:c r="G1278"/>
    </x:row>
    <x:row r="1279">
      <x:c r="A1279"/>
      <x:c r="B1279"/>
      <x:c r="C1279"/>
      <x:c r="D1279"/>
      <x:c r="E1279"/>
      <x:c r="F1279"/>
      <x:c r="G1279"/>
    </x:row>
    <x:row r="1280">
      <x:c r="A1280"/>
      <x:c r="B1280"/>
      <x:c r="C1280"/>
      <x:c r="D1280"/>
      <x:c r="E1280"/>
      <x:c r="F1280"/>
      <x:c r="G1280"/>
    </x:row>
    <x:row r="1281">
      <x:c r="A1281"/>
      <x:c r="B1281"/>
      <x:c r="C1281"/>
      <x:c r="D1281"/>
      <x:c r="E1281"/>
      <x:c r="F1281"/>
      <x:c r="G1281"/>
    </x:row>
    <x:row r="1282">
      <x:c r="A1282"/>
      <x:c r="B1282"/>
      <x:c r="C1282"/>
      <x:c r="D1282"/>
      <x:c r="E1282"/>
      <x:c r="F1282"/>
      <x:c r="G1282"/>
    </x:row>
    <x:row r="1283">
      <x:c r="A1283"/>
      <x:c r="B1283"/>
      <x:c r="C1283"/>
      <x:c r="D1283"/>
      <x:c r="E1283"/>
      <x:c r="F1283"/>
      <x:c r="G1283"/>
    </x:row>
    <x:row r="1284">
      <x:c r="A1284"/>
      <x:c r="B1284"/>
      <x:c r="C1284"/>
      <x:c r="D1284"/>
      <x:c r="E1284"/>
      <x:c r="F1284"/>
      <x:c r="G1284"/>
    </x:row>
    <x:row r="1285">
      <x:c r="A1285"/>
      <x:c r="B1285"/>
      <x:c r="C1285"/>
      <x:c r="D1285"/>
      <x:c r="E1285"/>
      <x:c r="F1285"/>
      <x:c r="G1285"/>
    </x:row>
    <x:row r="1286">
      <x:c r="A1286"/>
      <x:c r="B1286"/>
      <x:c r="C1286"/>
      <x:c r="D1286"/>
      <x:c r="E1286"/>
      <x:c r="F1286"/>
      <x:c r="G1286"/>
    </x:row>
    <x:row r="1287">
      <x:c r="A1287"/>
      <x:c r="B1287"/>
      <x:c r="C1287"/>
      <x:c r="D1287"/>
      <x:c r="E1287"/>
      <x:c r="F1287"/>
      <x:c r="G1287"/>
    </x:row>
    <x:row r="1288">
      <x:c r="A1288"/>
      <x:c r="B1288"/>
      <x:c r="C1288"/>
      <x:c r="D1288"/>
      <x:c r="E1288"/>
      <x:c r="F1288"/>
      <x:c r="G1288"/>
    </x:row>
    <x:row r="1289">
      <x:c r="A1289"/>
      <x:c r="B1289"/>
      <x:c r="C1289"/>
      <x:c r="D1289"/>
      <x:c r="E1289"/>
      <x:c r="F1289"/>
      <x:c r="G1289"/>
    </x:row>
    <x:row r="1290">
      <x:c r="A1290"/>
      <x:c r="B1290"/>
      <x:c r="C1290"/>
      <x:c r="D1290"/>
      <x:c r="E1290"/>
      <x:c r="F1290"/>
      <x:c r="G1290"/>
    </x:row>
    <x:row r="1291">
      <x:c r="A1291"/>
      <x:c r="B1291"/>
      <x:c r="C1291"/>
      <x:c r="D1291"/>
      <x:c r="E1291"/>
      <x:c r="F1291"/>
      <x:c r="G1291"/>
    </x:row>
    <x:row r="1292">
      <x:c r="A1292"/>
      <x:c r="B1292"/>
      <x:c r="C1292"/>
      <x:c r="D1292"/>
      <x:c r="E1292"/>
      <x:c r="F1292"/>
      <x:c r="G1292"/>
    </x:row>
    <x:row r="1293">
      <x:c r="A1293"/>
      <x:c r="B1293"/>
      <x:c r="C1293"/>
      <x:c r="D1293"/>
      <x:c r="E1293"/>
      <x:c r="F1293"/>
      <x:c r="G1293"/>
    </x:row>
    <x:row r="1294">
      <x:c r="A1294"/>
      <x:c r="B1294"/>
      <x:c r="C1294"/>
      <x:c r="D1294"/>
      <x:c r="E1294"/>
      <x:c r="F1294"/>
      <x:c r="G1294"/>
    </x:row>
    <x:row r="1295">
      <x:c r="A1295"/>
      <x:c r="B1295"/>
      <x:c r="C1295"/>
      <x:c r="D1295"/>
      <x:c r="E1295"/>
      <x:c r="F1295"/>
      <x:c r="G1295"/>
    </x:row>
    <x:row r="1296">
      <x:c r="A1296"/>
      <x:c r="B1296"/>
      <x:c r="C1296"/>
      <x:c r="D1296"/>
      <x:c r="E1296"/>
      <x:c r="F1296"/>
      <x:c r="G1296"/>
    </x:row>
    <x:row r="1297">
      <x:c r="A1297"/>
      <x:c r="B1297"/>
      <x:c r="C1297"/>
      <x:c r="D1297"/>
      <x:c r="E1297"/>
      <x:c r="F1297"/>
      <x:c r="G1297"/>
    </x:row>
    <x:row r="1298">
      <x:c r="A1298"/>
      <x:c r="B1298"/>
      <x:c r="C1298"/>
      <x:c r="D1298"/>
      <x:c r="E1298"/>
      <x:c r="F1298"/>
      <x:c r="G1298"/>
    </x:row>
    <x:row r="1299">
      <x:c r="A1299"/>
      <x:c r="B1299"/>
      <x:c r="C1299"/>
      <x:c r="D1299"/>
      <x:c r="E1299"/>
      <x:c r="F1299"/>
      <x:c r="G1299"/>
    </x:row>
    <x:row r="1300">
      <x:c r="A1300"/>
      <x:c r="B1300"/>
      <x:c r="C1300"/>
      <x:c r="D1300"/>
      <x:c r="E1300"/>
      <x:c r="F1300"/>
      <x:c r="G1300"/>
    </x:row>
    <x:row r="1301">
      <x:c r="A1301"/>
      <x:c r="B1301"/>
      <x:c r="C1301"/>
      <x:c r="D1301"/>
      <x:c r="E1301"/>
      <x:c r="F1301"/>
      <x:c r="G1301"/>
    </x:row>
    <x:row r="1302">
      <x:c r="A1302"/>
      <x:c r="B1302"/>
      <x:c r="C1302"/>
      <x:c r="D1302"/>
      <x:c r="E1302"/>
      <x:c r="F1302"/>
      <x:c r="G1302"/>
    </x:row>
    <x:row r="1303">
      <x:c r="A1303"/>
      <x:c r="B1303"/>
      <x:c r="C1303"/>
      <x:c r="D1303"/>
      <x:c r="E1303"/>
      <x:c r="F1303"/>
      <x:c r="G1303"/>
    </x:row>
    <x:row r="1304">
      <x:c r="A1304"/>
      <x:c r="B1304"/>
      <x:c r="C1304"/>
      <x:c r="D1304"/>
      <x:c r="E1304"/>
      <x:c r="F1304"/>
      <x:c r="G1304"/>
    </x:row>
    <x:row r="1305">
      <x:c r="A1305"/>
      <x:c r="B1305"/>
      <x:c r="C1305"/>
      <x:c r="D1305"/>
      <x:c r="E1305"/>
      <x:c r="F1305"/>
      <x:c r="G1305"/>
    </x:row>
    <x:row r="1306">
      <x:c r="A1306"/>
      <x:c r="B1306"/>
      <x:c r="C1306"/>
      <x:c r="D1306"/>
      <x:c r="E1306"/>
      <x:c r="F1306"/>
      <x:c r="G1306"/>
    </x:row>
    <x:row r="1307">
      <x:c r="A1307"/>
      <x:c r="B1307"/>
      <x:c r="C1307"/>
      <x:c r="D1307"/>
      <x:c r="E1307"/>
      <x:c r="F1307"/>
      <x:c r="G1307"/>
    </x:row>
    <x:row r="1308">
      <x:c r="A1308"/>
      <x:c r="B1308"/>
      <x:c r="C1308"/>
      <x:c r="D1308"/>
      <x:c r="E1308"/>
      <x:c r="F1308"/>
      <x:c r="G1308"/>
    </x:row>
    <x:row r="1309">
      <x:c r="A1309"/>
      <x:c r="B1309"/>
      <x:c r="C1309"/>
      <x:c r="D1309"/>
      <x:c r="E1309"/>
      <x:c r="F1309"/>
      <x:c r="G1309"/>
    </x:row>
    <x:row r="1310">
      <x:c r="A1310"/>
      <x:c r="B1310"/>
      <x:c r="C1310"/>
      <x:c r="D1310"/>
      <x:c r="E1310"/>
      <x:c r="F1310"/>
      <x:c r="G1310"/>
    </x:row>
    <x:row r="1311">
      <x:c r="A1311"/>
      <x:c r="B1311"/>
      <x:c r="C1311"/>
      <x:c r="D1311"/>
      <x:c r="E1311"/>
      <x:c r="F1311"/>
      <x:c r="G1311"/>
    </x:row>
    <x:row r="1312">
      <x:c r="A1312"/>
      <x:c r="B1312"/>
      <x:c r="C1312"/>
      <x:c r="D1312"/>
      <x:c r="E1312"/>
      <x:c r="F1312"/>
      <x:c r="G1312"/>
    </x:row>
    <x:row r="1313">
      <x:c r="A1313"/>
      <x:c r="B1313"/>
      <x:c r="C1313"/>
      <x:c r="D1313"/>
      <x:c r="E1313"/>
      <x:c r="F1313"/>
      <x:c r="G1313"/>
    </x:row>
    <x:row r="1314">
      <x:c r="A1314"/>
      <x:c r="B1314"/>
      <x:c r="C1314"/>
      <x:c r="D1314"/>
      <x:c r="E1314"/>
      <x:c r="F1314"/>
      <x:c r="G1314"/>
    </x:row>
    <x:row r="1315">
      <x:c r="A1315"/>
      <x:c r="B1315"/>
      <x:c r="C1315"/>
      <x:c r="D1315"/>
      <x:c r="E1315"/>
      <x:c r="F1315"/>
      <x:c r="G1315"/>
    </x:row>
    <x:row r="1316">
      <x:c r="A1316"/>
      <x:c r="B1316"/>
      <x:c r="C1316"/>
      <x:c r="D1316"/>
      <x:c r="E1316"/>
      <x:c r="F1316"/>
      <x:c r="G1316"/>
    </x:row>
    <x:row r="1317">
      <x:c r="A1317"/>
      <x:c r="B1317"/>
      <x:c r="C1317"/>
      <x:c r="D1317"/>
      <x:c r="E1317"/>
      <x:c r="F1317"/>
      <x:c r="G1317"/>
    </x:row>
    <x:row r="1318">
      <x:c r="A1318"/>
      <x:c r="B1318"/>
      <x:c r="C1318"/>
      <x:c r="D1318"/>
      <x:c r="E1318"/>
      <x:c r="F1318"/>
      <x:c r="G1318"/>
    </x:row>
    <x:row r="1319">
      <x:c r="A1319"/>
      <x:c r="B1319"/>
      <x:c r="C1319"/>
      <x:c r="D1319"/>
      <x:c r="E1319"/>
      <x:c r="F1319"/>
      <x:c r="G1319"/>
    </x:row>
    <x:row r="1320">
      <x:c r="A1320"/>
      <x:c r="B1320"/>
      <x:c r="C1320"/>
      <x:c r="D1320"/>
      <x:c r="E1320"/>
      <x:c r="F1320"/>
      <x:c r="G1320"/>
    </x:row>
    <x:row r="1321">
      <x:c r="A1321"/>
      <x:c r="B1321"/>
      <x:c r="C1321"/>
      <x:c r="D1321"/>
      <x:c r="E1321"/>
      <x:c r="F1321"/>
      <x:c r="G1321"/>
    </x:row>
    <x:row r="1322">
      <x:c r="A1322"/>
      <x:c r="B1322"/>
      <x:c r="C1322"/>
      <x:c r="D1322"/>
      <x:c r="E1322"/>
      <x:c r="F1322"/>
      <x:c r="G1322"/>
    </x:row>
    <x:row r="1323">
      <x:c r="A1323"/>
      <x:c r="B1323"/>
      <x:c r="C1323"/>
      <x:c r="D1323"/>
      <x:c r="E1323"/>
      <x:c r="F1323"/>
      <x:c r="G1323"/>
    </x:row>
    <x:row r="1324">
      <x:c r="A1324"/>
      <x:c r="B1324"/>
      <x:c r="C1324"/>
      <x:c r="D1324"/>
      <x:c r="E1324"/>
      <x:c r="F1324"/>
      <x:c r="G1324"/>
    </x:row>
    <x:row r="1325">
      <x:c r="A1325"/>
      <x:c r="B1325"/>
      <x:c r="C1325"/>
      <x:c r="D1325"/>
      <x:c r="E1325"/>
      <x:c r="F1325"/>
      <x:c r="G1325"/>
    </x:row>
    <x:row r="1326">
      <x:c r="A1326"/>
      <x:c r="B1326"/>
      <x:c r="C1326"/>
      <x:c r="D1326"/>
      <x:c r="E1326"/>
      <x:c r="F1326"/>
      <x:c r="G1326"/>
    </x:row>
    <x:row r="1327">
      <x:c r="A1327"/>
      <x:c r="B1327"/>
      <x:c r="C1327"/>
      <x:c r="D1327"/>
      <x:c r="E1327"/>
      <x:c r="F1327"/>
      <x:c r="G1327"/>
    </x:row>
    <x:row r="1328">
      <x:c r="A1328"/>
      <x:c r="B1328"/>
      <x:c r="C1328"/>
      <x:c r="D1328"/>
      <x:c r="E1328"/>
      <x:c r="F1328"/>
      <x:c r="G1328"/>
    </x:row>
    <x:row r="1329">
      <x:c r="A1329"/>
      <x:c r="B1329"/>
      <x:c r="C1329"/>
      <x:c r="D1329"/>
      <x:c r="E1329"/>
      <x:c r="F1329"/>
      <x:c r="G1329"/>
    </x:row>
    <x:row r="1330">
      <x:c r="A1330"/>
      <x:c r="B1330"/>
      <x:c r="C1330"/>
      <x:c r="D1330"/>
      <x:c r="E1330"/>
      <x:c r="F1330"/>
      <x:c r="G1330"/>
    </x:row>
    <x:row r="1331">
      <x:c r="A1331"/>
      <x:c r="B1331"/>
      <x:c r="C1331"/>
      <x:c r="D1331"/>
      <x:c r="E1331"/>
      <x:c r="F1331"/>
      <x:c r="G1331"/>
    </x:row>
    <x:row r="1332">
      <x:c r="A1332"/>
      <x:c r="B1332"/>
      <x:c r="C1332"/>
      <x:c r="D1332"/>
      <x:c r="E1332"/>
      <x:c r="F1332"/>
      <x:c r="G1332"/>
    </x:row>
    <x:row r="1333">
      <x:c r="A1333"/>
      <x:c r="B1333"/>
      <x:c r="C1333"/>
      <x:c r="D1333"/>
      <x:c r="E1333"/>
      <x:c r="F1333"/>
      <x:c r="G1333"/>
    </x:row>
    <x:row r="1334">
      <x:c r="A1334"/>
      <x:c r="B1334"/>
      <x:c r="C1334"/>
      <x:c r="D1334"/>
      <x:c r="E1334"/>
      <x:c r="F1334"/>
      <x:c r="G1334"/>
    </x:row>
    <x:row r="1335">
      <x:c r="A1335"/>
      <x:c r="B1335"/>
      <x:c r="C1335"/>
      <x:c r="D1335"/>
      <x:c r="E1335"/>
      <x:c r="F1335"/>
      <x:c r="G1335"/>
    </x:row>
    <x:row r="1336">
      <x:c r="A1336"/>
      <x:c r="B1336"/>
      <x:c r="C1336"/>
      <x:c r="D1336"/>
      <x:c r="E1336"/>
      <x:c r="F1336"/>
      <x:c r="G1336"/>
    </x:row>
    <x:row r="1337">
      <x:c r="A1337"/>
      <x:c r="B1337"/>
      <x:c r="C1337"/>
      <x:c r="D1337"/>
      <x:c r="E1337"/>
      <x:c r="F1337"/>
      <x:c r="G1337"/>
    </x:row>
    <x:row r="1338">
      <x:c r="A1338"/>
      <x:c r="B1338"/>
      <x:c r="C1338"/>
      <x:c r="D1338"/>
      <x:c r="E1338"/>
      <x:c r="F1338"/>
      <x:c r="G1338"/>
    </x:row>
    <x:row r="1339">
      <x:c r="A1339"/>
      <x:c r="B1339"/>
      <x:c r="C1339"/>
      <x:c r="D1339"/>
      <x:c r="E1339"/>
      <x:c r="F1339"/>
      <x:c r="G1339"/>
    </x:row>
    <x:row r="1340">
      <x:c r="A1340"/>
      <x:c r="B1340"/>
      <x:c r="C1340"/>
      <x:c r="D1340"/>
      <x:c r="E1340"/>
      <x:c r="F1340"/>
      <x:c r="G1340"/>
    </x:row>
    <x:row r="1341">
      <x:c r="A1341"/>
      <x:c r="B1341"/>
      <x:c r="C1341"/>
      <x:c r="D1341"/>
      <x:c r="E1341"/>
      <x:c r="F1341"/>
      <x:c r="G1341"/>
    </x:row>
    <x:row r="1342">
      <x:c r="A1342"/>
      <x:c r="B1342"/>
      <x:c r="C1342"/>
      <x:c r="D1342"/>
      <x:c r="E1342"/>
      <x:c r="F1342"/>
      <x:c r="G1342"/>
    </x:row>
    <x:row r="1343">
      <x:c r="A1343"/>
      <x:c r="B1343"/>
      <x:c r="C1343"/>
      <x:c r="D1343"/>
      <x:c r="E1343"/>
      <x:c r="F1343"/>
      <x:c r="G1343"/>
    </x:row>
    <x:row r="1344">
      <x:c r="A1344"/>
      <x:c r="B1344"/>
      <x:c r="C1344"/>
      <x:c r="D1344"/>
      <x:c r="E1344"/>
      <x:c r="F1344"/>
      <x:c r="G1344"/>
    </x:row>
    <x:row r="1345">
      <x:c r="A1345"/>
      <x:c r="B1345"/>
      <x:c r="C1345"/>
      <x:c r="D1345"/>
      <x:c r="E1345"/>
      <x:c r="F1345"/>
      <x:c r="G1345"/>
    </x:row>
    <x:row r="1346">
      <x:c r="A1346"/>
      <x:c r="B1346"/>
      <x:c r="C1346"/>
      <x:c r="D1346"/>
      <x:c r="E1346"/>
      <x:c r="F1346"/>
      <x:c r="G1346"/>
    </x:row>
    <x:row r="1347">
      <x:c r="A1347"/>
      <x:c r="B1347"/>
      <x:c r="C1347"/>
      <x:c r="D1347"/>
      <x:c r="E1347"/>
      <x:c r="F1347"/>
      <x:c r="G1347"/>
    </x:row>
    <x:row r="1348">
      <x:c r="A1348"/>
      <x:c r="B1348"/>
      <x:c r="C1348"/>
      <x:c r="D1348"/>
      <x:c r="E1348"/>
      <x:c r="F1348"/>
      <x:c r="G1348"/>
    </x:row>
    <x:row r="1349">
      <x:c r="A1349"/>
      <x:c r="B1349"/>
      <x:c r="C1349"/>
      <x:c r="D1349"/>
      <x:c r="E1349"/>
      <x:c r="F1349"/>
      <x:c r="G1349"/>
    </x:row>
    <x:row r="1350">
      <x:c r="A1350"/>
      <x:c r="B1350"/>
      <x:c r="C1350"/>
      <x:c r="D1350"/>
      <x:c r="E1350"/>
      <x:c r="F1350"/>
      <x:c r="G1350"/>
    </x:row>
    <x:row r="1351">
      <x:c r="A1351"/>
      <x:c r="B1351"/>
      <x:c r="C1351"/>
      <x:c r="D1351"/>
      <x:c r="E1351"/>
      <x:c r="F1351"/>
      <x:c r="G1351"/>
    </x:row>
    <x:row r="1352">
      <x:c r="A1352"/>
      <x:c r="B1352"/>
      <x:c r="C1352"/>
      <x:c r="D1352"/>
      <x:c r="E1352"/>
      <x:c r="F1352"/>
      <x:c r="G1352"/>
    </x:row>
    <x:row r="1353">
      <x:c r="A1353"/>
      <x:c r="B1353"/>
      <x:c r="C1353"/>
      <x:c r="D1353"/>
      <x:c r="E1353"/>
      <x:c r="F1353"/>
      <x:c r="G1353"/>
    </x:row>
    <x:row r="1354">
      <x:c r="A1354"/>
      <x:c r="B1354"/>
      <x:c r="C1354"/>
      <x:c r="D1354"/>
      <x:c r="E1354"/>
      <x:c r="F1354"/>
      <x:c r="G1354"/>
    </x:row>
    <x:row r="1355">
      <x:c r="A1355"/>
      <x:c r="B1355"/>
      <x:c r="C1355"/>
      <x:c r="D1355"/>
      <x:c r="E1355"/>
      <x:c r="F1355"/>
      <x:c r="G1355"/>
    </x:row>
    <x:row r="1356">
      <x:c r="A1356"/>
      <x:c r="B1356"/>
      <x:c r="C1356"/>
      <x:c r="D1356"/>
      <x:c r="E1356"/>
      <x:c r="F1356"/>
      <x:c r="G1356"/>
    </x:row>
    <x:row r="1357">
      <x:c r="A1357"/>
      <x:c r="B1357"/>
      <x:c r="C1357"/>
      <x:c r="D1357"/>
      <x:c r="E1357"/>
      <x:c r="F1357"/>
      <x:c r="G1357"/>
    </x:row>
    <x:row r="1358">
      <x:c r="A1358"/>
      <x:c r="B1358"/>
      <x:c r="C1358"/>
      <x:c r="D1358"/>
      <x:c r="E1358"/>
      <x:c r="F1358"/>
      <x:c r="G1358"/>
    </x:row>
    <x:row r="1359">
      <x:c r="A1359"/>
      <x:c r="B1359"/>
      <x:c r="C1359"/>
      <x:c r="D1359"/>
      <x:c r="E1359"/>
      <x:c r="F1359"/>
      <x:c r="G1359"/>
    </x:row>
    <x:row r="1360">
      <x:c r="A1360"/>
      <x:c r="B1360"/>
      <x:c r="C1360"/>
      <x:c r="D1360"/>
      <x:c r="E1360"/>
      <x:c r="F1360"/>
      <x:c r="G1360"/>
    </x:row>
    <x:row r="1361">
      <x:c r="A1361"/>
      <x:c r="B1361"/>
      <x:c r="C1361"/>
      <x:c r="D1361"/>
      <x:c r="E1361"/>
      <x:c r="F1361"/>
      <x:c r="G1361"/>
    </x:row>
    <x:row r="1362">
      <x:c r="A1362"/>
      <x:c r="B1362"/>
      <x:c r="C1362"/>
      <x:c r="D1362"/>
      <x:c r="E1362"/>
      <x:c r="F1362"/>
      <x:c r="G1362"/>
    </x:row>
    <x:row r="1363">
      <x:c r="A1363"/>
      <x:c r="B1363"/>
      <x:c r="C1363"/>
      <x:c r="D1363"/>
      <x:c r="E1363"/>
      <x:c r="F1363"/>
      <x:c r="G1363"/>
    </x:row>
    <x:row r="1364">
      <x:c r="A1364"/>
      <x:c r="B1364"/>
      <x:c r="C1364"/>
      <x:c r="D1364"/>
      <x:c r="E1364"/>
      <x:c r="F1364"/>
      <x:c r="G1364"/>
    </x:row>
    <x:row r="1365">
      <x:c r="A1365"/>
      <x:c r="B1365"/>
      <x:c r="C1365"/>
      <x:c r="D1365"/>
      <x:c r="E1365"/>
      <x:c r="F1365"/>
      <x:c r="G1365"/>
    </x:row>
    <x:row r="1366">
      <x:c r="A1366"/>
      <x:c r="B1366"/>
      <x:c r="C1366"/>
      <x:c r="D1366"/>
      <x:c r="E1366"/>
      <x:c r="F1366"/>
      <x:c r="G1366"/>
    </x:row>
    <x:row r="1367">
      <x:c r="A1367"/>
      <x:c r="B1367"/>
      <x:c r="C1367"/>
      <x:c r="D1367"/>
      <x:c r="E1367"/>
      <x:c r="F1367"/>
      <x:c r="G1367"/>
    </x:row>
    <x:row r="1368">
      <x:c r="A1368"/>
      <x:c r="B1368"/>
      <x:c r="C1368"/>
      <x:c r="D1368"/>
      <x:c r="E1368"/>
      <x:c r="F1368"/>
      <x:c r="G1368"/>
    </x:row>
    <x:row r="1369">
      <x:c r="A1369"/>
      <x:c r="B1369"/>
      <x:c r="C1369"/>
      <x:c r="D1369"/>
      <x:c r="E1369"/>
      <x:c r="F1369"/>
      <x:c r="G1369"/>
    </x:row>
    <x:row r="1370">
      <x:c r="A1370"/>
      <x:c r="B1370"/>
      <x:c r="C1370"/>
      <x:c r="D1370"/>
      <x:c r="E1370"/>
      <x:c r="F1370"/>
      <x:c r="G1370"/>
    </x:row>
    <x:row r="1371">
      <x:c r="A1371"/>
      <x:c r="B1371"/>
      <x:c r="C1371"/>
      <x:c r="D1371"/>
      <x:c r="E1371"/>
      <x:c r="F1371"/>
      <x:c r="G1371"/>
    </x:row>
    <x:row r="1372">
      <x:c r="A1372"/>
      <x:c r="B1372"/>
      <x:c r="C1372"/>
      <x:c r="D1372"/>
      <x:c r="E1372"/>
      <x:c r="F1372"/>
      <x:c r="G1372"/>
    </x:row>
    <x:row r="1373">
      <x:c r="A1373"/>
      <x:c r="B1373"/>
      <x:c r="C1373"/>
      <x:c r="D1373"/>
      <x:c r="E1373"/>
      <x:c r="F1373"/>
      <x:c r="G1373"/>
    </x:row>
    <x:row r="1374">
      <x:c r="A1374"/>
      <x:c r="B1374"/>
      <x:c r="C1374"/>
      <x:c r="D1374"/>
      <x:c r="E1374"/>
      <x:c r="F1374"/>
      <x:c r="G1374"/>
    </x:row>
    <x:row r="1375">
      <x:c r="A1375"/>
      <x:c r="B1375"/>
      <x:c r="C1375"/>
      <x:c r="D1375"/>
      <x:c r="E1375"/>
      <x:c r="F1375"/>
      <x:c r="G1375"/>
    </x:row>
    <x:row r="1376">
      <x:c r="A1376"/>
      <x:c r="B1376"/>
      <x:c r="C1376"/>
      <x:c r="D1376"/>
      <x:c r="E1376"/>
      <x:c r="F1376"/>
      <x:c r="G1376"/>
    </x:row>
    <x:row r="1377">
      <x:c r="A1377"/>
      <x:c r="B1377"/>
      <x:c r="C1377"/>
      <x:c r="D1377"/>
      <x:c r="E1377"/>
      <x:c r="F1377"/>
      <x:c r="G1377"/>
    </x:row>
    <x:row r="1378">
      <x:c r="A1378"/>
      <x:c r="B1378"/>
      <x:c r="C1378"/>
      <x:c r="D1378"/>
      <x:c r="E1378"/>
      <x:c r="F1378"/>
      <x:c r="G1378"/>
    </x:row>
    <x:row r="1379">
      <x:c r="A1379"/>
      <x:c r="B1379"/>
      <x:c r="C1379"/>
      <x:c r="D1379"/>
      <x:c r="E1379"/>
      <x:c r="F1379"/>
      <x:c r="G1379"/>
    </x:row>
    <x:row r="1380">
      <x:c r="A1380"/>
      <x:c r="B1380"/>
      <x:c r="C1380"/>
      <x:c r="D1380"/>
      <x:c r="E1380"/>
      <x:c r="F1380"/>
      <x:c r="G1380"/>
    </x:row>
    <x:row r="1381">
      <x:c r="A1381"/>
      <x:c r="B1381"/>
      <x:c r="C1381"/>
      <x:c r="D1381"/>
      <x:c r="E1381"/>
      <x:c r="F1381"/>
      <x:c r="G1381"/>
    </x:row>
    <x:row r="1382">
      <x:c r="A1382"/>
      <x:c r="B1382"/>
      <x:c r="C1382"/>
      <x:c r="D1382"/>
      <x:c r="E1382"/>
      <x:c r="F1382"/>
      <x:c r="G1382"/>
    </x:row>
    <x:row r="1383">
      <x:c r="A1383"/>
      <x:c r="B1383"/>
      <x:c r="C1383"/>
      <x:c r="D1383"/>
      <x:c r="E1383"/>
      <x:c r="F1383"/>
      <x:c r="G1383"/>
    </x:row>
    <x:row r="1384">
      <x:c r="A1384"/>
      <x:c r="B1384"/>
      <x:c r="C1384"/>
      <x:c r="D1384"/>
      <x:c r="E1384"/>
      <x:c r="F1384"/>
      <x:c r="G1384"/>
    </x:row>
    <x:row r="1385">
      <x:c r="A1385"/>
      <x:c r="B1385"/>
      <x:c r="C1385"/>
      <x:c r="D1385"/>
      <x:c r="E1385"/>
      <x:c r="F1385"/>
      <x:c r="G1385"/>
    </x:row>
    <x:row r="1386">
      <x:c r="A1386"/>
      <x:c r="B1386"/>
      <x:c r="C1386"/>
      <x:c r="D1386"/>
      <x:c r="E1386"/>
      <x:c r="F1386"/>
      <x:c r="G1386"/>
    </x:row>
    <x:row r="1387">
      <x:c r="A1387"/>
      <x:c r="B1387"/>
      <x:c r="C1387"/>
      <x:c r="D1387"/>
      <x:c r="E1387"/>
      <x:c r="F1387"/>
      <x:c r="G1387"/>
    </x:row>
    <x:row r="1388">
      <x:c r="A1388"/>
      <x:c r="B1388"/>
      <x:c r="C1388"/>
      <x:c r="D1388"/>
      <x:c r="E1388"/>
      <x:c r="F1388"/>
      <x:c r="G1388"/>
    </x:row>
    <x:row r="1389">
      <x:c r="A1389"/>
      <x:c r="B1389"/>
      <x:c r="C1389"/>
      <x:c r="D1389"/>
      <x:c r="E1389"/>
      <x:c r="F1389"/>
      <x:c r="G1389"/>
    </x:row>
    <x:row r="1390">
      <x:c r="A1390"/>
      <x:c r="B1390"/>
      <x:c r="C1390"/>
      <x:c r="D1390"/>
      <x:c r="E1390"/>
      <x:c r="F1390"/>
      <x:c r="G1390"/>
    </x:row>
    <x:row r="1391">
      <x:c r="A1391"/>
      <x:c r="B1391"/>
      <x:c r="C1391"/>
      <x:c r="D1391"/>
      <x:c r="E1391"/>
      <x:c r="F1391"/>
      <x:c r="G1391"/>
    </x:row>
    <x:row r="1392">
      <x:c r="A1392"/>
      <x:c r="B1392"/>
      <x:c r="C1392"/>
      <x:c r="D1392"/>
      <x:c r="E1392"/>
      <x:c r="F1392"/>
      <x:c r="G1392"/>
    </x:row>
    <x:row r="1393">
      <x:c r="A1393"/>
      <x:c r="B1393"/>
      <x:c r="C1393"/>
      <x:c r="D1393"/>
      <x:c r="E1393"/>
      <x:c r="F1393"/>
      <x:c r="G1393"/>
    </x:row>
    <x:row r="1394">
      <x:c r="A1394"/>
      <x:c r="B1394"/>
      <x:c r="C1394"/>
      <x:c r="D1394"/>
      <x:c r="E1394"/>
      <x:c r="F1394"/>
      <x:c r="G1394"/>
    </x:row>
    <x:row r="1395">
      <x:c r="A1395"/>
      <x:c r="B1395"/>
      <x:c r="C1395"/>
      <x:c r="D1395"/>
      <x:c r="E1395"/>
      <x:c r="F1395"/>
      <x:c r="G1395"/>
    </x:row>
    <x:row r="1396">
      <x:c r="A1396"/>
      <x:c r="B1396"/>
      <x:c r="C1396"/>
      <x:c r="D1396"/>
      <x:c r="E1396"/>
      <x:c r="F1396"/>
      <x:c r="G1396"/>
    </x:row>
    <x:row r="1397">
      <x:c r="A1397"/>
      <x:c r="B1397"/>
      <x:c r="C1397"/>
      <x:c r="D1397"/>
      <x:c r="E1397"/>
      <x:c r="F1397"/>
      <x:c r="G1397"/>
    </x:row>
    <x:row r="1398">
      <x:c r="A1398"/>
      <x:c r="B1398"/>
      <x:c r="C1398"/>
      <x:c r="D1398"/>
      <x:c r="E1398"/>
      <x:c r="F1398"/>
      <x:c r="G1398"/>
    </x:row>
    <x:row r="1399">
      <x:c r="A1399"/>
      <x:c r="B1399"/>
      <x:c r="C1399"/>
      <x:c r="D1399"/>
      <x:c r="E1399"/>
      <x:c r="F1399"/>
      <x:c r="G1399"/>
    </x:row>
    <x:row r="1400">
      <x:c r="A1400"/>
      <x:c r="B1400"/>
      <x:c r="C1400"/>
      <x:c r="D1400"/>
      <x:c r="E1400"/>
      <x:c r="F1400"/>
      <x:c r="G1400"/>
    </x:row>
    <x:row r="1401">
      <x:c r="A1401"/>
      <x:c r="B1401"/>
      <x:c r="C1401"/>
      <x:c r="D1401"/>
      <x:c r="E1401"/>
      <x:c r="F1401"/>
      <x:c r="G1401"/>
    </x:row>
    <x:row r="1402">
      <x:c r="A1402"/>
      <x:c r="B1402"/>
      <x:c r="C1402"/>
      <x:c r="D1402"/>
      <x:c r="E1402"/>
      <x:c r="F1402"/>
      <x:c r="G1402"/>
    </x:row>
    <x:row r="1403">
      <x:c r="A1403"/>
      <x:c r="B1403"/>
      <x:c r="C1403"/>
      <x:c r="D1403"/>
      <x:c r="E1403"/>
      <x:c r="F1403"/>
      <x:c r="G1403"/>
    </x:row>
    <x:row r="1404">
      <x:c r="A1404"/>
      <x:c r="B1404"/>
      <x:c r="C1404"/>
      <x:c r="D1404"/>
      <x:c r="E1404"/>
      <x:c r="F1404"/>
      <x:c r="G1404"/>
    </x:row>
    <x:row r="1405">
      <x:c r="A1405"/>
      <x:c r="B1405"/>
      <x:c r="C1405"/>
      <x:c r="D1405"/>
      <x:c r="E1405"/>
      <x:c r="F1405"/>
      <x:c r="G1405"/>
    </x:row>
    <x:row r="1406">
      <x:c r="A1406"/>
      <x:c r="B1406"/>
      <x:c r="C1406"/>
      <x:c r="D1406"/>
      <x:c r="E1406"/>
      <x:c r="F1406"/>
      <x:c r="G1406"/>
    </x:row>
    <x:row r="1407">
      <x:c r="A1407"/>
      <x:c r="B1407"/>
      <x:c r="C1407"/>
      <x:c r="D1407"/>
      <x:c r="E1407"/>
      <x:c r="F1407"/>
      <x:c r="G1407"/>
    </x:row>
    <x:row r="1408">
      <x:c r="A1408"/>
      <x:c r="B1408"/>
      <x:c r="C1408"/>
      <x:c r="D1408"/>
      <x:c r="E1408"/>
      <x:c r="F1408"/>
      <x:c r="G1408"/>
    </x:row>
    <x:row r="1409">
      <x:c r="A1409"/>
      <x:c r="B1409"/>
      <x:c r="C1409"/>
      <x:c r="D1409"/>
      <x:c r="E1409"/>
      <x:c r="F1409"/>
      <x:c r="G1409"/>
    </x:row>
    <x:row r="1410">
      <x:c r="A1410"/>
      <x:c r="B1410"/>
      <x:c r="C1410"/>
      <x:c r="D1410"/>
      <x:c r="E1410"/>
      <x:c r="F1410"/>
      <x:c r="G1410"/>
    </x:row>
    <x:row r="1411">
      <x:c r="A1411"/>
      <x:c r="B1411"/>
      <x:c r="C1411"/>
      <x:c r="D1411"/>
      <x:c r="E1411"/>
      <x:c r="F1411"/>
      <x:c r="G1411"/>
    </x:row>
    <x:row r="1412">
      <x:c r="A1412"/>
      <x:c r="B1412"/>
      <x:c r="C1412"/>
      <x:c r="D1412"/>
      <x:c r="E1412"/>
      <x:c r="F1412"/>
      <x:c r="G1412"/>
    </x:row>
    <x:row r="1413">
      <x:c r="A1413"/>
      <x:c r="B1413"/>
      <x:c r="C1413"/>
      <x:c r="D1413"/>
      <x:c r="E1413"/>
      <x:c r="F1413"/>
      <x:c r="G1413"/>
    </x:row>
    <x:row r="1414">
      <x:c r="A1414"/>
      <x:c r="B1414"/>
      <x:c r="C1414"/>
      <x:c r="D1414"/>
      <x:c r="E1414"/>
      <x:c r="F1414"/>
      <x:c r="G1414"/>
    </x:row>
    <x:row r="1415">
      <x:c r="A1415"/>
      <x:c r="B1415"/>
      <x:c r="C1415"/>
      <x:c r="D1415"/>
      <x:c r="E1415"/>
      <x:c r="F1415"/>
      <x:c r="G1415"/>
    </x:row>
    <x:row r="1416">
      <x:c r="A1416"/>
      <x:c r="B1416"/>
      <x:c r="C1416"/>
      <x:c r="D1416"/>
      <x:c r="E1416"/>
      <x:c r="F1416"/>
      <x:c r="G1416"/>
    </x:row>
    <x:row r="1417">
      <x:c r="A1417"/>
      <x:c r="B1417"/>
      <x:c r="C1417"/>
      <x:c r="D1417"/>
      <x:c r="E1417"/>
      <x:c r="F1417"/>
      <x:c r="G1417"/>
    </x:row>
    <x:row r="1418">
      <x:c r="A1418"/>
      <x:c r="B1418"/>
      <x:c r="C1418"/>
      <x:c r="D1418"/>
      <x:c r="E1418"/>
      <x:c r="F1418"/>
      <x:c r="G1418"/>
    </x:row>
    <x:row r="1419">
      <x:c r="A1419"/>
      <x:c r="B1419"/>
      <x:c r="C1419"/>
      <x:c r="D1419"/>
      <x:c r="E1419"/>
      <x:c r="F1419"/>
      <x:c r="G1419"/>
    </x:row>
    <x:row r="1420">
      <x:c r="A1420"/>
      <x:c r="B1420"/>
      <x:c r="C1420"/>
      <x:c r="D1420"/>
      <x:c r="E1420"/>
      <x:c r="F1420"/>
      <x:c r="G1420"/>
    </x:row>
    <x:row r="1421">
      <x:c r="A1421"/>
      <x:c r="B1421"/>
      <x:c r="C1421"/>
      <x:c r="D1421"/>
      <x:c r="E1421"/>
      <x:c r="F1421"/>
      <x:c r="G1421"/>
    </x:row>
    <x:row r="1422">
      <x:c r="A1422"/>
      <x:c r="B1422"/>
      <x:c r="C1422"/>
      <x:c r="D1422"/>
      <x:c r="E1422"/>
      <x:c r="F1422"/>
      <x:c r="G1422"/>
    </x:row>
    <x:row r="1423">
      <x:c r="A1423"/>
      <x:c r="B1423"/>
      <x:c r="C1423"/>
      <x:c r="D1423"/>
      <x:c r="E1423"/>
      <x:c r="F1423"/>
      <x:c r="G1423"/>
    </x:row>
    <x:row r="1424">
      <x:c r="A1424"/>
      <x:c r="B1424"/>
      <x:c r="C1424"/>
      <x:c r="D1424"/>
      <x:c r="E1424"/>
      <x:c r="F1424"/>
      <x:c r="G1424"/>
    </x:row>
    <x:row r="1425">
      <x:c r="A1425"/>
      <x:c r="B1425"/>
      <x:c r="C1425"/>
      <x:c r="D1425"/>
      <x:c r="E1425"/>
      <x:c r="F1425"/>
      <x:c r="G1425"/>
    </x:row>
    <x:row r="1426">
      <x:c r="A1426"/>
      <x:c r="B1426"/>
      <x:c r="C1426"/>
      <x:c r="D1426"/>
      <x:c r="E1426"/>
      <x:c r="F1426"/>
      <x:c r="G1426"/>
    </x:row>
    <x:row r="1427">
      <x:c r="A1427"/>
      <x:c r="B1427"/>
      <x:c r="C1427"/>
      <x:c r="D1427"/>
      <x:c r="E1427"/>
      <x:c r="F1427"/>
      <x:c r="G1427"/>
    </x:row>
    <x:row r="1428">
      <x:c r="A1428"/>
      <x:c r="B1428"/>
      <x:c r="C1428"/>
      <x:c r="D1428"/>
      <x:c r="E1428"/>
      <x:c r="F1428"/>
      <x:c r="G1428"/>
    </x:row>
    <x:row r="1429">
      <x:c r="A1429"/>
      <x:c r="B1429"/>
      <x:c r="C1429"/>
      <x:c r="D1429"/>
      <x:c r="E1429"/>
      <x:c r="F1429"/>
      <x:c r="G1429"/>
    </x:row>
    <x:row r="1430">
      <x:c r="A1430"/>
      <x:c r="B1430"/>
      <x:c r="C1430"/>
      <x:c r="D1430"/>
      <x:c r="E1430"/>
      <x:c r="F1430"/>
      <x:c r="G1430"/>
    </x:row>
    <x:row r="1431">
      <x:c r="A1431"/>
      <x:c r="B1431"/>
      <x:c r="C1431"/>
      <x:c r="D1431"/>
      <x:c r="E1431"/>
      <x:c r="F1431"/>
      <x:c r="G1431"/>
    </x:row>
    <x:row r="1432">
      <x:c r="A1432"/>
      <x:c r="B1432"/>
      <x:c r="C1432"/>
      <x:c r="D1432"/>
      <x:c r="E1432"/>
      <x:c r="F1432"/>
      <x:c r="G1432"/>
    </x:row>
    <x:row r="1433">
      <x:c r="A1433"/>
      <x:c r="B1433"/>
      <x:c r="C1433"/>
      <x:c r="D1433"/>
      <x:c r="E1433"/>
      <x:c r="F1433"/>
      <x:c r="G1433"/>
    </x:row>
    <x:row r="1434">
      <x:c r="A1434"/>
      <x:c r="B1434"/>
      <x:c r="C1434"/>
      <x:c r="D1434"/>
      <x:c r="E1434"/>
      <x:c r="F1434"/>
      <x:c r="G1434"/>
    </x:row>
    <x:row r="1435">
      <x:c r="A1435"/>
      <x:c r="B1435"/>
      <x:c r="C1435"/>
      <x:c r="D1435"/>
      <x:c r="E1435"/>
      <x:c r="F1435"/>
      <x:c r="G1435"/>
    </x:row>
    <x:row r="1436">
      <x:c r="A1436"/>
      <x:c r="B1436"/>
      <x:c r="C1436"/>
      <x:c r="D1436"/>
      <x:c r="E1436"/>
      <x:c r="F1436"/>
      <x:c r="G1436"/>
    </x:row>
    <x:row r="1437">
      <x:c r="A1437"/>
      <x:c r="B1437"/>
      <x:c r="C1437"/>
      <x:c r="D1437"/>
      <x:c r="E1437"/>
      <x:c r="F1437"/>
      <x:c r="G1437"/>
    </x:row>
    <x:row r="1438">
      <x:c r="A1438"/>
      <x:c r="B1438"/>
      <x:c r="C1438"/>
      <x:c r="D1438"/>
      <x:c r="E1438"/>
      <x:c r="F1438"/>
      <x:c r="G1438"/>
    </x:row>
    <x:row r="1439">
      <x:c r="A1439"/>
      <x:c r="B1439"/>
      <x:c r="C1439"/>
      <x:c r="D1439"/>
      <x:c r="E1439"/>
      <x:c r="F1439"/>
      <x:c r="G1439"/>
    </x:row>
    <x:row r="1440">
      <x:c r="A1440"/>
      <x:c r="B1440"/>
      <x:c r="C1440"/>
      <x:c r="D1440"/>
      <x:c r="E1440"/>
      <x:c r="F1440"/>
      <x:c r="G1440"/>
    </x:row>
    <x:row r="1441">
      <x:c r="A1441"/>
      <x:c r="B1441"/>
      <x:c r="C1441"/>
      <x:c r="D1441"/>
      <x:c r="E1441"/>
      <x:c r="F1441"/>
      <x:c r="G1441"/>
    </x:row>
    <x:row r="1442">
      <x:c r="A1442"/>
      <x:c r="B1442"/>
      <x:c r="C1442"/>
      <x:c r="D1442"/>
      <x:c r="E1442"/>
      <x:c r="F1442"/>
      <x:c r="G1442"/>
    </x:row>
    <x:row r="1443">
      <x:c r="A1443"/>
      <x:c r="B1443"/>
      <x:c r="C1443"/>
      <x:c r="D1443"/>
      <x:c r="E1443"/>
      <x:c r="F1443"/>
      <x:c r="G1443"/>
    </x:row>
    <x:row r="1444">
      <x:c r="A1444"/>
      <x:c r="B1444"/>
      <x:c r="C1444"/>
      <x:c r="D1444"/>
      <x:c r="E1444"/>
      <x:c r="F1444"/>
      <x:c r="G1444"/>
    </x:row>
    <x:row r="1445">
      <x:c r="A1445"/>
      <x:c r="B1445"/>
      <x:c r="C1445"/>
      <x:c r="D1445"/>
      <x:c r="E1445"/>
      <x:c r="F1445"/>
      <x:c r="G1445"/>
    </x:row>
    <x:row r="1446">
      <x:c r="A1446"/>
      <x:c r="B1446"/>
      <x:c r="C1446"/>
      <x:c r="D1446"/>
      <x:c r="E1446"/>
      <x:c r="F1446"/>
      <x:c r="G1446"/>
    </x:row>
    <x:row r="1447">
      <x:c r="A1447"/>
      <x:c r="B1447"/>
      <x:c r="C1447"/>
      <x:c r="D1447"/>
      <x:c r="E1447"/>
      <x:c r="F1447"/>
      <x:c r="G1447"/>
    </x:row>
    <x:row r="1448">
      <x:c r="A1448"/>
      <x:c r="B1448"/>
      <x:c r="C1448"/>
      <x:c r="D1448"/>
      <x:c r="E1448"/>
      <x:c r="F1448"/>
      <x:c r="G1448"/>
    </x:row>
    <x:row r="1449">
      <x:c r="A1449"/>
      <x:c r="B1449"/>
      <x:c r="C1449"/>
      <x:c r="D1449"/>
      <x:c r="E1449"/>
      <x:c r="F1449"/>
      <x:c r="G1449"/>
    </x:row>
    <x:row r="1450">
      <x:c r="A1450"/>
      <x:c r="B1450"/>
      <x:c r="C1450"/>
      <x:c r="D1450"/>
      <x:c r="E1450"/>
      <x:c r="F1450"/>
      <x:c r="G1450"/>
    </x:row>
    <x:row r="1451">
      <x:c r="A1451"/>
      <x:c r="B1451"/>
      <x:c r="C1451"/>
      <x:c r="D1451"/>
      <x:c r="E1451"/>
      <x:c r="F1451"/>
      <x:c r="G1451"/>
    </x:row>
    <x:row r="1452">
      <x:c r="A1452"/>
      <x:c r="B1452"/>
      <x:c r="C1452"/>
      <x:c r="D1452"/>
      <x:c r="E1452"/>
      <x:c r="F1452"/>
      <x:c r="G1452"/>
    </x:row>
    <x:row r="1453">
      <x:c r="A1453"/>
      <x:c r="B1453"/>
      <x:c r="C1453"/>
      <x:c r="D1453"/>
      <x:c r="E1453"/>
      <x:c r="F1453"/>
      <x:c r="G1453"/>
    </x:row>
    <x:row r="1454">
      <x:c r="A1454"/>
      <x:c r="B1454"/>
      <x:c r="C1454"/>
      <x:c r="D1454"/>
      <x:c r="E1454"/>
      <x:c r="F1454"/>
      <x:c r="G1454"/>
    </x:row>
    <x:row r="1455">
      <x:c r="A1455"/>
      <x:c r="B1455"/>
      <x:c r="C1455"/>
      <x:c r="D1455"/>
      <x:c r="E1455"/>
      <x:c r="F1455"/>
      <x:c r="G1455"/>
    </x:row>
    <x:row r="1456">
      <x:c r="A1456"/>
      <x:c r="B1456"/>
      <x:c r="C1456"/>
      <x:c r="D1456"/>
      <x:c r="E1456"/>
      <x:c r="F1456"/>
      <x:c r="G1456"/>
    </x:row>
    <x:row r="1457">
      <x:c r="A1457"/>
      <x:c r="B1457"/>
      <x:c r="C1457"/>
      <x:c r="D1457"/>
      <x:c r="E1457"/>
      <x:c r="F1457"/>
      <x:c r="G1457"/>
    </x:row>
    <x:row r="1458">
      <x:c r="A1458"/>
      <x:c r="B1458"/>
      <x:c r="C1458"/>
      <x:c r="D1458"/>
      <x:c r="E1458"/>
      <x:c r="F1458"/>
      <x:c r="G1458"/>
    </x:row>
    <x:row r="1459">
      <x:c r="A1459"/>
      <x:c r="B1459"/>
      <x:c r="C1459"/>
      <x:c r="D1459"/>
      <x:c r="E1459"/>
      <x:c r="F1459"/>
      <x:c r="G1459"/>
    </x:row>
    <x:row r="1460">
      <x:c r="A1460"/>
      <x:c r="B1460"/>
      <x:c r="C1460"/>
      <x:c r="D1460"/>
      <x:c r="E1460"/>
      <x:c r="F1460"/>
      <x:c r="G1460"/>
    </x:row>
    <x:row r="1461">
      <x:c r="A1461"/>
      <x:c r="B1461"/>
      <x:c r="C1461"/>
      <x:c r="D1461"/>
      <x:c r="E1461"/>
      <x:c r="F1461"/>
      <x:c r="G1461"/>
    </x:row>
    <x:row r="1462">
      <x:c r="A1462"/>
      <x:c r="B1462"/>
      <x:c r="C1462"/>
      <x:c r="D1462"/>
      <x:c r="E1462"/>
      <x:c r="F1462"/>
      <x:c r="G1462"/>
    </x:row>
    <x:row r="1463">
      <x:c r="A1463"/>
      <x:c r="B1463"/>
      <x:c r="C1463"/>
      <x:c r="D1463"/>
      <x:c r="E1463"/>
      <x:c r="F1463"/>
      <x:c r="G1463"/>
    </x:row>
    <x:row r="1464">
      <x:c r="A1464"/>
      <x:c r="B1464"/>
      <x:c r="C1464"/>
      <x:c r="D1464"/>
      <x:c r="E1464"/>
      <x:c r="F1464"/>
      <x:c r="G1464"/>
    </x:row>
    <x:row r="1465">
      <x:c r="A1465"/>
      <x:c r="B1465"/>
      <x:c r="C1465"/>
      <x:c r="D1465"/>
      <x:c r="E1465"/>
      <x:c r="F1465"/>
      <x:c r="G1465"/>
    </x:row>
    <x:row r="1466">
      <x:c r="A1466"/>
      <x:c r="B1466"/>
      <x:c r="C1466"/>
      <x:c r="D1466"/>
      <x:c r="E1466"/>
      <x:c r="F1466"/>
      <x:c r="G1466"/>
    </x:row>
    <x:row r="1467">
      <x:c r="A1467"/>
      <x:c r="B1467"/>
      <x:c r="C1467"/>
      <x:c r="D1467"/>
      <x:c r="E1467"/>
      <x:c r="F1467"/>
      <x:c r="G1467"/>
    </x:row>
    <x:row r="1468">
      <x:c r="A1468"/>
      <x:c r="B1468"/>
      <x:c r="C1468"/>
      <x:c r="D1468"/>
      <x:c r="E1468"/>
      <x:c r="F1468"/>
      <x:c r="G1468"/>
    </x:row>
    <x:row r="1469">
      <x:c r="A1469"/>
      <x:c r="B1469"/>
      <x:c r="C1469"/>
      <x:c r="D1469"/>
      <x:c r="E1469"/>
      <x:c r="F1469"/>
      <x:c r="G1469"/>
    </x:row>
    <x:row r="1470">
      <x:c r="A1470"/>
      <x:c r="B1470"/>
      <x:c r="C1470"/>
      <x:c r="D1470"/>
      <x:c r="E1470"/>
      <x:c r="F1470"/>
      <x:c r="G1470"/>
    </x:row>
    <x:row r="1471">
      <x:c r="A1471"/>
      <x:c r="B1471"/>
      <x:c r="C1471"/>
      <x:c r="D1471"/>
      <x:c r="E1471"/>
      <x:c r="F1471"/>
      <x:c r="G1471"/>
    </x:row>
    <x:row r="1472">
      <x:c r="A1472"/>
      <x:c r="B1472"/>
      <x:c r="C1472"/>
      <x:c r="D1472"/>
      <x:c r="E1472"/>
      <x:c r="F1472"/>
      <x:c r="G1472"/>
    </x:row>
    <x:row r="1473">
      <x:c r="A1473"/>
      <x:c r="B1473"/>
      <x:c r="C1473"/>
      <x:c r="D1473"/>
      <x:c r="E1473"/>
      <x:c r="F1473"/>
      <x:c r="G1473"/>
    </x:row>
    <x:row r="1474">
      <x:c r="A1474"/>
      <x:c r="B1474"/>
      <x:c r="C1474"/>
      <x:c r="D1474"/>
      <x:c r="E1474"/>
      <x:c r="F1474"/>
      <x:c r="G1474"/>
    </x:row>
    <x:row r="1475">
      <x:c r="A1475"/>
      <x:c r="B1475"/>
      <x:c r="C1475"/>
      <x:c r="D1475"/>
      <x:c r="E1475"/>
      <x:c r="F1475"/>
      <x:c r="G1475"/>
    </x:row>
    <x:row r="1476">
      <x:c r="A1476"/>
      <x:c r="B1476"/>
      <x:c r="C1476"/>
      <x:c r="D1476"/>
      <x:c r="E1476"/>
      <x:c r="F1476"/>
      <x:c r="G1476"/>
    </x:row>
    <x:row r="1477">
      <x:c r="A1477"/>
      <x:c r="B1477"/>
      <x:c r="C1477"/>
      <x:c r="D1477"/>
      <x:c r="E1477"/>
      <x:c r="F1477"/>
      <x:c r="G1477"/>
    </x:row>
    <x:row r="1478">
      <x:c r="A1478"/>
      <x:c r="B1478"/>
      <x:c r="C1478"/>
      <x:c r="D1478"/>
      <x:c r="E1478"/>
      <x:c r="F1478"/>
      <x:c r="G1478"/>
    </x:row>
    <x:row r="1479">
      <x:c r="A1479"/>
      <x:c r="B1479"/>
      <x:c r="C1479"/>
      <x:c r="D1479"/>
      <x:c r="E1479"/>
      <x:c r="F1479"/>
      <x:c r="G1479"/>
    </x:row>
    <x:row r="1480">
      <x:c r="A1480"/>
      <x:c r="B1480"/>
      <x:c r="C1480"/>
      <x:c r="D1480"/>
      <x:c r="E1480"/>
      <x:c r="F1480"/>
      <x:c r="G1480"/>
    </x:row>
    <x:row r="1481">
      <x:c r="A1481"/>
      <x:c r="B1481"/>
      <x:c r="C1481"/>
      <x:c r="D1481"/>
      <x:c r="E1481"/>
      <x:c r="F1481"/>
      <x:c r="G1481"/>
    </x:row>
    <x:row r="1482">
      <x:c r="A1482"/>
      <x:c r="B1482"/>
      <x:c r="C1482"/>
      <x:c r="D1482"/>
      <x:c r="E1482"/>
      <x:c r="F1482"/>
      <x:c r="G1482"/>
    </x:row>
    <x:row r="1483">
      <x:c r="A1483"/>
      <x:c r="B1483"/>
      <x:c r="C1483"/>
      <x:c r="D1483"/>
      <x:c r="E1483"/>
      <x:c r="F1483"/>
      <x:c r="G1483"/>
    </x:row>
    <x:row r="1484">
      <x:c r="A1484"/>
      <x:c r="B1484"/>
      <x:c r="C1484"/>
      <x:c r="D1484"/>
      <x:c r="E1484"/>
      <x:c r="F1484"/>
      <x:c r="G1484"/>
    </x:row>
    <x:row r="1485">
      <x:c r="A1485"/>
      <x:c r="B1485"/>
      <x:c r="C1485"/>
      <x:c r="D1485"/>
      <x:c r="E1485"/>
      <x:c r="F1485"/>
      <x:c r="G1485"/>
    </x:row>
    <x:row r="1486">
      <x:c r="A1486"/>
      <x:c r="B1486"/>
      <x:c r="C1486"/>
      <x:c r="D1486"/>
      <x:c r="E1486"/>
      <x:c r="F1486"/>
      <x:c r="G1486"/>
    </x:row>
    <x:row r="1487">
      <x:c r="A1487"/>
      <x:c r="B1487"/>
      <x:c r="C1487"/>
      <x:c r="D1487"/>
      <x:c r="E1487"/>
      <x:c r="F1487"/>
      <x:c r="G1487"/>
    </x:row>
    <x:row r="1488">
      <x:c r="A1488"/>
      <x:c r="B1488"/>
      <x:c r="C1488"/>
      <x:c r="D1488"/>
      <x:c r="E1488"/>
      <x:c r="F1488"/>
      <x:c r="G1488"/>
    </x:row>
    <x:row r="1489">
      <x:c r="A1489"/>
      <x:c r="B1489"/>
      <x:c r="C1489"/>
      <x:c r="D1489"/>
      <x:c r="E1489"/>
      <x:c r="F1489"/>
      <x:c r="G1489"/>
    </x:row>
    <x:row r="1490">
      <x:c r="A1490"/>
      <x:c r="B1490"/>
      <x:c r="C1490"/>
      <x:c r="D1490"/>
      <x:c r="E1490"/>
      <x:c r="F1490"/>
      <x:c r="G1490"/>
    </x:row>
    <x:row r="1491">
      <x:c r="A1491"/>
      <x:c r="B1491"/>
      <x:c r="C1491"/>
      <x:c r="D1491"/>
      <x:c r="E1491"/>
      <x:c r="F1491"/>
      <x:c r="G1491"/>
    </x:row>
    <x:row r="1492">
      <x:c r="A1492"/>
      <x:c r="B1492"/>
      <x:c r="C1492"/>
      <x:c r="D1492"/>
      <x:c r="E1492"/>
      <x:c r="F1492"/>
      <x:c r="G1492"/>
    </x:row>
    <x:row r="1493">
      <x:c r="A1493"/>
      <x:c r="B1493"/>
      <x:c r="C1493"/>
      <x:c r="D1493"/>
      <x:c r="E1493"/>
      <x:c r="F1493"/>
      <x:c r="G1493"/>
    </x:row>
    <x:row r="1494">
      <x:c r="A1494"/>
      <x:c r="B1494"/>
      <x:c r="C1494"/>
      <x:c r="D1494"/>
      <x:c r="E1494"/>
      <x:c r="F1494"/>
      <x:c r="G1494"/>
    </x:row>
    <x:row r="1495">
      <x:c r="A1495"/>
      <x:c r="B1495"/>
      <x:c r="C1495"/>
      <x:c r="D1495"/>
      <x:c r="E1495"/>
      <x:c r="F1495"/>
      <x:c r="G1495"/>
    </x:row>
    <x:row r="1496">
      <x:c r="A1496"/>
      <x:c r="B1496"/>
      <x:c r="C1496"/>
      <x:c r="D1496"/>
      <x:c r="E1496"/>
      <x:c r="F1496"/>
      <x:c r="G1496"/>
    </x:row>
    <x:row r="1497">
      <x:c r="A1497"/>
      <x:c r="B1497"/>
      <x:c r="C1497"/>
      <x:c r="D1497"/>
      <x:c r="E1497"/>
      <x:c r="F1497"/>
      <x:c r="G1497"/>
    </x:row>
    <x:row r="1498">
      <x:c r="A1498"/>
      <x:c r="B1498"/>
      <x:c r="C1498"/>
      <x:c r="D1498"/>
      <x:c r="E1498"/>
      <x:c r="F1498"/>
      <x:c r="G1498"/>
    </x:row>
    <x:row r="1499">
      <x:c r="A1499"/>
      <x:c r="B1499"/>
      <x:c r="C1499"/>
      <x:c r="D1499"/>
      <x:c r="E1499"/>
      <x:c r="F1499"/>
      <x:c r="G1499"/>
    </x:row>
    <x:row r="1500">
      <x:c r="A1500"/>
      <x:c r="B1500"/>
      <x:c r="C1500"/>
      <x:c r="D1500"/>
      <x:c r="E1500"/>
      <x:c r="F1500"/>
      <x:c r="G1500"/>
    </x:row>
    <x:row r="1501">
      <x:c r="A1501"/>
      <x:c r="B1501"/>
      <x:c r="C1501"/>
      <x:c r="D1501"/>
      <x:c r="E1501"/>
      <x:c r="F1501"/>
      <x:c r="G1501"/>
    </x:row>
    <x:row r="1502">
      <x:c r="A1502"/>
      <x:c r="B1502"/>
      <x:c r="C1502"/>
      <x:c r="D1502"/>
      <x:c r="E1502"/>
      <x:c r="F1502"/>
      <x:c r="G1502"/>
    </x:row>
    <x:row r="1503">
      <x:c r="A1503"/>
      <x:c r="B1503"/>
      <x:c r="C1503"/>
      <x:c r="D1503"/>
      <x:c r="E1503"/>
      <x:c r="F1503"/>
      <x:c r="G1503"/>
    </x:row>
    <x:row r="1504">
      <x:c r="A1504"/>
      <x:c r="B1504"/>
      <x:c r="C1504"/>
      <x:c r="D1504"/>
      <x:c r="E1504"/>
      <x:c r="F1504"/>
      <x:c r="G1504"/>
    </x:row>
    <x:row r="1505">
      <x:c r="A1505"/>
      <x:c r="B1505"/>
      <x:c r="C1505"/>
      <x:c r="D1505"/>
      <x:c r="E1505"/>
      <x:c r="F1505"/>
      <x:c r="G1505"/>
    </x:row>
    <x:row r="1506">
      <x:c r="A1506"/>
      <x:c r="B1506"/>
      <x:c r="C1506"/>
      <x:c r="D1506"/>
      <x:c r="E1506"/>
      <x:c r="F1506"/>
      <x:c r="G1506"/>
    </x:row>
    <x:row r="1507">
      <x:c r="A1507"/>
      <x:c r="B1507"/>
      <x:c r="C1507"/>
      <x:c r="D1507"/>
      <x:c r="E1507"/>
      <x:c r="F1507"/>
      <x:c r="G1507"/>
    </x:row>
    <x:row r="1508">
      <x:c r="A1508"/>
      <x:c r="B1508"/>
      <x:c r="C1508"/>
      <x:c r="D1508"/>
      <x:c r="E1508"/>
      <x:c r="F1508"/>
      <x:c r="G1508"/>
    </x:row>
    <x:row r="1509">
      <x:c r="A1509"/>
      <x:c r="B1509"/>
      <x:c r="C1509"/>
      <x:c r="D1509"/>
      <x:c r="E1509"/>
      <x:c r="F1509"/>
      <x:c r="G1509"/>
    </x:row>
    <x:row r="1510">
      <x:c r="A1510"/>
      <x:c r="B1510"/>
      <x:c r="C1510"/>
      <x:c r="D1510"/>
      <x:c r="E1510"/>
      <x:c r="F1510"/>
      <x:c r="G1510"/>
    </x:row>
    <x:row r="1511">
      <x:c r="A1511"/>
      <x:c r="B1511"/>
      <x:c r="C1511"/>
      <x:c r="D1511"/>
      <x:c r="E1511"/>
      <x:c r="F1511"/>
      <x:c r="G1511"/>
    </x:row>
    <x:row r="1512">
      <x:c r="A1512"/>
      <x:c r="B1512"/>
      <x:c r="C1512"/>
      <x:c r="D1512"/>
      <x:c r="E1512"/>
      <x:c r="F1512"/>
      <x:c r="G1512"/>
    </x:row>
    <x:row r="1513">
      <x:c r="A1513"/>
      <x:c r="B1513"/>
      <x:c r="C1513"/>
      <x:c r="D1513"/>
      <x:c r="E1513"/>
      <x:c r="F1513"/>
      <x:c r="G1513"/>
    </x:row>
    <x:row r="1514">
      <x:c r="A1514"/>
      <x:c r="B1514"/>
      <x:c r="C1514"/>
      <x:c r="D1514"/>
      <x:c r="E1514"/>
      <x:c r="F1514"/>
      <x:c r="G1514"/>
    </x:row>
    <x:row r="1515">
      <x:c r="A1515"/>
      <x:c r="B1515"/>
      <x:c r="C1515"/>
      <x:c r="D1515"/>
      <x:c r="E1515"/>
      <x:c r="F1515"/>
      <x:c r="G1515"/>
    </x:row>
    <x:row r="1516">
      <x:c r="A1516"/>
      <x:c r="B1516"/>
      <x:c r="C1516"/>
      <x:c r="D1516"/>
      <x:c r="E1516"/>
      <x:c r="F1516"/>
      <x:c r="G1516"/>
    </x:row>
    <x:row r="1517">
      <x:c r="A1517"/>
      <x:c r="B1517"/>
      <x:c r="C1517"/>
      <x:c r="D1517"/>
      <x:c r="E1517"/>
      <x:c r="F1517"/>
      <x:c r="G1517"/>
    </x:row>
    <x:row r="1518">
      <x:c r="A1518"/>
      <x:c r="B1518"/>
      <x:c r="C1518"/>
      <x:c r="D1518"/>
      <x:c r="E1518"/>
      <x:c r="F1518"/>
      <x:c r="G1518"/>
    </x:row>
    <x:row r="1519">
      <x:c r="A1519"/>
      <x:c r="B1519"/>
      <x:c r="C1519"/>
      <x:c r="D1519"/>
      <x:c r="E1519"/>
      <x:c r="F1519"/>
      <x:c r="G1519"/>
    </x:row>
    <x:row r="1520">
      <x:c r="A1520"/>
      <x:c r="B1520"/>
      <x:c r="C1520"/>
      <x:c r="D1520"/>
      <x:c r="E1520"/>
      <x:c r="F1520"/>
      <x:c r="G1520"/>
    </x:row>
    <x:row r="1521">
      <x:c r="A1521"/>
      <x:c r="B1521"/>
      <x:c r="C1521"/>
      <x:c r="D1521"/>
      <x:c r="E1521"/>
      <x:c r="F1521"/>
      <x:c r="G1521"/>
    </x:row>
    <x:row r="1522">
      <x:c r="A1522"/>
      <x:c r="B1522"/>
      <x:c r="C1522"/>
      <x:c r="D1522"/>
      <x:c r="E1522"/>
      <x:c r="F1522"/>
      <x:c r="G1522"/>
    </x:row>
    <x:row r="1523">
      <x:c r="A1523"/>
      <x:c r="B1523"/>
      <x:c r="C1523"/>
      <x:c r="D1523"/>
      <x:c r="E1523"/>
      <x:c r="F1523"/>
      <x:c r="G1523"/>
    </x:row>
    <x:row r="1524">
      <x:c r="A1524"/>
      <x:c r="B1524"/>
      <x:c r="C1524"/>
      <x:c r="D1524"/>
      <x:c r="E1524"/>
      <x:c r="F1524"/>
      <x:c r="G1524"/>
    </x:row>
    <x:row r="1525">
      <x:c r="A1525"/>
      <x:c r="B1525"/>
      <x:c r="C1525"/>
      <x:c r="D1525"/>
      <x:c r="E1525"/>
      <x:c r="F1525"/>
      <x:c r="G1525"/>
    </x:row>
    <x:row r="1526">
      <x:c r="A1526"/>
      <x:c r="B1526"/>
      <x:c r="C1526"/>
      <x:c r="D1526"/>
      <x:c r="E1526"/>
      <x:c r="F1526"/>
      <x:c r="G1526"/>
    </x:row>
    <x:row r="1527">
      <x:c r="A1527"/>
      <x:c r="B1527"/>
      <x:c r="C1527"/>
      <x:c r="D1527"/>
      <x:c r="E1527"/>
      <x:c r="F1527"/>
      <x:c r="G1527"/>
    </x:row>
    <x:row r="1528">
      <x:c r="A1528"/>
      <x:c r="B1528"/>
      <x:c r="C1528"/>
      <x:c r="D1528"/>
      <x:c r="E1528"/>
      <x:c r="F1528"/>
      <x:c r="G1528"/>
    </x:row>
    <x:row r="1529">
      <x:c r="A1529"/>
      <x:c r="B1529"/>
      <x:c r="C1529"/>
      <x:c r="D1529"/>
      <x:c r="E1529"/>
      <x:c r="F1529"/>
      <x:c r="G1529"/>
    </x:row>
    <x:row r="1530">
      <x:c r="A1530"/>
      <x:c r="B1530"/>
      <x:c r="C1530"/>
      <x:c r="D1530"/>
      <x:c r="E1530"/>
      <x:c r="F1530"/>
      <x:c r="G1530"/>
    </x:row>
    <x:row r="1531">
      <x:c r="A1531"/>
      <x:c r="B1531"/>
      <x:c r="C1531"/>
      <x:c r="D1531"/>
      <x:c r="E1531"/>
      <x:c r="F1531"/>
      <x:c r="G1531"/>
    </x:row>
    <x:row r="1532">
      <x:c r="A1532"/>
      <x:c r="B1532"/>
      <x:c r="C1532"/>
      <x:c r="D1532"/>
      <x:c r="E1532"/>
      <x:c r="F1532"/>
      <x:c r="G1532"/>
    </x:row>
    <x:row r="1533">
      <x:c r="A1533"/>
      <x:c r="B1533"/>
      <x:c r="C1533"/>
      <x:c r="D1533"/>
      <x:c r="E1533"/>
      <x:c r="F1533"/>
      <x:c r="G1533"/>
    </x:row>
    <x:row r="1534">
      <x:c r="A1534"/>
      <x:c r="B1534"/>
      <x:c r="C1534"/>
      <x:c r="D1534"/>
      <x:c r="E1534"/>
      <x:c r="F1534"/>
      <x:c r="G1534"/>
    </x:row>
    <x:row r="1535">
      <x:c r="A1535"/>
      <x:c r="B1535"/>
      <x:c r="C1535"/>
      <x:c r="D1535"/>
      <x:c r="E1535"/>
      <x:c r="F1535"/>
      <x:c r="G1535"/>
    </x:row>
    <x:row r="1536">
      <x:c r="A1536"/>
      <x:c r="B1536"/>
      <x:c r="C1536"/>
      <x:c r="D1536"/>
      <x:c r="E1536"/>
      <x:c r="F1536"/>
      <x:c r="G1536"/>
    </x:row>
    <x:row r="1537">
      <x:c r="A1537"/>
      <x:c r="B1537"/>
      <x:c r="C1537"/>
      <x:c r="D1537"/>
      <x:c r="E1537"/>
      <x:c r="F1537"/>
      <x:c r="G1537"/>
    </x:row>
    <x:row r="1538">
      <x:c r="A1538"/>
      <x:c r="B1538"/>
      <x:c r="C1538"/>
      <x:c r="D1538"/>
      <x:c r="E1538"/>
      <x:c r="F1538"/>
      <x:c r="G1538"/>
    </x:row>
    <x:row r="1539">
      <x:c r="A1539"/>
      <x:c r="B1539"/>
      <x:c r="C1539"/>
      <x:c r="D1539"/>
      <x:c r="E1539"/>
      <x:c r="F1539"/>
      <x:c r="G1539"/>
    </x:row>
    <x:row r="1540">
      <x:c r="A1540"/>
      <x:c r="B1540"/>
      <x:c r="C1540"/>
      <x:c r="D1540"/>
      <x:c r="E1540"/>
      <x:c r="F1540"/>
      <x:c r="G1540"/>
    </x:row>
    <x:row r="1541">
      <x:c r="A1541"/>
      <x:c r="B1541"/>
      <x:c r="C1541"/>
      <x:c r="D1541"/>
      <x:c r="E1541"/>
      <x:c r="F1541"/>
      <x:c r="G1541"/>
    </x:row>
    <x:row r="1542">
      <x:c r="A1542"/>
      <x:c r="B1542"/>
      <x:c r="C1542"/>
      <x:c r="D1542"/>
      <x:c r="E1542"/>
      <x:c r="F1542"/>
      <x:c r="G1542"/>
    </x:row>
    <x:row r="1543">
      <x:c r="A1543"/>
      <x:c r="B1543"/>
      <x:c r="C1543"/>
      <x:c r="D1543"/>
      <x:c r="E1543"/>
      <x:c r="F1543"/>
      <x:c r="G1543"/>
    </x:row>
    <x:row r="1544">
      <x:c r="A1544"/>
      <x:c r="B1544"/>
      <x:c r="C1544"/>
      <x:c r="D1544"/>
      <x:c r="E1544"/>
      <x:c r="F1544"/>
      <x:c r="G1544"/>
    </x:row>
    <x:row r="1545">
      <x:c r="A1545"/>
      <x:c r="B1545"/>
      <x:c r="C1545"/>
      <x:c r="D1545"/>
      <x:c r="E1545"/>
      <x:c r="F1545"/>
      <x:c r="G1545"/>
    </x:row>
    <x:row r="1546">
      <x:c r="A1546"/>
      <x:c r="B1546"/>
      <x:c r="C1546"/>
      <x:c r="D1546"/>
      <x:c r="E1546"/>
      <x:c r="F1546"/>
      <x:c r="G1546"/>
    </x:row>
    <x:row r="1547">
      <x:c r="A1547"/>
      <x:c r="B1547"/>
      <x:c r="C1547"/>
      <x:c r="D1547"/>
      <x:c r="E1547"/>
      <x:c r="F1547"/>
      <x:c r="G1547"/>
    </x:row>
    <x:row r="1548">
      <x:c r="A1548"/>
      <x:c r="B1548"/>
      <x:c r="C1548"/>
      <x:c r="D1548"/>
      <x:c r="E1548"/>
      <x:c r="F1548"/>
      <x:c r="G1548"/>
    </x:row>
    <x:row r="1549">
      <x:c r="A1549"/>
      <x:c r="B1549"/>
      <x:c r="C1549"/>
      <x:c r="D1549"/>
      <x:c r="E1549"/>
      <x:c r="F1549"/>
      <x:c r="G1549"/>
    </x:row>
    <x:row r="1550">
      <x:c r="A1550"/>
      <x:c r="B1550"/>
      <x:c r="C1550"/>
      <x:c r="D1550"/>
      <x:c r="E1550"/>
      <x:c r="F1550"/>
      <x:c r="G1550"/>
    </x:row>
    <x:row r="1551">
      <x:c r="A1551"/>
      <x:c r="B1551"/>
      <x:c r="C1551"/>
      <x:c r="D1551"/>
      <x:c r="E1551"/>
      <x:c r="F1551"/>
      <x:c r="G1551"/>
    </x:row>
    <x:row r="1552">
      <x:c r="A1552"/>
      <x:c r="B1552"/>
      <x:c r="C1552"/>
      <x:c r="D1552"/>
      <x:c r="E1552"/>
      <x:c r="F1552"/>
      <x:c r="G1552"/>
    </x:row>
    <x:row r="1553">
      <x:c r="A1553"/>
      <x:c r="B1553"/>
      <x:c r="C1553"/>
      <x:c r="D1553"/>
      <x:c r="E1553"/>
      <x:c r="F1553"/>
      <x:c r="G1553"/>
    </x:row>
    <x:row r="1554">
      <x:c r="A1554"/>
      <x:c r="B1554"/>
      <x:c r="C1554"/>
      <x:c r="D1554"/>
      <x:c r="E1554"/>
      <x:c r="F1554"/>
      <x:c r="G1554"/>
    </x:row>
    <x:row r="1555">
      <x:c r="A1555"/>
      <x:c r="B1555"/>
      <x:c r="C1555"/>
      <x:c r="D1555"/>
      <x:c r="E1555"/>
      <x:c r="F1555"/>
      <x:c r="G1555"/>
    </x:row>
    <x:row r="1556">
      <x:c r="A1556"/>
      <x:c r="B1556"/>
      <x:c r="C1556"/>
      <x:c r="D1556"/>
      <x:c r="E1556"/>
      <x:c r="F1556"/>
      <x:c r="G1556"/>
    </x:row>
    <x:row r="1557">
      <x:c r="A1557"/>
      <x:c r="B1557"/>
      <x:c r="C1557"/>
      <x:c r="D1557"/>
      <x:c r="E1557"/>
      <x:c r="F1557"/>
      <x:c r="G1557"/>
    </x:row>
    <x:row r="1558">
      <x:c r="A1558"/>
      <x:c r="B1558"/>
      <x:c r="C1558"/>
      <x:c r="D1558"/>
      <x:c r="E1558"/>
      <x:c r="F1558"/>
      <x:c r="G1558"/>
    </x:row>
    <x:row r="1559">
      <x:c r="A1559"/>
      <x:c r="B1559"/>
      <x:c r="C1559"/>
      <x:c r="D1559"/>
      <x:c r="E1559"/>
      <x:c r="F1559"/>
      <x:c r="G1559"/>
    </x:row>
    <x:row r="1560">
      <x:c r="A1560"/>
      <x:c r="B1560"/>
      <x:c r="C1560"/>
      <x:c r="D1560"/>
      <x:c r="E1560"/>
      <x:c r="F1560"/>
      <x:c r="G1560"/>
    </x:row>
    <x:row r="1561">
      <x:c r="A1561"/>
      <x:c r="B1561"/>
      <x:c r="C1561"/>
      <x:c r="D1561"/>
      <x:c r="E1561"/>
      <x:c r="F1561"/>
      <x:c r="G1561"/>
    </x:row>
    <x:row r="1562">
      <x:c r="A1562"/>
      <x:c r="B1562"/>
      <x:c r="C1562"/>
      <x:c r="D1562"/>
      <x:c r="E1562"/>
      <x:c r="F1562"/>
      <x:c r="G1562"/>
    </x:row>
    <x:row r="1563">
      <x:c r="A1563"/>
      <x:c r="B1563"/>
      <x:c r="C1563"/>
      <x:c r="D1563"/>
      <x:c r="E1563"/>
      <x:c r="F1563"/>
      <x:c r="G1563"/>
    </x:row>
    <x:row r="1564">
      <x:c r="A1564"/>
      <x:c r="B1564"/>
      <x:c r="C1564"/>
      <x:c r="D1564"/>
      <x:c r="E1564"/>
      <x:c r="F1564"/>
      <x:c r="G1564"/>
    </x:row>
    <x:row r="1565">
      <x:c r="A1565"/>
      <x:c r="B1565"/>
      <x:c r="C1565"/>
      <x:c r="D1565"/>
      <x:c r="E1565"/>
      <x:c r="F1565"/>
      <x:c r="G1565"/>
    </x:row>
    <x:row r="1566">
      <x:c r="A1566"/>
      <x:c r="B1566"/>
      <x:c r="C1566"/>
      <x:c r="D1566"/>
      <x:c r="E1566"/>
      <x:c r="F1566"/>
      <x:c r="G1566"/>
    </x:row>
    <x:row r="1567">
      <x:c r="A1567"/>
      <x:c r="B1567"/>
      <x:c r="C1567"/>
      <x:c r="D1567"/>
      <x:c r="E1567"/>
      <x:c r="F1567"/>
      <x:c r="G1567"/>
    </x:row>
    <x:row r="1568">
      <x:c r="A1568"/>
      <x:c r="B1568"/>
      <x:c r="C1568"/>
      <x:c r="D1568"/>
      <x:c r="E1568"/>
      <x:c r="F1568"/>
      <x:c r="G1568"/>
    </x:row>
    <x:row r="1569">
      <x:c r="A1569"/>
      <x:c r="B1569"/>
      <x:c r="C1569"/>
      <x:c r="D1569"/>
      <x:c r="E1569"/>
      <x:c r="F1569"/>
      <x:c r="G1569"/>
    </x:row>
    <x:row r="1570">
      <x:c r="A1570"/>
      <x:c r="B1570"/>
      <x:c r="C1570"/>
      <x:c r="D1570"/>
      <x:c r="E1570"/>
      <x:c r="F1570"/>
      <x:c r="G1570"/>
    </x:row>
    <x:row r="1571">
      <x:c r="A1571"/>
      <x:c r="B1571"/>
      <x:c r="C1571"/>
      <x:c r="D1571"/>
      <x:c r="E1571"/>
      <x:c r="F1571"/>
      <x:c r="G1571"/>
    </x:row>
    <x:row r="1572">
      <x:c r="A1572"/>
      <x:c r="B1572"/>
      <x:c r="C1572"/>
      <x:c r="D1572"/>
      <x:c r="E1572"/>
      <x:c r="F1572"/>
      <x:c r="G1572"/>
    </x:row>
    <x:row r="1573">
      <x:c r="A1573"/>
      <x:c r="B1573"/>
      <x:c r="C1573"/>
      <x:c r="D1573"/>
      <x:c r="E1573"/>
      <x:c r="F1573"/>
      <x:c r="G1573"/>
    </x:row>
    <x:row r="1574">
      <x:c r="A1574"/>
      <x:c r="B1574"/>
      <x:c r="C1574"/>
      <x:c r="D1574"/>
      <x:c r="E1574"/>
      <x:c r="F1574"/>
      <x:c r="G1574"/>
    </x:row>
    <x:row r="1575">
      <x:c r="A1575"/>
      <x:c r="B1575"/>
      <x:c r="C1575"/>
      <x:c r="D1575"/>
      <x:c r="E1575"/>
      <x:c r="F1575"/>
      <x:c r="G1575"/>
    </x:row>
    <x:row r="1576">
      <x:c r="A1576"/>
      <x:c r="B1576"/>
      <x:c r="C1576"/>
      <x:c r="D1576"/>
      <x:c r="E1576"/>
      <x:c r="F1576"/>
      <x:c r="G1576"/>
    </x:row>
    <x:row r="1577">
      <x:c r="A1577"/>
      <x:c r="B1577"/>
      <x:c r="C1577"/>
      <x:c r="D1577"/>
      <x:c r="E1577"/>
      <x:c r="F1577"/>
      <x:c r="G1577"/>
    </x:row>
    <x:row r="1578">
      <x:c r="A1578"/>
      <x:c r="B1578"/>
      <x:c r="C1578"/>
      <x:c r="D1578"/>
      <x:c r="E1578"/>
      <x:c r="F1578"/>
      <x:c r="G1578"/>
    </x:row>
    <x:row r="1579">
      <x:c r="A1579"/>
      <x:c r="B1579"/>
      <x:c r="C1579"/>
      <x:c r="D1579"/>
      <x:c r="E1579"/>
      <x:c r="F1579"/>
      <x:c r="G1579"/>
    </x:row>
    <x:row r="1580">
      <x:c r="A1580"/>
      <x:c r="B1580"/>
      <x:c r="C1580"/>
      <x:c r="D1580"/>
      <x:c r="E1580"/>
      <x:c r="F1580"/>
      <x:c r="G1580"/>
    </x:row>
    <x:row r="1581">
      <x:c r="A1581"/>
      <x:c r="B1581"/>
      <x:c r="C1581"/>
      <x:c r="D1581"/>
      <x:c r="E1581"/>
      <x:c r="F1581"/>
      <x:c r="G1581"/>
    </x:row>
    <x:row r="1582">
      <x:c r="A1582"/>
      <x:c r="B1582"/>
      <x:c r="C1582"/>
      <x:c r="D1582"/>
      <x:c r="E1582"/>
      <x:c r="F1582"/>
      <x:c r="G1582"/>
    </x:row>
    <x:row r="1583">
      <x:c r="A1583"/>
      <x:c r="B1583"/>
      <x:c r="C1583"/>
      <x:c r="D1583"/>
      <x:c r="E1583"/>
      <x:c r="F1583"/>
      <x:c r="G1583"/>
    </x:row>
    <x:row r="1584">
      <x:c r="A1584"/>
      <x:c r="B1584"/>
      <x:c r="C1584"/>
      <x:c r="D1584"/>
      <x:c r="E1584"/>
      <x:c r="F1584"/>
      <x:c r="G1584"/>
    </x:row>
    <x:row r="1585">
      <x:c r="A1585"/>
      <x:c r="B1585"/>
      <x:c r="C1585"/>
      <x:c r="D1585"/>
      <x:c r="E1585"/>
      <x:c r="F1585"/>
      <x:c r="G1585"/>
    </x:row>
    <x:row r="1586">
      <x:c r="A1586"/>
      <x:c r="B1586"/>
      <x:c r="C1586"/>
      <x:c r="D1586"/>
      <x:c r="E1586"/>
      <x:c r="F1586"/>
      <x:c r="G1586"/>
    </x:row>
    <x:row r="1587">
      <x:c r="A1587"/>
      <x:c r="B1587"/>
      <x:c r="C1587"/>
      <x:c r="D1587"/>
      <x:c r="E1587"/>
      <x:c r="F1587"/>
      <x:c r="G1587"/>
    </x:row>
    <x:row r="1588">
      <x:c r="A1588"/>
      <x:c r="B1588"/>
      <x:c r="C1588"/>
      <x:c r="D1588"/>
      <x:c r="E1588"/>
      <x:c r="F1588"/>
      <x:c r="G1588"/>
    </x:row>
    <x:row r="1589">
      <x:c r="A1589"/>
      <x:c r="B1589"/>
      <x:c r="C1589"/>
      <x:c r="D1589"/>
      <x:c r="E1589"/>
      <x:c r="F1589"/>
      <x:c r="G1589"/>
    </x:row>
    <x:row r="1590">
      <x:c r="A1590"/>
      <x:c r="B1590"/>
      <x:c r="C1590"/>
      <x:c r="D1590"/>
      <x:c r="E1590"/>
      <x:c r="F1590"/>
      <x:c r="G1590"/>
    </x:row>
    <x:row r="1591">
      <x:c r="A1591"/>
      <x:c r="B1591"/>
      <x:c r="C1591"/>
      <x:c r="D1591"/>
      <x:c r="E1591"/>
      <x:c r="F1591"/>
      <x:c r="G1591"/>
    </x:row>
    <x:row r="1592">
      <x:c r="A1592"/>
      <x:c r="B1592"/>
      <x:c r="C1592"/>
      <x:c r="D1592"/>
      <x:c r="E1592"/>
      <x:c r="F1592"/>
      <x:c r="G1592"/>
    </x:row>
    <x:row r="1593">
      <x:c r="A1593"/>
      <x:c r="B1593"/>
      <x:c r="C1593"/>
      <x:c r="D1593"/>
      <x:c r="E1593"/>
      <x:c r="F1593"/>
      <x:c r="G1593"/>
    </x:row>
    <x:row r="1594">
      <x:c r="A1594"/>
      <x:c r="B1594"/>
      <x:c r="C1594"/>
      <x:c r="D1594"/>
      <x:c r="E1594"/>
      <x:c r="F1594"/>
      <x:c r="G1594"/>
    </x:row>
    <x:row r="1595">
      <x:c r="A1595"/>
      <x:c r="B1595"/>
      <x:c r="C1595"/>
      <x:c r="D1595"/>
      <x:c r="E1595"/>
      <x:c r="F1595"/>
      <x:c r="G1595"/>
    </x:row>
    <x:row r="1596">
      <x:c r="A1596"/>
      <x:c r="B1596"/>
      <x:c r="C1596"/>
      <x:c r="D1596"/>
      <x:c r="E1596"/>
      <x:c r="F1596"/>
      <x:c r="G1596"/>
    </x:row>
    <x:row r="1597">
      <x:c r="A1597"/>
      <x:c r="B1597"/>
      <x:c r="C1597"/>
      <x:c r="D1597"/>
      <x:c r="E1597"/>
      <x:c r="F1597"/>
      <x:c r="G1597"/>
    </x:row>
    <x:row r="1598">
      <x:c r="A1598"/>
      <x:c r="B1598"/>
      <x:c r="C1598"/>
      <x:c r="D1598"/>
      <x:c r="E1598"/>
      <x:c r="F1598"/>
      <x:c r="G1598"/>
    </x:row>
    <x:row r="1599">
      <x:c r="A1599"/>
      <x:c r="B1599"/>
      <x:c r="C1599"/>
      <x:c r="D1599"/>
      <x:c r="E1599"/>
      <x:c r="F1599"/>
      <x:c r="G1599"/>
    </x:row>
    <x:row r="1600">
      <x:c r="A1600"/>
      <x:c r="B1600"/>
      <x:c r="C1600"/>
      <x:c r="D1600"/>
      <x:c r="E1600"/>
      <x:c r="F1600"/>
      <x:c r="G1600"/>
    </x:row>
    <x:row r="1601">
      <x:c r="A1601"/>
      <x:c r="B1601"/>
      <x:c r="C1601"/>
      <x:c r="D1601"/>
      <x:c r="E1601"/>
      <x:c r="F1601"/>
      <x:c r="G1601"/>
    </x:row>
    <x:row r="1602">
      <x:c r="A1602"/>
      <x:c r="B1602"/>
      <x:c r="C1602"/>
      <x:c r="D1602"/>
      <x:c r="E1602"/>
      <x:c r="F1602"/>
      <x:c r="G1602"/>
    </x:row>
    <x:row r="1603">
      <x:c r="A1603"/>
      <x:c r="B1603"/>
      <x:c r="C1603"/>
      <x:c r="D1603"/>
      <x:c r="E1603"/>
      <x:c r="F1603"/>
      <x:c r="G1603"/>
    </x:row>
    <x:row r="1604">
      <x:c r="A1604"/>
      <x:c r="B1604"/>
      <x:c r="C1604"/>
      <x:c r="D1604"/>
      <x:c r="E1604"/>
      <x:c r="F1604"/>
      <x:c r="G1604"/>
    </x:row>
    <x:row r="1605">
      <x:c r="A1605"/>
      <x:c r="B1605"/>
      <x:c r="C1605"/>
      <x:c r="D1605"/>
      <x:c r="E1605"/>
      <x:c r="F1605"/>
      <x:c r="G1605"/>
    </x:row>
    <x:row r="1606">
      <x:c r="A1606"/>
      <x:c r="B1606"/>
      <x:c r="C1606"/>
      <x:c r="D1606"/>
      <x:c r="E1606"/>
      <x:c r="F1606"/>
      <x:c r="G1606"/>
    </x:row>
    <x:row r="1607">
      <x:c r="A1607"/>
      <x:c r="B1607"/>
      <x:c r="C1607"/>
      <x:c r="D1607"/>
      <x:c r="E1607"/>
      <x:c r="F1607"/>
      <x:c r="G1607"/>
    </x:row>
    <x:row r="1608">
      <x:c r="A1608"/>
      <x:c r="B1608"/>
      <x:c r="C1608"/>
      <x:c r="D1608"/>
      <x:c r="E1608"/>
      <x:c r="F1608"/>
      <x:c r="G1608"/>
    </x:row>
    <x:row r="1609">
      <x:c r="A1609"/>
      <x:c r="B1609"/>
      <x:c r="C1609"/>
      <x:c r="D1609"/>
      <x:c r="E1609"/>
      <x:c r="F1609"/>
      <x:c r="G1609"/>
    </x:row>
    <x:row r="1610">
      <x:c r="A1610"/>
      <x:c r="B1610"/>
      <x:c r="C1610"/>
      <x:c r="D1610"/>
      <x:c r="E1610"/>
      <x:c r="F1610"/>
      <x:c r="G1610"/>
    </x:row>
    <x:row r="1611">
      <x:c r="A1611"/>
      <x:c r="B1611"/>
      <x:c r="C1611"/>
      <x:c r="D1611"/>
      <x:c r="E1611"/>
      <x:c r="F1611"/>
      <x:c r="G1611"/>
    </x:row>
    <x:row r="1612">
      <x:c r="A1612"/>
      <x:c r="B1612"/>
      <x:c r="C1612"/>
      <x:c r="D1612"/>
      <x:c r="E1612"/>
      <x:c r="F1612"/>
      <x:c r="G1612"/>
    </x:row>
    <x:row r="1613">
      <x:c r="A1613"/>
      <x:c r="B1613"/>
      <x:c r="C1613"/>
      <x:c r="D1613"/>
      <x:c r="E1613"/>
      <x:c r="F1613"/>
      <x:c r="G1613"/>
    </x:row>
    <x:row r="1614">
      <x:c r="A1614"/>
      <x:c r="B1614"/>
      <x:c r="C1614"/>
      <x:c r="D1614"/>
      <x:c r="E1614"/>
      <x:c r="F1614"/>
      <x:c r="G1614"/>
    </x:row>
    <x:row r="1615">
      <x:c r="A1615"/>
      <x:c r="B1615"/>
      <x:c r="C1615"/>
      <x:c r="D1615"/>
      <x:c r="E1615"/>
      <x:c r="F1615"/>
      <x:c r="G1615"/>
    </x:row>
    <x:row r="1616">
      <x:c r="A1616"/>
      <x:c r="B1616"/>
      <x:c r="C1616"/>
      <x:c r="D1616"/>
      <x:c r="E1616"/>
      <x:c r="F1616"/>
      <x:c r="G1616"/>
    </x:row>
    <x:row r="1617">
      <x:c r="A1617"/>
      <x:c r="B1617"/>
      <x:c r="C1617"/>
      <x:c r="D1617"/>
      <x:c r="E1617"/>
      <x:c r="F1617"/>
      <x:c r="G1617"/>
    </x:row>
    <x:row r="1618">
      <x:c r="A1618"/>
      <x:c r="B1618"/>
      <x:c r="C1618"/>
      <x:c r="D1618"/>
      <x:c r="E1618"/>
      <x:c r="F1618"/>
      <x:c r="G1618"/>
    </x:row>
    <x:row r="1619">
      <x:c r="A1619"/>
      <x:c r="B1619"/>
      <x:c r="C1619"/>
      <x:c r="D1619"/>
      <x:c r="E1619"/>
      <x:c r="F1619"/>
      <x:c r="G1619"/>
    </x:row>
    <x:row r="1620">
      <x:c r="A1620"/>
      <x:c r="B1620"/>
      <x:c r="C1620"/>
      <x:c r="D1620"/>
      <x:c r="E1620"/>
      <x:c r="F1620"/>
      <x:c r="G1620"/>
    </x:row>
    <x:row r="1621">
      <x:c r="A1621"/>
      <x:c r="B1621"/>
      <x:c r="C1621"/>
      <x:c r="D1621"/>
      <x:c r="E1621"/>
      <x:c r="F1621"/>
      <x:c r="G1621"/>
    </x:row>
    <x:row r="1622">
      <x:c r="A1622"/>
      <x:c r="B1622"/>
      <x:c r="C1622"/>
      <x:c r="D1622"/>
      <x:c r="E1622"/>
      <x:c r="F1622"/>
      <x:c r="G1622"/>
    </x:row>
    <x:row r="1623">
      <x:c r="A1623"/>
      <x:c r="B1623"/>
      <x:c r="C1623"/>
      <x:c r="D1623"/>
      <x:c r="E1623"/>
      <x:c r="F1623"/>
      <x:c r="G1623"/>
    </x:row>
    <x:row r="1624">
      <x:c r="A1624"/>
      <x:c r="B1624"/>
      <x:c r="C1624"/>
      <x:c r="D1624"/>
      <x:c r="E1624"/>
      <x:c r="F1624"/>
      <x:c r="G1624"/>
    </x:row>
    <x:row r="1625">
      <x:c r="A1625"/>
      <x:c r="B1625"/>
      <x:c r="C1625"/>
      <x:c r="D1625"/>
      <x:c r="E1625"/>
      <x:c r="F1625"/>
      <x:c r="G1625"/>
    </x:row>
    <x:row r="1626">
      <x:c r="A1626"/>
      <x:c r="B1626"/>
      <x:c r="C1626"/>
      <x:c r="D1626"/>
      <x:c r="E1626"/>
      <x:c r="F1626"/>
      <x:c r="G1626"/>
    </x:row>
    <x:row r="1627">
      <x:c r="A1627"/>
      <x:c r="B1627"/>
      <x:c r="C1627"/>
      <x:c r="D1627"/>
      <x:c r="E1627"/>
      <x:c r="F1627"/>
      <x:c r="G1627"/>
    </x:row>
    <x:row r="1628">
      <x:c r="A1628"/>
      <x:c r="B1628"/>
      <x:c r="C1628"/>
      <x:c r="D1628"/>
      <x:c r="E1628"/>
      <x:c r="F1628"/>
      <x:c r="G1628"/>
    </x:row>
    <x:row r="1629">
      <x:c r="A1629"/>
      <x:c r="B1629"/>
      <x:c r="C1629"/>
      <x:c r="D1629"/>
      <x:c r="E1629"/>
      <x:c r="F1629"/>
      <x:c r="G1629"/>
    </x:row>
    <x:row r="1630">
      <x:c r="A1630"/>
      <x:c r="B1630"/>
      <x:c r="C1630"/>
      <x:c r="D1630"/>
      <x:c r="E1630"/>
      <x:c r="F1630"/>
      <x:c r="G1630"/>
    </x:row>
    <x:row r="1631">
      <x:c r="A1631"/>
      <x:c r="B1631"/>
      <x:c r="C1631"/>
      <x:c r="D1631"/>
      <x:c r="E1631"/>
      <x:c r="F1631"/>
      <x:c r="G1631"/>
    </x:row>
    <x:row r="1632">
      <x:c r="A1632"/>
      <x:c r="B1632"/>
      <x:c r="C1632"/>
      <x:c r="D1632"/>
      <x:c r="E1632"/>
      <x:c r="F1632"/>
      <x:c r="G1632"/>
    </x:row>
    <x:row r="1633">
      <x:c r="A1633"/>
      <x:c r="B1633"/>
      <x:c r="C1633"/>
      <x:c r="D1633"/>
      <x:c r="E1633"/>
      <x:c r="F1633"/>
      <x:c r="G1633"/>
    </x:row>
    <x:row r="1634">
      <x:c r="A1634"/>
      <x:c r="B1634"/>
      <x:c r="C1634"/>
      <x:c r="D1634"/>
      <x:c r="E1634"/>
      <x:c r="F1634"/>
      <x:c r="G1634"/>
    </x:row>
    <x:row r="1635">
      <x:c r="A1635"/>
      <x:c r="B1635"/>
      <x:c r="C1635"/>
      <x:c r="D1635"/>
      <x:c r="E1635"/>
      <x:c r="F1635"/>
      <x:c r="G1635"/>
    </x:row>
    <x:row r="1636">
      <x:c r="A1636"/>
      <x:c r="B1636"/>
      <x:c r="C1636"/>
      <x:c r="D1636"/>
      <x:c r="E1636"/>
      <x:c r="F1636"/>
      <x:c r="G1636"/>
    </x:row>
    <x:row r="1637">
      <x:c r="A1637"/>
      <x:c r="B1637"/>
      <x:c r="C1637"/>
      <x:c r="D1637"/>
      <x:c r="E1637"/>
      <x:c r="F1637"/>
      <x:c r="G1637"/>
    </x:row>
    <x:row r="1638">
      <x:c r="A1638"/>
      <x:c r="B1638"/>
      <x:c r="C1638"/>
      <x:c r="D1638"/>
      <x:c r="E1638"/>
      <x:c r="F1638"/>
      <x:c r="G1638"/>
    </x:row>
    <x:row r="1639">
      <x:c r="A1639"/>
      <x:c r="B1639"/>
      <x:c r="C1639"/>
      <x:c r="D1639"/>
      <x:c r="E1639"/>
      <x:c r="F1639"/>
      <x:c r="G1639"/>
    </x:row>
    <x:row r="1640">
      <x:c r="A1640"/>
      <x:c r="B1640"/>
      <x:c r="C1640"/>
      <x:c r="D1640"/>
      <x:c r="E1640"/>
      <x:c r="F1640"/>
      <x:c r="G1640"/>
    </x:row>
    <x:row r="1641">
      <x:c r="A1641"/>
      <x:c r="B1641"/>
      <x:c r="C1641"/>
      <x:c r="D1641"/>
      <x:c r="E1641"/>
      <x:c r="F1641"/>
      <x:c r="G1641"/>
    </x:row>
    <x:row r="1642">
      <x:c r="A1642"/>
      <x:c r="B1642"/>
      <x:c r="C1642"/>
      <x:c r="D1642"/>
      <x:c r="E1642"/>
      <x:c r="F1642"/>
      <x:c r="G1642"/>
    </x:row>
    <x:row r="1643">
      <x:c r="A1643"/>
      <x:c r="B1643"/>
      <x:c r="C1643"/>
      <x:c r="D1643"/>
      <x:c r="E1643"/>
      <x:c r="F1643"/>
      <x:c r="G1643"/>
    </x:row>
    <x:row r="1644">
      <x:c r="A1644"/>
      <x:c r="B1644"/>
      <x:c r="C1644"/>
      <x:c r="D1644"/>
      <x:c r="E1644"/>
      <x:c r="F1644"/>
      <x:c r="G1644"/>
    </x:row>
    <x:row r="1645">
      <x:c r="A1645"/>
      <x:c r="B1645"/>
      <x:c r="C1645"/>
      <x:c r="D1645"/>
      <x:c r="E1645"/>
      <x:c r="F1645"/>
      <x:c r="G1645"/>
    </x:row>
    <x:row r="1646">
      <x:c r="A1646"/>
      <x:c r="B1646"/>
      <x:c r="C1646"/>
      <x:c r="D1646"/>
      <x:c r="E1646"/>
      <x:c r="F1646"/>
      <x:c r="G1646"/>
    </x:row>
    <x:row r="1647">
      <x:c r="A1647"/>
      <x:c r="B1647"/>
      <x:c r="C1647"/>
      <x:c r="D1647"/>
      <x:c r="E1647"/>
      <x:c r="F1647"/>
      <x:c r="G1647"/>
    </x:row>
    <x:row r="1648">
      <x:c r="A1648"/>
      <x:c r="B1648"/>
      <x:c r="C1648"/>
      <x:c r="D1648"/>
      <x:c r="E1648"/>
      <x:c r="F1648"/>
      <x:c r="G1648"/>
    </x:row>
    <x:row r="1649">
      <x:c r="A1649"/>
      <x:c r="B1649"/>
      <x:c r="C1649"/>
      <x:c r="D1649"/>
      <x:c r="E1649"/>
      <x:c r="F1649"/>
      <x:c r="G1649"/>
    </x:row>
    <x:row r="1650">
      <x:c r="A1650"/>
      <x:c r="B1650"/>
      <x:c r="C1650"/>
      <x:c r="D1650"/>
      <x:c r="E1650"/>
      <x:c r="F1650"/>
      <x:c r="G1650"/>
    </x:row>
    <x:row r="1651">
      <x:c r="A1651"/>
      <x:c r="B1651"/>
      <x:c r="C1651"/>
      <x:c r="D1651"/>
      <x:c r="E1651"/>
      <x:c r="F1651"/>
      <x:c r="G1651"/>
    </x:row>
    <x:row r="1652">
      <x:c r="A1652"/>
      <x:c r="B1652"/>
      <x:c r="C1652"/>
      <x:c r="D1652"/>
      <x:c r="E1652"/>
      <x:c r="F1652"/>
      <x:c r="G1652"/>
    </x:row>
    <x:row r="1653">
      <x:c r="A1653"/>
      <x:c r="B1653"/>
      <x:c r="C1653"/>
      <x:c r="D1653"/>
      <x:c r="E1653"/>
      <x:c r="F1653"/>
      <x:c r="G1653"/>
    </x:row>
    <x:row r="1654">
      <x:c r="A1654"/>
      <x:c r="B1654"/>
      <x:c r="C1654"/>
      <x:c r="D1654"/>
      <x:c r="E1654"/>
      <x:c r="F1654"/>
      <x:c r="G1654"/>
    </x:row>
    <x:row r="1655">
      <x:c r="A1655"/>
      <x:c r="B1655"/>
      <x:c r="C1655"/>
      <x:c r="D1655"/>
      <x:c r="E1655"/>
      <x:c r="F1655"/>
      <x:c r="G1655"/>
    </x:row>
    <x:row r="1656">
      <x:c r="A1656"/>
      <x:c r="B1656"/>
      <x:c r="C1656"/>
      <x:c r="D1656"/>
      <x:c r="E1656"/>
      <x:c r="F1656"/>
      <x:c r="G1656"/>
    </x:row>
    <x:row r="1657">
      <x:c r="A1657"/>
      <x:c r="B1657"/>
      <x:c r="C1657"/>
      <x:c r="D1657"/>
      <x:c r="E1657"/>
      <x:c r="F1657"/>
      <x:c r="G1657"/>
    </x:row>
    <x:row r="1658">
      <x:c r="A1658"/>
      <x:c r="B1658"/>
      <x:c r="C1658"/>
      <x:c r="D1658"/>
      <x:c r="E1658"/>
      <x:c r="F1658"/>
      <x:c r="G1658"/>
    </x:row>
    <x:row r="1659">
      <x:c r="A1659"/>
      <x:c r="B1659"/>
      <x:c r="C1659"/>
      <x:c r="D1659"/>
      <x:c r="E1659"/>
      <x:c r="F1659"/>
      <x:c r="G1659"/>
    </x:row>
    <x:row r="1660">
      <x:c r="A1660"/>
      <x:c r="B1660"/>
      <x:c r="C1660"/>
      <x:c r="D1660"/>
      <x:c r="E1660"/>
      <x:c r="F1660"/>
      <x:c r="G1660"/>
    </x:row>
    <x:row r="1661">
      <x:c r="A1661"/>
      <x:c r="B1661"/>
      <x:c r="C1661"/>
      <x:c r="D1661"/>
      <x:c r="E1661"/>
      <x:c r="F1661"/>
      <x:c r="G1661"/>
    </x:row>
    <x:row r="1662">
      <x:c r="A1662"/>
      <x:c r="B1662"/>
      <x:c r="C1662"/>
      <x:c r="D1662"/>
      <x:c r="E1662"/>
      <x:c r="F1662"/>
      <x:c r="G1662"/>
    </x:row>
    <x:row r="1663">
      <x:c r="A1663"/>
      <x:c r="B1663"/>
      <x:c r="C1663"/>
      <x:c r="D1663"/>
      <x:c r="E1663"/>
      <x:c r="F1663"/>
      <x:c r="G1663"/>
    </x:row>
    <x:row r="1664">
      <x:c r="A1664"/>
      <x:c r="B1664"/>
      <x:c r="C1664"/>
      <x:c r="D1664"/>
      <x:c r="E1664"/>
      <x:c r="F1664"/>
      <x:c r="G1664"/>
    </x:row>
    <x:row r="1665">
      <x:c r="A1665"/>
      <x:c r="B1665"/>
      <x:c r="C1665"/>
      <x:c r="D1665"/>
      <x:c r="E1665"/>
      <x:c r="F1665"/>
      <x:c r="G1665"/>
    </x:row>
    <x:row r="1666">
      <x:c r="A1666"/>
      <x:c r="B1666"/>
      <x:c r="C1666"/>
      <x:c r="D1666"/>
      <x:c r="E1666"/>
      <x:c r="F1666"/>
      <x:c r="G1666"/>
    </x:row>
    <x:row r="1667">
      <x:c r="A1667"/>
      <x:c r="B1667"/>
      <x:c r="C1667"/>
      <x:c r="D1667"/>
      <x:c r="E1667"/>
      <x:c r="F1667"/>
      <x:c r="G1667"/>
    </x:row>
    <x:row r="1668">
      <x:c r="A1668"/>
      <x:c r="B1668"/>
      <x:c r="C1668"/>
      <x:c r="D1668"/>
      <x:c r="E1668"/>
      <x:c r="F1668"/>
      <x:c r="G1668"/>
    </x:row>
    <x:row r="1669">
      <x:c r="A1669"/>
      <x:c r="B1669"/>
      <x:c r="C1669"/>
      <x:c r="D1669"/>
      <x:c r="E1669"/>
      <x:c r="F1669"/>
      <x:c r="G1669"/>
    </x:row>
    <x:row r="1670">
      <x:c r="A1670"/>
      <x:c r="B1670"/>
      <x:c r="C1670"/>
      <x:c r="D1670"/>
      <x:c r="E1670"/>
      <x:c r="F1670"/>
      <x:c r="G1670"/>
    </x:row>
    <x:row r="1671">
      <x:c r="A1671"/>
      <x:c r="B1671"/>
      <x:c r="C1671"/>
      <x:c r="D1671"/>
      <x:c r="E1671"/>
      <x:c r="F1671"/>
      <x:c r="G1671"/>
    </x:row>
    <x:row r="1672">
      <x:c r="A1672"/>
      <x:c r="B1672"/>
      <x:c r="C1672"/>
      <x:c r="D1672"/>
      <x:c r="E1672"/>
      <x:c r="F1672"/>
      <x:c r="G1672"/>
    </x:row>
    <x:row r="1673">
      <x:c r="A1673"/>
      <x:c r="B1673"/>
      <x:c r="C1673"/>
      <x:c r="D1673"/>
      <x:c r="E1673"/>
      <x:c r="F1673"/>
      <x:c r="G1673"/>
    </x:row>
    <x:row r="1674">
      <x:c r="A1674"/>
      <x:c r="B1674"/>
      <x:c r="C1674"/>
      <x:c r="D1674"/>
      <x:c r="E1674"/>
      <x:c r="F1674"/>
      <x:c r="G1674"/>
    </x:row>
    <x:row r="1675">
      <x:c r="A1675"/>
      <x:c r="B1675"/>
      <x:c r="C1675"/>
      <x:c r="D1675"/>
      <x:c r="E1675"/>
      <x:c r="F1675"/>
      <x:c r="G1675"/>
    </x:row>
    <x:row r="1676">
      <x:c r="A1676"/>
      <x:c r="B1676"/>
      <x:c r="C1676"/>
      <x:c r="D1676"/>
      <x:c r="E1676"/>
      <x:c r="F1676"/>
      <x:c r="G1676"/>
    </x:row>
    <x:row r="1677">
      <x:c r="A1677"/>
      <x:c r="B1677"/>
      <x:c r="C1677"/>
      <x:c r="D1677"/>
      <x:c r="E1677"/>
      <x:c r="F1677"/>
      <x:c r="G1677"/>
    </x:row>
    <x:row r="1678">
      <x:c r="A1678"/>
      <x:c r="B1678"/>
      <x:c r="C1678"/>
      <x:c r="D1678"/>
      <x:c r="E1678"/>
      <x:c r="F1678"/>
      <x:c r="G1678"/>
    </x:row>
    <x:row r="1679">
      <x:c r="A1679"/>
      <x:c r="B1679"/>
      <x:c r="C1679"/>
      <x:c r="D1679"/>
      <x:c r="E1679"/>
      <x:c r="F1679"/>
      <x:c r="G1679"/>
    </x:row>
    <x:row r="1680">
      <x:c r="A1680"/>
      <x:c r="B1680"/>
      <x:c r="C1680"/>
      <x:c r="D1680"/>
      <x:c r="E1680"/>
      <x:c r="F1680"/>
      <x:c r="G1680"/>
    </x:row>
    <x:row r="1681">
      <x:c r="A1681"/>
      <x:c r="B1681"/>
      <x:c r="C1681"/>
      <x:c r="D1681"/>
      <x:c r="E1681"/>
      <x:c r="F1681"/>
      <x:c r="G1681"/>
    </x:row>
    <x:row r="1682">
      <x:c r="A1682"/>
      <x:c r="B1682"/>
      <x:c r="C1682"/>
      <x:c r="D1682"/>
      <x:c r="E1682"/>
      <x:c r="F1682"/>
      <x:c r="G1682"/>
    </x:row>
    <x:row r="1683">
      <x:c r="A1683"/>
      <x:c r="B1683"/>
      <x:c r="C1683"/>
      <x:c r="D1683"/>
      <x:c r="E1683"/>
      <x:c r="F1683"/>
      <x:c r="G1683"/>
    </x:row>
    <x:row r="1684">
      <x:c r="A1684"/>
      <x:c r="B1684"/>
      <x:c r="C1684"/>
      <x:c r="D1684"/>
      <x:c r="E1684"/>
      <x:c r="F1684"/>
      <x:c r="G1684"/>
    </x:row>
    <x:row r="1685">
      <x:c r="A1685"/>
      <x:c r="B1685"/>
      <x:c r="C1685"/>
      <x:c r="D1685"/>
      <x:c r="E1685"/>
      <x:c r="F1685"/>
      <x:c r="G1685"/>
    </x:row>
    <x:row r="1686">
      <x:c r="A1686"/>
      <x:c r="B1686"/>
      <x:c r="C1686"/>
      <x:c r="D1686"/>
      <x:c r="E1686"/>
      <x:c r="F1686"/>
      <x:c r="G1686"/>
    </x:row>
    <x:row r="1687">
      <x:c r="A1687"/>
      <x:c r="B1687"/>
      <x:c r="C1687"/>
      <x:c r="D1687"/>
      <x:c r="E1687"/>
      <x:c r="F1687"/>
      <x:c r="G1687"/>
    </x:row>
    <x:row r="1688">
      <x:c r="A1688"/>
      <x:c r="B1688"/>
      <x:c r="C1688"/>
      <x:c r="D1688"/>
      <x:c r="E1688"/>
      <x:c r="F1688"/>
      <x:c r="G1688"/>
    </x:row>
    <x:row r="1689">
      <x:c r="A1689"/>
      <x:c r="B1689"/>
      <x:c r="C1689"/>
      <x:c r="D1689"/>
      <x:c r="E1689"/>
      <x:c r="F1689"/>
      <x:c r="G1689"/>
    </x:row>
    <x:row r="1690">
      <x:c r="A1690"/>
      <x:c r="B1690"/>
      <x:c r="C1690"/>
      <x:c r="D1690"/>
      <x:c r="E1690"/>
      <x:c r="F1690"/>
      <x:c r="G1690"/>
    </x:row>
    <x:row r="1691">
      <x:c r="A1691"/>
      <x:c r="B1691"/>
      <x:c r="C1691"/>
      <x:c r="D1691"/>
      <x:c r="E1691"/>
      <x:c r="F1691"/>
      <x:c r="G1691"/>
    </x:row>
    <x:row r="1692">
      <x:c r="A1692"/>
      <x:c r="B1692"/>
      <x:c r="C1692"/>
      <x:c r="D1692"/>
      <x:c r="E1692"/>
      <x:c r="F1692"/>
      <x:c r="G1692"/>
    </x:row>
    <x:row r="1693">
      <x:c r="A1693"/>
      <x:c r="B1693"/>
      <x:c r="C1693"/>
      <x:c r="D1693"/>
      <x:c r="E1693"/>
      <x:c r="F1693"/>
      <x:c r="G1693"/>
    </x:row>
    <x:row r="1694">
      <x:c r="A1694"/>
      <x:c r="B1694"/>
      <x:c r="C1694"/>
      <x:c r="D1694"/>
      <x:c r="E1694"/>
      <x:c r="F1694"/>
      <x:c r="G1694"/>
    </x:row>
    <x:row r="1695">
      <x:c r="A1695"/>
      <x:c r="B1695"/>
      <x:c r="C1695"/>
      <x:c r="D1695"/>
      <x:c r="E1695"/>
      <x:c r="F1695"/>
      <x:c r="G1695"/>
    </x:row>
    <x:row r="1696">
      <x:c r="A1696"/>
      <x:c r="B1696"/>
      <x:c r="C1696"/>
      <x:c r="D1696"/>
      <x:c r="E1696"/>
      <x:c r="F1696"/>
      <x:c r="G1696"/>
    </x:row>
    <x:row r="1697">
      <x:c r="A1697"/>
      <x:c r="B1697"/>
      <x:c r="C1697"/>
      <x:c r="D1697"/>
      <x:c r="E1697"/>
      <x:c r="F1697"/>
      <x:c r="G1697"/>
    </x:row>
    <x:row r="1698">
      <x:c r="A1698"/>
      <x:c r="B1698"/>
      <x:c r="C1698"/>
      <x:c r="D1698"/>
      <x:c r="E1698"/>
      <x:c r="F1698"/>
      <x:c r="G1698"/>
    </x:row>
    <x:row r="1699">
      <x:c r="A1699"/>
      <x:c r="B1699"/>
      <x:c r="C1699"/>
      <x:c r="D1699"/>
      <x:c r="E1699"/>
      <x:c r="F1699"/>
      <x:c r="G1699"/>
    </x:row>
    <x:row r="1700">
      <x:c r="A1700"/>
      <x:c r="B1700"/>
      <x:c r="C1700"/>
      <x:c r="D1700"/>
      <x:c r="E1700"/>
      <x:c r="F1700"/>
      <x:c r="G1700"/>
    </x:row>
    <x:row r="1701">
      <x:c r="A1701"/>
      <x:c r="B1701"/>
      <x:c r="C1701"/>
      <x:c r="D1701"/>
      <x:c r="E1701"/>
      <x:c r="F1701"/>
      <x:c r="G1701"/>
    </x:row>
    <x:row r="1702">
      <x:c r="A1702"/>
      <x:c r="B1702"/>
      <x:c r="C1702"/>
      <x:c r="D1702"/>
      <x:c r="E1702"/>
      <x:c r="F1702"/>
      <x:c r="G1702"/>
    </x:row>
    <x:row r="1703">
      <x:c r="A1703"/>
      <x:c r="B1703"/>
      <x:c r="C1703"/>
      <x:c r="D1703"/>
      <x:c r="E1703"/>
      <x:c r="F1703"/>
      <x:c r="G1703"/>
    </x:row>
    <x:row r="1704">
      <x:c r="A1704"/>
      <x:c r="B1704"/>
      <x:c r="C1704"/>
      <x:c r="D1704"/>
      <x:c r="E1704"/>
      <x:c r="F1704"/>
      <x:c r="G1704"/>
    </x:row>
    <x:row r="1705">
      <x:c r="A1705"/>
      <x:c r="B1705"/>
      <x:c r="C1705"/>
      <x:c r="D1705"/>
      <x:c r="E1705"/>
      <x:c r="F1705"/>
      <x:c r="G1705"/>
    </x:row>
    <x:row r="1706">
      <x:c r="A1706"/>
      <x:c r="B1706"/>
      <x:c r="C1706"/>
      <x:c r="D1706"/>
      <x:c r="E1706"/>
      <x:c r="F1706"/>
      <x:c r="G1706"/>
    </x:row>
    <x:row r="1707">
      <x:c r="A1707"/>
      <x:c r="B1707"/>
      <x:c r="C1707"/>
      <x:c r="D1707"/>
      <x:c r="E1707"/>
      <x:c r="F1707"/>
      <x:c r="G1707"/>
    </x:row>
    <x:row r="1708">
      <x:c r="A1708"/>
      <x:c r="B1708"/>
      <x:c r="C1708"/>
      <x:c r="D1708"/>
      <x:c r="E1708"/>
      <x:c r="F1708"/>
      <x:c r="G1708"/>
    </x:row>
    <x:row r="1709">
      <x:c r="A1709"/>
      <x:c r="B1709"/>
      <x:c r="C1709"/>
      <x:c r="D1709"/>
      <x:c r="E1709"/>
      <x:c r="F1709"/>
      <x:c r="G1709"/>
    </x:row>
    <x:row r="1710">
      <x:c r="A1710"/>
      <x:c r="B1710"/>
      <x:c r="C1710"/>
      <x:c r="D1710"/>
      <x:c r="E1710"/>
      <x:c r="F1710"/>
      <x:c r="G1710"/>
    </x:row>
    <x:row r="1711">
      <x:c r="A1711"/>
      <x:c r="B1711"/>
      <x:c r="C1711"/>
      <x:c r="D1711"/>
      <x:c r="E1711"/>
      <x:c r="F1711"/>
      <x:c r="G1711"/>
    </x:row>
    <x:row r="1712">
      <x:c r="A1712"/>
      <x:c r="B1712"/>
      <x:c r="C1712"/>
      <x:c r="D1712"/>
      <x:c r="E1712"/>
      <x:c r="F1712"/>
      <x:c r="G1712"/>
    </x:row>
    <x:row r="1713">
      <x:c r="A1713"/>
      <x:c r="B1713"/>
      <x:c r="C1713"/>
      <x:c r="D1713"/>
      <x:c r="E1713"/>
      <x:c r="F1713"/>
      <x:c r="G1713"/>
    </x:row>
    <x:row r="1714">
      <x:c r="A1714"/>
      <x:c r="B1714"/>
      <x:c r="C1714"/>
      <x:c r="D1714"/>
      <x:c r="E1714"/>
      <x:c r="F1714"/>
      <x:c r="G1714"/>
    </x:row>
    <x:row r="1715">
      <x:c r="A1715"/>
      <x:c r="B1715"/>
      <x:c r="C1715"/>
      <x:c r="D1715"/>
      <x:c r="E1715"/>
      <x:c r="F1715"/>
      <x:c r="G1715"/>
    </x:row>
    <x:row r="1716">
      <x:c r="A1716"/>
      <x:c r="B1716"/>
      <x:c r="C1716"/>
      <x:c r="D1716"/>
      <x:c r="E1716"/>
      <x:c r="F1716"/>
      <x:c r="G1716"/>
    </x:row>
    <x:row r="1717">
      <x:c r="A1717"/>
      <x:c r="B1717"/>
      <x:c r="C1717"/>
      <x:c r="D1717"/>
      <x:c r="E1717"/>
      <x:c r="F1717"/>
      <x:c r="G1717"/>
    </x:row>
    <x:row r="1718">
      <x:c r="A1718"/>
      <x:c r="B1718"/>
      <x:c r="C1718"/>
      <x:c r="D1718"/>
      <x:c r="E1718"/>
      <x:c r="F1718"/>
      <x:c r="G1718"/>
    </x:row>
    <x:row r="1719">
      <x:c r="A1719"/>
      <x:c r="B1719"/>
      <x:c r="C1719"/>
      <x:c r="D1719"/>
      <x:c r="E1719"/>
      <x:c r="F1719"/>
      <x:c r="G1719"/>
    </x:row>
    <x:row r="1720">
      <x:c r="A1720"/>
      <x:c r="B1720"/>
      <x:c r="C1720"/>
      <x:c r="D1720"/>
      <x:c r="E1720"/>
      <x:c r="F1720"/>
      <x:c r="G1720"/>
    </x:row>
    <x:row r="1721">
      <x:c r="A1721"/>
      <x:c r="B1721"/>
      <x:c r="C1721"/>
      <x:c r="D1721"/>
      <x:c r="E1721"/>
      <x:c r="F1721"/>
      <x:c r="G1721"/>
    </x:row>
    <x:row r="1722">
      <x:c r="A1722"/>
      <x:c r="B1722"/>
      <x:c r="C1722"/>
      <x:c r="D1722"/>
      <x:c r="E1722"/>
      <x:c r="F1722"/>
      <x:c r="G1722"/>
    </x:row>
    <x:row r="1723">
      <x:c r="A1723"/>
      <x:c r="B1723"/>
      <x:c r="C1723"/>
      <x:c r="D1723"/>
      <x:c r="E1723"/>
      <x:c r="F1723"/>
      <x:c r="G1723"/>
    </x:row>
    <x:row r="1724">
      <x:c r="A1724"/>
      <x:c r="B1724"/>
      <x:c r="C1724"/>
      <x:c r="D1724"/>
      <x:c r="E1724"/>
      <x:c r="F1724"/>
      <x:c r="G1724"/>
    </x:row>
    <x:row r="1725">
      <x:c r="A1725"/>
      <x:c r="B1725"/>
      <x:c r="C1725"/>
      <x:c r="D1725"/>
      <x:c r="E1725"/>
      <x:c r="F1725"/>
      <x:c r="G1725"/>
    </x:row>
    <x:row r="1726">
      <x:c r="A1726"/>
      <x:c r="B1726"/>
      <x:c r="C1726"/>
      <x:c r="D1726"/>
      <x:c r="E1726"/>
      <x:c r="F1726"/>
      <x:c r="G1726"/>
    </x:row>
    <x:row r="1727">
      <x:c r="A1727"/>
      <x:c r="B1727"/>
      <x:c r="C1727"/>
      <x:c r="D1727"/>
      <x:c r="E1727"/>
      <x:c r="F1727"/>
      <x:c r="G1727"/>
    </x:row>
    <x:row r="1728">
      <x:c r="A1728"/>
      <x:c r="B1728"/>
      <x:c r="C1728"/>
      <x:c r="D1728"/>
      <x:c r="E1728"/>
      <x:c r="F1728"/>
      <x:c r="G1728"/>
    </x:row>
    <x:row r="1729">
      <x:c r="A1729"/>
      <x:c r="B1729"/>
      <x:c r="C1729"/>
      <x:c r="D1729"/>
      <x:c r="E1729"/>
      <x:c r="F1729"/>
      <x:c r="G1729"/>
    </x:row>
    <x:row r="1730">
      <x:c r="A1730"/>
      <x:c r="B1730"/>
      <x:c r="C1730"/>
      <x:c r="D1730"/>
      <x:c r="E1730"/>
      <x:c r="F1730"/>
      <x:c r="G1730"/>
    </x:row>
    <x:row r="1731">
      <x:c r="A1731"/>
      <x:c r="B1731"/>
      <x:c r="C1731"/>
      <x:c r="D1731"/>
      <x:c r="E1731"/>
      <x:c r="F1731"/>
      <x:c r="G1731"/>
    </x:row>
    <x:row r="1732">
      <x:c r="A1732"/>
      <x:c r="B1732"/>
      <x:c r="C1732"/>
      <x:c r="D1732"/>
      <x:c r="E1732"/>
      <x:c r="F1732"/>
      <x:c r="G1732"/>
    </x:row>
    <x:row r="1733">
      <x:c r="A1733"/>
      <x:c r="B1733"/>
      <x:c r="C1733"/>
      <x:c r="D1733"/>
      <x:c r="E1733"/>
      <x:c r="F1733"/>
      <x:c r="G1733"/>
    </x:row>
    <x:row r="1734">
      <x:c r="A1734"/>
      <x:c r="B1734"/>
      <x:c r="C1734"/>
      <x:c r="D1734"/>
      <x:c r="E1734"/>
      <x:c r="F1734"/>
      <x:c r="G1734"/>
    </x:row>
    <x:row r="1735">
      <x:c r="A1735"/>
      <x:c r="B1735"/>
      <x:c r="C1735"/>
      <x:c r="D1735"/>
      <x:c r="E1735"/>
      <x:c r="F1735"/>
      <x:c r="G1735"/>
    </x:row>
    <x:row r="1736">
      <x:c r="A1736"/>
      <x:c r="B1736"/>
      <x:c r="C1736"/>
      <x:c r="D1736"/>
      <x:c r="E1736"/>
      <x:c r="F1736"/>
      <x:c r="G1736"/>
    </x:row>
    <x:row r="1737">
      <x:c r="A1737"/>
      <x:c r="B1737"/>
      <x:c r="C1737"/>
      <x:c r="D1737"/>
      <x:c r="E1737"/>
      <x:c r="F1737"/>
      <x:c r="G1737"/>
    </x:row>
    <x:row r="1738">
      <x:c r="A1738"/>
      <x:c r="B1738"/>
      <x:c r="C1738"/>
      <x:c r="D1738"/>
      <x:c r="E1738"/>
      <x:c r="F1738"/>
      <x:c r="G1738"/>
    </x:row>
    <x:row r="1739">
      <x:c r="A1739"/>
      <x:c r="B1739"/>
      <x:c r="C1739"/>
      <x:c r="D1739"/>
      <x:c r="E1739"/>
      <x:c r="F1739"/>
      <x:c r="G1739"/>
    </x:row>
    <x:row r="1740">
      <x:c r="A1740"/>
      <x:c r="B1740"/>
      <x:c r="C1740"/>
      <x:c r="D1740"/>
      <x:c r="E1740"/>
      <x:c r="F1740"/>
      <x:c r="G1740"/>
    </x:row>
    <x:row r="1741">
      <x:c r="A1741"/>
      <x:c r="B1741"/>
      <x:c r="C1741"/>
      <x:c r="D1741"/>
      <x:c r="E1741"/>
      <x:c r="F1741"/>
      <x:c r="G1741"/>
    </x:row>
    <x:row r="1742">
      <x:c r="A1742"/>
      <x:c r="B1742"/>
      <x:c r="C1742"/>
      <x:c r="D1742"/>
      <x:c r="E1742"/>
      <x:c r="F1742"/>
      <x:c r="G1742"/>
    </x:row>
    <x:row r="1743">
      <x:c r="A1743"/>
      <x:c r="B1743"/>
      <x:c r="C1743"/>
      <x:c r="D1743"/>
      <x:c r="E1743"/>
      <x:c r="F1743"/>
      <x:c r="G1743"/>
    </x:row>
    <x:row r="1744">
      <x:c r="A1744"/>
      <x:c r="B1744"/>
      <x:c r="C1744"/>
      <x:c r="D1744"/>
      <x:c r="E1744"/>
      <x:c r="F1744"/>
      <x:c r="G1744"/>
    </x:row>
    <x:row r="1745">
      <x:c r="A1745"/>
      <x:c r="B1745"/>
      <x:c r="C1745"/>
      <x:c r="D1745"/>
      <x:c r="E1745"/>
      <x:c r="F1745"/>
      <x:c r="G1745"/>
    </x:row>
    <x:row r="1746">
      <x:c r="A1746"/>
      <x:c r="B1746"/>
      <x:c r="C1746"/>
      <x:c r="D1746"/>
      <x:c r="E1746"/>
      <x:c r="F1746"/>
      <x:c r="G1746"/>
    </x:row>
    <x:row r="1747">
      <x:c r="A1747"/>
      <x:c r="B1747"/>
      <x:c r="C1747"/>
      <x:c r="D1747"/>
      <x:c r="E1747"/>
      <x:c r="F1747"/>
      <x:c r="G1747"/>
    </x:row>
    <x:row r="1748">
      <x:c r="A1748"/>
      <x:c r="B1748"/>
      <x:c r="C1748"/>
      <x:c r="D1748"/>
      <x:c r="E1748"/>
      <x:c r="F1748"/>
      <x:c r="G1748"/>
    </x:row>
    <x:row r="1749">
      <x:c r="A1749"/>
      <x:c r="B1749"/>
      <x:c r="C1749"/>
      <x:c r="D1749"/>
      <x:c r="E1749"/>
      <x:c r="F1749"/>
      <x:c r="G1749"/>
    </x:row>
    <x:row r="1750">
      <x:c r="A1750"/>
      <x:c r="B1750"/>
      <x:c r="C1750"/>
      <x:c r="D1750"/>
      <x:c r="E1750"/>
      <x:c r="F1750"/>
      <x:c r="G1750"/>
    </x:row>
    <x:row r="1751">
      <x:c r="A1751"/>
      <x:c r="B1751"/>
      <x:c r="C1751"/>
      <x:c r="D1751"/>
      <x:c r="E1751"/>
      <x:c r="F1751"/>
      <x:c r="G1751"/>
    </x:row>
    <x:row r="1752">
      <x:c r="A1752"/>
      <x:c r="B1752"/>
      <x:c r="C1752"/>
      <x:c r="D1752"/>
      <x:c r="E1752"/>
      <x:c r="F1752"/>
      <x:c r="G1752"/>
    </x:row>
    <x:row r="1753">
      <x:c r="A1753"/>
      <x:c r="B1753"/>
      <x:c r="C1753"/>
      <x:c r="D1753"/>
      <x:c r="E1753"/>
      <x:c r="F1753"/>
      <x:c r="G1753"/>
    </x:row>
    <x:row r="1754">
      <x:c r="A1754"/>
      <x:c r="B1754"/>
      <x:c r="C1754"/>
      <x:c r="D1754"/>
      <x:c r="E1754"/>
      <x:c r="F1754"/>
      <x:c r="G1754"/>
    </x:row>
    <x:row r="1755">
      <x:c r="A1755"/>
      <x:c r="B1755"/>
      <x:c r="C1755"/>
      <x:c r="D1755"/>
      <x:c r="E1755"/>
      <x:c r="F1755"/>
      <x:c r="G1755"/>
    </x:row>
    <x:row r="1756">
      <x:c r="A1756"/>
      <x:c r="B1756"/>
      <x:c r="C1756"/>
      <x:c r="D1756"/>
      <x:c r="E1756"/>
      <x:c r="F1756"/>
      <x:c r="G1756"/>
    </x:row>
    <x:row r="1757">
      <x:c r="A1757"/>
      <x:c r="B1757"/>
      <x:c r="C1757"/>
      <x:c r="D1757"/>
      <x:c r="E1757"/>
      <x:c r="F1757"/>
      <x:c r="G1757"/>
    </x:row>
    <x:row r="1758">
      <x:c r="A1758"/>
      <x:c r="B1758"/>
      <x:c r="C1758"/>
      <x:c r="D1758"/>
      <x:c r="E1758"/>
      <x:c r="F1758"/>
      <x:c r="G1758"/>
    </x:row>
    <x:row r="1759">
      <x:c r="A1759"/>
      <x:c r="B1759"/>
      <x:c r="C1759"/>
      <x:c r="D1759"/>
      <x:c r="E1759"/>
      <x:c r="F1759"/>
      <x:c r="G1759"/>
    </x:row>
    <x:row r="1760">
      <x:c r="A1760"/>
      <x:c r="B1760"/>
      <x:c r="C1760"/>
      <x:c r="D1760"/>
      <x:c r="E1760"/>
      <x:c r="F1760"/>
      <x:c r="G1760"/>
    </x:row>
    <x:row r="1761">
      <x:c r="A1761"/>
      <x:c r="B1761"/>
      <x:c r="C1761"/>
      <x:c r="D1761"/>
      <x:c r="E1761"/>
      <x:c r="F1761"/>
      <x:c r="G1761"/>
    </x:row>
    <x:row r="1762">
      <x:c r="A1762"/>
      <x:c r="B1762"/>
      <x:c r="C1762"/>
      <x:c r="D1762"/>
      <x:c r="E1762"/>
      <x:c r="F1762"/>
      <x:c r="G1762"/>
    </x:row>
    <x:row r="1763">
      <x:c r="A1763"/>
      <x:c r="B1763"/>
      <x:c r="C1763"/>
      <x:c r="D1763"/>
      <x:c r="E1763"/>
      <x:c r="F1763"/>
      <x:c r="G1763"/>
    </x:row>
    <x:row r="1764">
      <x:c r="A1764"/>
      <x:c r="B1764"/>
      <x:c r="C1764"/>
      <x:c r="D1764"/>
      <x:c r="E1764"/>
      <x:c r="F1764"/>
      <x:c r="G1764"/>
    </x:row>
    <x:row r="1765">
      <x:c r="A1765"/>
      <x:c r="B1765"/>
      <x:c r="C1765"/>
      <x:c r="D1765"/>
      <x:c r="E1765"/>
      <x:c r="F1765"/>
      <x:c r="G1765"/>
    </x:row>
    <x:row r="1766">
      <x:c r="A1766"/>
      <x:c r="B1766"/>
      <x:c r="C1766"/>
      <x:c r="D1766"/>
      <x:c r="E1766"/>
      <x:c r="F1766"/>
      <x:c r="G1766"/>
    </x:row>
    <x:row r="1767">
      <x:c r="A1767"/>
      <x:c r="B1767"/>
      <x:c r="C1767"/>
      <x:c r="D1767"/>
      <x:c r="E1767"/>
      <x:c r="F1767"/>
      <x:c r="G1767"/>
    </x:row>
    <x:row r="1768">
      <x:c r="A1768"/>
      <x:c r="B1768"/>
      <x:c r="C1768"/>
      <x:c r="D1768"/>
      <x:c r="E1768"/>
      <x:c r="F1768"/>
      <x:c r="G1768"/>
    </x:row>
    <x:row r="1769">
      <x:c r="A1769"/>
      <x:c r="B1769"/>
      <x:c r="C1769"/>
      <x:c r="D1769"/>
      <x:c r="E1769"/>
      <x:c r="F1769"/>
      <x:c r="G1769"/>
    </x:row>
    <x:row r="1770">
      <x:c r="A1770"/>
      <x:c r="B1770"/>
      <x:c r="C1770"/>
      <x:c r="D1770"/>
      <x:c r="E1770"/>
      <x:c r="F1770"/>
      <x:c r="G1770"/>
    </x:row>
    <x:row r="1771">
      <x:c r="A1771"/>
      <x:c r="B1771"/>
      <x:c r="C1771"/>
      <x:c r="D1771"/>
      <x:c r="E1771"/>
      <x:c r="F1771"/>
      <x:c r="G1771"/>
    </x:row>
    <x:row r="1772">
      <x:c r="A1772"/>
      <x:c r="B1772"/>
      <x:c r="C1772"/>
      <x:c r="D1772"/>
      <x:c r="E1772"/>
      <x:c r="F1772"/>
      <x:c r="G1772"/>
    </x:row>
    <x:row r="1773">
      <x:c r="A1773"/>
      <x:c r="B1773"/>
      <x:c r="C1773"/>
      <x:c r="D1773"/>
      <x:c r="E1773"/>
      <x:c r="F1773"/>
      <x:c r="G1773"/>
    </x:row>
    <x:row r="1774">
      <x:c r="A1774"/>
      <x:c r="B1774"/>
      <x:c r="C1774"/>
      <x:c r="D1774"/>
      <x:c r="E1774"/>
      <x:c r="F1774"/>
      <x:c r="G1774"/>
    </x:row>
    <x:row r="1775">
      <x:c r="A1775"/>
      <x:c r="B1775"/>
      <x:c r="C1775"/>
      <x:c r="D1775"/>
      <x:c r="E1775"/>
      <x:c r="F1775"/>
      <x:c r="G1775"/>
    </x:row>
    <x:row r="1776">
      <x:c r="A1776"/>
      <x:c r="B1776"/>
      <x:c r="C1776"/>
      <x:c r="D1776"/>
      <x:c r="E1776"/>
      <x:c r="F1776"/>
      <x:c r="G1776"/>
    </x:row>
    <x:row r="1777">
      <x:c r="A1777"/>
      <x:c r="B1777"/>
      <x:c r="C1777"/>
      <x:c r="D1777"/>
      <x:c r="E1777"/>
      <x:c r="F1777"/>
      <x:c r="G1777"/>
    </x:row>
    <x:row r="1778">
      <x:c r="A1778"/>
      <x:c r="B1778"/>
      <x:c r="C1778"/>
      <x:c r="D1778"/>
      <x:c r="E1778"/>
      <x:c r="F1778"/>
      <x:c r="G1778"/>
    </x:row>
    <x:row r="1779">
      <x:c r="A1779"/>
      <x:c r="B1779"/>
      <x:c r="C1779"/>
      <x:c r="D1779"/>
      <x:c r="E1779"/>
      <x:c r="F1779"/>
      <x:c r="G1779"/>
    </x:row>
    <x:row r="1780">
      <x:c r="A1780"/>
      <x:c r="B1780"/>
      <x:c r="C1780"/>
      <x:c r="D1780"/>
      <x:c r="E1780"/>
      <x:c r="F1780"/>
      <x:c r="G1780"/>
    </x:row>
    <x:row r="1781">
      <x:c r="A1781"/>
      <x:c r="B1781"/>
      <x:c r="C1781"/>
      <x:c r="D1781"/>
      <x:c r="E1781"/>
      <x:c r="F1781"/>
      <x:c r="G1781"/>
    </x:row>
    <x:row r="1782">
      <x:c r="A1782"/>
      <x:c r="B1782"/>
      <x:c r="C1782"/>
      <x:c r="D1782"/>
      <x:c r="E1782"/>
      <x:c r="F1782"/>
      <x:c r="G1782"/>
    </x:row>
    <x:row r="1783">
      <x:c r="A1783"/>
      <x:c r="B1783"/>
      <x:c r="C1783"/>
      <x:c r="D1783"/>
      <x:c r="E1783"/>
      <x:c r="F1783"/>
      <x:c r="G1783"/>
    </x:row>
    <x:row r="1784">
      <x:c r="A1784"/>
      <x:c r="B1784"/>
      <x:c r="C1784"/>
      <x:c r="D1784"/>
      <x:c r="E1784"/>
      <x:c r="F1784"/>
      <x:c r="G1784"/>
    </x:row>
    <x:row r="1785">
      <x:c r="A1785"/>
      <x:c r="B1785"/>
      <x:c r="C1785"/>
      <x:c r="D1785"/>
      <x:c r="E1785"/>
      <x:c r="F1785"/>
      <x:c r="G1785"/>
    </x:row>
    <x:row r="1786">
      <x:c r="A1786"/>
      <x:c r="B1786"/>
      <x:c r="C1786"/>
      <x:c r="D1786"/>
      <x:c r="E1786"/>
      <x:c r="F1786"/>
      <x:c r="G1786"/>
    </x:row>
    <x:row r="1787">
      <x:c r="A1787"/>
      <x:c r="B1787"/>
      <x:c r="C1787"/>
      <x:c r="D1787"/>
      <x:c r="E1787"/>
      <x:c r="F1787"/>
      <x:c r="G1787"/>
    </x:row>
    <x:row r="1788">
      <x:c r="A1788"/>
      <x:c r="B1788"/>
      <x:c r="C1788"/>
      <x:c r="D1788"/>
      <x:c r="E1788"/>
      <x:c r="F1788"/>
      <x:c r="G1788"/>
    </x:row>
    <x:row r="1789">
      <x:c r="A1789"/>
      <x:c r="B1789"/>
      <x:c r="C1789"/>
      <x:c r="D1789"/>
      <x:c r="E1789"/>
      <x:c r="F1789"/>
      <x:c r="G1789"/>
    </x:row>
    <x:row r="1790">
      <x:c r="A1790"/>
      <x:c r="B1790"/>
      <x:c r="C1790"/>
      <x:c r="D1790"/>
      <x:c r="E1790"/>
      <x:c r="F1790"/>
      <x:c r="G1790"/>
    </x:row>
    <x:row r="1791">
      <x:c r="A1791"/>
      <x:c r="B1791"/>
      <x:c r="C1791"/>
      <x:c r="D1791"/>
      <x:c r="E1791"/>
      <x:c r="F1791"/>
      <x:c r="G1791"/>
    </x:row>
    <x:row r="1792">
      <x:c r="A1792"/>
      <x:c r="B1792"/>
      <x:c r="C1792"/>
      <x:c r="D1792"/>
      <x:c r="E1792"/>
      <x:c r="F1792"/>
      <x:c r="G1792"/>
    </x:row>
    <x:row r="1793">
      <x:c r="A1793"/>
      <x:c r="B1793"/>
      <x:c r="C1793"/>
      <x:c r="D1793"/>
      <x:c r="E1793"/>
      <x:c r="F1793"/>
      <x:c r="G1793"/>
    </x:row>
    <x:row r="1794">
      <x:c r="A1794"/>
      <x:c r="B1794"/>
      <x:c r="C1794"/>
      <x:c r="D1794"/>
      <x:c r="E1794"/>
      <x:c r="F1794"/>
      <x:c r="G1794"/>
    </x:row>
    <x:row r="1795">
      <x:c r="A1795"/>
      <x:c r="B1795"/>
      <x:c r="C1795"/>
      <x:c r="D1795"/>
      <x:c r="E1795"/>
      <x:c r="F1795"/>
      <x:c r="G1795"/>
    </x:row>
    <x:row r="1796">
      <x:c r="A1796"/>
      <x:c r="B1796"/>
      <x:c r="C1796"/>
      <x:c r="D1796"/>
      <x:c r="E1796"/>
      <x:c r="F1796"/>
      <x:c r="G1796"/>
    </x:row>
    <x:row r="1797">
      <x:c r="A1797"/>
      <x:c r="B1797"/>
      <x:c r="C1797"/>
      <x:c r="D1797"/>
      <x:c r="E1797"/>
      <x:c r="F1797"/>
      <x:c r="G1797"/>
    </x:row>
    <x:row r="1798">
      <x:c r="A1798"/>
      <x:c r="B1798"/>
      <x:c r="C1798"/>
      <x:c r="D1798"/>
      <x:c r="E1798"/>
      <x:c r="F1798"/>
      <x:c r="G1798"/>
    </x:row>
    <x:row r="1799">
      <x:c r="A1799"/>
      <x:c r="B1799"/>
      <x:c r="C1799"/>
      <x:c r="D1799"/>
      <x:c r="E1799"/>
      <x:c r="F1799"/>
      <x:c r="G1799"/>
    </x:row>
    <x:row r="1800">
      <x:c r="A1800"/>
      <x:c r="B1800"/>
      <x:c r="C1800"/>
      <x:c r="D1800"/>
      <x:c r="E1800"/>
      <x:c r="F1800"/>
      <x:c r="G1800"/>
    </x:row>
    <x:row r="1801">
      <x:c r="A1801"/>
      <x:c r="B1801"/>
      <x:c r="C1801"/>
      <x:c r="D1801"/>
      <x:c r="E1801"/>
      <x:c r="F1801"/>
      <x:c r="G1801"/>
    </x:row>
    <x:row r="1802">
      <x:c r="A1802"/>
      <x:c r="B1802"/>
      <x:c r="C1802"/>
      <x:c r="D1802"/>
      <x:c r="E1802"/>
      <x:c r="F1802"/>
      <x:c r="G1802"/>
    </x:row>
    <x:row r="1803">
      <x:c r="A1803"/>
      <x:c r="B1803"/>
      <x:c r="C1803"/>
      <x:c r="D1803"/>
      <x:c r="E1803"/>
      <x:c r="F1803"/>
      <x:c r="G1803"/>
    </x:row>
    <x:row r="1804">
      <x:c r="A1804"/>
      <x:c r="B1804"/>
      <x:c r="C1804"/>
      <x:c r="D1804"/>
      <x:c r="E1804"/>
      <x:c r="F1804"/>
      <x:c r="G1804"/>
    </x:row>
    <x:row r="1805">
      <x:c r="A1805"/>
      <x:c r="B1805"/>
      <x:c r="C1805"/>
      <x:c r="D1805"/>
      <x:c r="E1805"/>
      <x:c r="F1805"/>
      <x:c r="G1805"/>
    </x:row>
    <x:row r="1806">
      <x:c r="A1806"/>
      <x:c r="B1806"/>
      <x:c r="C1806"/>
      <x:c r="D1806"/>
      <x:c r="E1806"/>
      <x:c r="F1806"/>
      <x:c r="G1806"/>
    </x:row>
    <x:row r="1807">
      <x:c r="A1807"/>
      <x:c r="B1807"/>
      <x:c r="C1807"/>
      <x:c r="D1807"/>
      <x:c r="E1807"/>
      <x:c r="F1807"/>
      <x:c r="G1807"/>
    </x:row>
    <x:row r="1808">
      <x:c r="A1808"/>
      <x:c r="B1808"/>
      <x:c r="C1808"/>
      <x:c r="D1808"/>
      <x:c r="E1808"/>
      <x:c r="F1808"/>
      <x:c r="G1808"/>
    </x:row>
    <x:row r="1809">
      <x:c r="A1809"/>
      <x:c r="B1809"/>
      <x:c r="C1809"/>
      <x:c r="D1809"/>
      <x:c r="E1809"/>
      <x:c r="F1809"/>
      <x:c r="G1809"/>
    </x:row>
    <x:row r="1810">
      <x:c r="A1810"/>
      <x:c r="B1810"/>
      <x:c r="C1810"/>
      <x:c r="D1810"/>
      <x:c r="E1810"/>
      <x:c r="F1810"/>
      <x:c r="G1810"/>
    </x:row>
    <x:row r="1811">
      <x:c r="A1811"/>
      <x:c r="B1811"/>
      <x:c r="C1811"/>
      <x:c r="D1811"/>
      <x:c r="E1811"/>
      <x:c r="F1811"/>
      <x:c r="G1811"/>
    </x:row>
    <x:row r="1812">
      <x:c r="A1812"/>
      <x:c r="B1812"/>
      <x:c r="C1812"/>
      <x:c r="D1812"/>
      <x:c r="E1812"/>
      <x:c r="F1812"/>
      <x:c r="G1812"/>
    </x:row>
    <x:row r="1813">
      <x:c r="A1813"/>
      <x:c r="B1813"/>
      <x:c r="C1813"/>
      <x:c r="D1813"/>
      <x:c r="E1813"/>
      <x:c r="F1813"/>
      <x:c r="G1813"/>
    </x:row>
    <x:row r="1814">
      <x:c r="A1814"/>
      <x:c r="B1814"/>
      <x:c r="C1814"/>
      <x:c r="D1814"/>
      <x:c r="E1814"/>
      <x:c r="F1814"/>
      <x:c r="G1814"/>
    </x:row>
    <x:row r="1815">
      <x:c r="A1815"/>
      <x:c r="B1815"/>
      <x:c r="C1815"/>
      <x:c r="D1815"/>
      <x:c r="E1815"/>
      <x:c r="F1815"/>
      <x:c r="G1815"/>
    </x:row>
    <x:row r="1816">
      <x:c r="A1816"/>
      <x:c r="B1816"/>
      <x:c r="C1816"/>
      <x:c r="D1816"/>
      <x:c r="E1816"/>
      <x:c r="F1816"/>
      <x:c r="G1816"/>
    </x:row>
    <x:row r="1817">
      <x:c r="A1817"/>
      <x:c r="B1817"/>
      <x:c r="C1817"/>
      <x:c r="D1817"/>
      <x:c r="E1817"/>
      <x:c r="F1817"/>
      <x:c r="G1817"/>
    </x:row>
    <x:row r="1818">
      <x:c r="A1818"/>
      <x:c r="B1818"/>
      <x:c r="C1818"/>
      <x:c r="D1818"/>
      <x:c r="E1818"/>
      <x:c r="F1818"/>
      <x:c r="G1818"/>
    </x:row>
    <x:row r="1819">
      <x:c r="A1819"/>
      <x:c r="B1819"/>
      <x:c r="C1819"/>
      <x:c r="D1819"/>
      <x:c r="E1819"/>
      <x:c r="F1819"/>
      <x:c r="G1819"/>
    </x:row>
    <x:row r="1820">
      <x:c r="A1820"/>
      <x:c r="B1820"/>
      <x:c r="C1820"/>
      <x:c r="D1820"/>
      <x:c r="E1820"/>
      <x:c r="F1820"/>
      <x:c r="G1820"/>
    </x:row>
    <x:row r="1821">
      <x:c r="A1821"/>
      <x:c r="B1821"/>
      <x:c r="C1821"/>
      <x:c r="D1821"/>
      <x:c r="E1821"/>
      <x:c r="F1821"/>
      <x:c r="G1821"/>
    </x:row>
    <x:row r="1822">
      <x:c r="A1822"/>
      <x:c r="B1822"/>
      <x:c r="C1822"/>
      <x:c r="D1822"/>
      <x:c r="E1822"/>
      <x:c r="F1822"/>
      <x:c r="G1822"/>
    </x:row>
    <x:row r="1823">
      <x:c r="A1823"/>
      <x:c r="B1823"/>
      <x:c r="C1823"/>
      <x:c r="D1823"/>
      <x:c r="E1823"/>
      <x:c r="F1823"/>
      <x:c r="G1823"/>
    </x:row>
    <x:row r="1824">
      <x:c r="A1824"/>
      <x:c r="B1824"/>
      <x:c r="C1824"/>
      <x:c r="D1824"/>
      <x:c r="E1824"/>
      <x:c r="F1824"/>
      <x:c r="G1824"/>
    </x:row>
    <x:row r="1825">
      <x:c r="A1825"/>
      <x:c r="B1825"/>
      <x:c r="C1825"/>
      <x:c r="D1825"/>
      <x:c r="E1825"/>
      <x:c r="F1825"/>
      <x:c r="G1825"/>
    </x:row>
    <x:row r="1826">
      <x:c r="A1826"/>
      <x:c r="B1826"/>
      <x:c r="C1826"/>
      <x:c r="D1826"/>
      <x:c r="E1826"/>
      <x:c r="F1826"/>
      <x:c r="G1826"/>
    </x:row>
    <x:row r="1827">
      <x:c r="A1827"/>
      <x:c r="B1827"/>
      <x:c r="C1827"/>
      <x:c r="D1827"/>
      <x:c r="E1827"/>
      <x:c r="F1827"/>
      <x:c r="G1827"/>
    </x:row>
    <x:row r="1828">
      <x:c r="A1828"/>
      <x:c r="B1828"/>
      <x:c r="C1828"/>
      <x:c r="D1828"/>
      <x:c r="E1828"/>
      <x:c r="F1828"/>
      <x:c r="G1828"/>
    </x:row>
    <x:row r="1829">
      <x:c r="A1829"/>
      <x:c r="B1829"/>
      <x:c r="C1829"/>
      <x:c r="D1829"/>
      <x:c r="E1829"/>
      <x:c r="F1829"/>
      <x:c r="G1829"/>
    </x:row>
    <x:row r="1830">
      <x:c r="A1830"/>
      <x:c r="B1830"/>
      <x:c r="C1830"/>
      <x:c r="D1830"/>
      <x:c r="E1830"/>
      <x:c r="F1830"/>
      <x:c r="G1830"/>
    </x:row>
    <x:row r="1831">
      <x:c r="A1831"/>
      <x:c r="B1831"/>
      <x:c r="C1831"/>
      <x:c r="D1831"/>
      <x:c r="E1831"/>
      <x:c r="F1831"/>
      <x:c r="G1831"/>
    </x:row>
    <x:row r="1832">
      <x:c r="A1832"/>
      <x:c r="B1832"/>
      <x:c r="C1832"/>
      <x:c r="D1832"/>
      <x:c r="E1832"/>
      <x:c r="F1832"/>
      <x:c r="G1832"/>
    </x:row>
    <x:row r="1833">
      <x:c r="A1833"/>
      <x:c r="B1833"/>
      <x:c r="C1833"/>
      <x:c r="D1833"/>
      <x:c r="E1833"/>
      <x:c r="F1833"/>
      <x:c r="G1833"/>
    </x:row>
    <x:row r="1834">
      <x:c r="A1834"/>
      <x:c r="B1834"/>
      <x:c r="C1834"/>
      <x:c r="D1834"/>
      <x:c r="E1834"/>
      <x:c r="F1834"/>
      <x:c r="G1834"/>
    </x:row>
    <x:row r="1835">
      <x:c r="A1835"/>
      <x:c r="B1835"/>
      <x:c r="C1835"/>
      <x:c r="D1835"/>
      <x:c r="E1835"/>
      <x:c r="F1835"/>
      <x:c r="G1835"/>
    </x:row>
    <x:row r="1836">
      <x:c r="A1836"/>
      <x:c r="B1836"/>
      <x:c r="C1836"/>
      <x:c r="D1836"/>
      <x:c r="E1836"/>
      <x:c r="F1836"/>
      <x:c r="G1836"/>
    </x:row>
    <x:row r="1837">
      <x:c r="A1837"/>
      <x:c r="B1837"/>
      <x:c r="C1837"/>
      <x:c r="D1837"/>
      <x:c r="E1837"/>
      <x:c r="F1837"/>
      <x:c r="G1837"/>
    </x:row>
    <x:row r="1838">
      <x:c r="A1838"/>
      <x:c r="B1838"/>
      <x:c r="C1838"/>
      <x:c r="D1838"/>
      <x:c r="E1838"/>
      <x:c r="F1838"/>
      <x:c r="G1838"/>
    </x:row>
    <x:row r="1839">
      <x:c r="A1839"/>
      <x:c r="B1839"/>
      <x:c r="C1839"/>
      <x:c r="D1839"/>
      <x:c r="E1839"/>
      <x:c r="F1839"/>
      <x:c r="G1839"/>
    </x:row>
    <x:row r="1840">
      <x:c r="A1840"/>
      <x:c r="B1840"/>
      <x:c r="C1840"/>
      <x:c r="D1840"/>
      <x:c r="E1840"/>
      <x:c r="F1840"/>
      <x:c r="G1840"/>
    </x:row>
    <x:row r="1841">
      <x:c r="A1841"/>
      <x:c r="B1841"/>
      <x:c r="C1841"/>
      <x:c r="D1841"/>
      <x:c r="E1841"/>
      <x:c r="F1841"/>
      <x:c r="G1841"/>
    </x:row>
    <x:row r="1842">
      <x:c r="A1842"/>
      <x:c r="B1842"/>
      <x:c r="C1842"/>
      <x:c r="D1842"/>
      <x:c r="E1842"/>
      <x:c r="F1842"/>
      <x:c r="G1842"/>
    </x:row>
    <x:row r="1843">
      <x:c r="A1843"/>
      <x:c r="B1843"/>
      <x:c r="C1843"/>
      <x:c r="D1843"/>
      <x:c r="E1843"/>
      <x:c r="F1843"/>
      <x:c r="G1843"/>
    </x:row>
    <x:row r="1844">
      <x:c r="A1844"/>
      <x:c r="B1844"/>
      <x:c r="C1844"/>
      <x:c r="D1844"/>
      <x:c r="E1844"/>
      <x:c r="F1844"/>
      <x:c r="G1844"/>
    </x:row>
    <x:row r="1845">
      <x:c r="A1845"/>
      <x:c r="B1845"/>
      <x:c r="C1845"/>
      <x:c r="D1845"/>
      <x:c r="E1845"/>
      <x:c r="F1845"/>
      <x:c r="G1845"/>
    </x:row>
    <x:row r="1846">
      <x:c r="A1846"/>
      <x:c r="B1846"/>
      <x:c r="C1846"/>
      <x:c r="D1846"/>
      <x:c r="E1846"/>
      <x:c r="F1846"/>
      <x:c r="G1846"/>
    </x:row>
    <x:row r="1847">
      <x:c r="A1847"/>
      <x:c r="B1847"/>
      <x:c r="C1847"/>
      <x:c r="D1847"/>
      <x:c r="E1847"/>
      <x:c r="F1847"/>
      <x:c r="G1847"/>
    </x:row>
    <x:row r="1848">
      <x:c r="A1848"/>
      <x:c r="B1848"/>
      <x:c r="C1848"/>
      <x:c r="D1848"/>
      <x:c r="E1848"/>
      <x:c r="F1848"/>
      <x:c r="G1848"/>
    </x:row>
    <x:row r="1849">
      <x:c r="A1849"/>
      <x:c r="B1849"/>
      <x:c r="C1849"/>
      <x:c r="D1849"/>
      <x:c r="E1849"/>
      <x:c r="F1849"/>
      <x:c r="G1849"/>
    </x:row>
    <x:row r="1850">
      <x:c r="A1850"/>
      <x:c r="B1850"/>
      <x:c r="C1850"/>
      <x:c r="D1850"/>
      <x:c r="E1850"/>
      <x:c r="F1850"/>
      <x:c r="G1850"/>
    </x:row>
    <x:row r="1851">
      <x:c r="A1851"/>
      <x:c r="B1851"/>
      <x:c r="C1851"/>
      <x:c r="D1851"/>
      <x:c r="E1851"/>
      <x:c r="F1851"/>
      <x:c r="G1851"/>
    </x:row>
    <x:row r="1852">
      <x:c r="A1852"/>
      <x:c r="B1852"/>
      <x:c r="C1852"/>
      <x:c r="D1852"/>
      <x:c r="E1852"/>
      <x:c r="F1852"/>
      <x:c r="G1852"/>
    </x:row>
    <x:row r="1853">
      <x:c r="A1853"/>
      <x:c r="B1853"/>
      <x:c r="C1853"/>
      <x:c r="D1853"/>
      <x:c r="E1853"/>
      <x:c r="F1853"/>
      <x:c r="G1853"/>
    </x:row>
    <x:row r="1854">
      <x:c r="A1854"/>
      <x:c r="B1854"/>
      <x:c r="C1854"/>
      <x:c r="D1854"/>
      <x:c r="E1854"/>
      <x:c r="F1854"/>
      <x:c r="G1854"/>
    </x:row>
    <x:row r="1855">
      <x:c r="A1855"/>
      <x:c r="B1855"/>
      <x:c r="C1855"/>
      <x:c r="D1855"/>
      <x:c r="E1855"/>
      <x:c r="F1855"/>
      <x:c r="G1855"/>
    </x:row>
    <x:row r="1856">
      <x:c r="A1856"/>
      <x:c r="B1856"/>
      <x:c r="C1856"/>
      <x:c r="D1856"/>
      <x:c r="E1856"/>
      <x:c r="F1856"/>
      <x:c r="G1856"/>
    </x:row>
    <x:row r="1857">
      <x:c r="A1857"/>
      <x:c r="B1857"/>
      <x:c r="C1857"/>
      <x:c r="D1857"/>
      <x:c r="E1857"/>
      <x:c r="F1857"/>
      <x:c r="G1857"/>
    </x:row>
    <x:row r="1858">
      <x:c r="A1858"/>
      <x:c r="B1858"/>
      <x:c r="C1858"/>
      <x:c r="D1858"/>
      <x:c r="E1858"/>
      <x:c r="F1858"/>
      <x:c r="G1858"/>
    </x:row>
    <x:row r="1859">
      <x:c r="A1859"/>
      <x:c r="B1859"/>
      <x:c r="C1859"/>
      <x:c r="D1859"/>
      <x:c r="E1859"/>
      <x:c r="F1859"/>
      <x:c r="G1859"/>
    </x:row>
    <x:row r="1860">
      <x:c r="A1860"/>
      <x:c r="B1860"/>
      <x:c r="C1860"/>
      <x:c r="D1860"/>
      <x:c r="E1860"/>
      <x:c r="F1860"/>
      <x:c r="G1860"/>
    </x:row>
    <x:row r="1861">
      <x:c r="A1861"/>
      <x:c r="B1861"/>
      <x:c r="C1861"/>
      <x:c r="D1861"/>
      <x:c r="E1861"/>
      <x:c r="F1861"/>
      <x:c r="G1861"/>
    </x:row>
    <x:row r="1862">
      <x:c r="A1862"/>
      <x:c r="B1862"/>
      <x:c r="C1862"/>
      <x:c r="D1862"/>
      <x:c r="E1862"/>
      <x:c r="F1862"/>
      <x:c r="G1862"/>
    </x:row>
    <x:row r="1863">
      <x:c r="A1863"/>
      <x:c r="B1863"/>
      <x:c r="C1863"/>
      <x:c r="D1863"/>
      <x:c r="E1863"/>
      <x:c r="F1863"/>
      <x:c r="G1863"/>
    </x:row>
    <x:row r="1864">
      <x:c r="A1864"/>
      <x:c r="B1864"/>
      <x:c r="C1864"/>
      <x:c r="D1864"/>
      <x:c r="E1864"/>
      <x:c r="F1864"/>
      <x:c r="G1864"/>
    </x:row>
    <x:row r="1865">
      <x:c r="A1865"/>
      <x:c r="B1865"/>
      <x:c r="C1865"/>
      <x:c r="D1865"/>
      <x:c r="E1865"/>
      <x:c r="F1865"/>
      <x:c r="G1865"/>
    </x:row>
    <x:row r="1866">
      <x:c r="A1866"/>
      <x:c r="B1866"/>
      <x:c r="C1866"/>
      <x:c r="D1866"/>
      <x:c r="E1866"/>
      <x:c r="F1866"/>
      <x:c r="G1866"/>
    </x:row>
    <x:row r="1867">
      <x:c r="A1867"/>
      <x:c r="B1867"/>
      <x:c r="C1867"/>
      <x:c r="D1867"/>
      <x:c r="E1867"/>
      <x:c r="F1867"/>
      <x:c r="G1867"/>
    </x:row>
    <x:row r="1868">
      <x:c r="A1868"/>
      <x:c r="B1868"/>
      <x:c r="C1868"/>
      <x:c r="D1868"/>
      <x:c r="E1868"/>
      <x:c r="F1868"/>
      <x:c r="G1868"/>
    </x:row>
    <x:row r="1869">
      <x:c r="A1869"/>
      <x:c r="B1869"/>
      <x:c r="C1869"/>
      <x:c r="D1869"/>
      <x:c r="E1869"/>
      <x:c r="F1869"/>
      <x:c r="G1869"/>
    </x:row>
    <x:row r="1870">
      <x:c r="A1870"/>
      <x:c r="B1870"/>
      <x:c r="C1870"/>
      <x:c r="D1870"/>
      <x:c r="E1870"/>
      <x:c r="F1870"/>
      <x:c r="G1870"/>
    </x:row>
    <x:row r="1871">
      <x:c r="A1871"/>
      <x:c r="B1871"/>
      <x:c r="C1871"/>
      <x:c r="D1871"/>
      <x:c r="E1871"/>
      <x:c r="F1871"/>
      <x:c r="G1871"/>
    </x:row>
    <x:row r="1872">
      <x:c r="A1872"/>
      <x:c r="B1872"/>
      <x:c r="C1872"/>
      <x:c r="D1872"/>
      <x:c r="E1872"/>
      <x:c r="F1872"/>
      <x:c r="G1872"/>
    </x:row>
    <x:row r="1873">
      <x:c r="A1873"/>
      <x:c r="B1873"/>
      <x:c r="C1873"/>
      <x:c r="D1873"/>
      <x:c r="E1873"/>
      <x:c r="F1873"/>
      <x:c r="G1873"/>
    </x:row>
    <x:row r="1874">
      <x:c r="A1874"/>
      <x:c r="B1874"/>
      <x:c r="C1874"/>
      <x:c r="D1874"/>
      <x:c r="E1874"/>
      <x:c r="F1874"/>
      <x:c r="G1874"/>
    </x:row>
    <x:row r="1875">
      <x:c r="A1875"/>
      <x:c r="B1875"/>
      <x:c r="C1875"/>
      <x:c r="D1875"/>
      <x:c r="E1875"/>
      <x:c r="F1875"/>
      <x:c r="G1875"/>
    </x:row>
    <x:row r="1876">
      <x:c r="A1876"/>
      <x:c r="B1876"/>
      <x:c r="C1876"/>
      <x:c r="D1876"/>
      <x:c r="E1876"/>
      <x:c r="F1876"/>
      <x:c r="G1876"/>
    </x:row>
    <x:row r="1877">
      <x:c r="A1877"/>
      <x:c r="B1877"/>
      <x:c r="C1877"/>
      <x:c r="D1877"/>
      <x:c r="E1877"/>
      <x:c r="F1877"/>
      <x:c r="G1877"/>
    </x:row>
    <x:row r="1878">
      <x:c r="A1878"/>
      <x:c r="B1878"/>
      <x:c r="C1878"/>
      <x:c r="D1878"/>
      <x:c r="E1878"/>
      <x:c r="F1878"/>
      <x:c r="G1878"/>
    </x:row>
    <x:row r="1879">
      <x:c r="A1879"/>
      <x:c r="B1879"/>
      <x:c r="C1879"/>
      <x:c r="D1879"/>
      <x:c r="E1879"/>
      <x:c r="F1879"/>
      <x:c r="G1879"/>
    </x:row>
    <x:row r="1880">
      <x:c r="A1880"/>
      <x:c r="B1880"/>
      <x:c r="C1880"/>
      <x:c r="D1880"/>
      <x:c r="E1880"/>
      <x:c r="F1880"/>
      <x:c r="G1880"/>
    </x:row>
    <x:row r="1881">
      <x:c r="A1881"/>
      <x:c r="B1881"/>
      <x:c r="C1881"/>
      <x:c r="D1881"/>
      <x:c r="E1881"/>
      <x:c r="F1881"/>
      <x:c r="G1881"/>
    </x:row>
    <x:row r="1882">
      <x:c r="A1882"/>
      <x:c r="B1882"/>
      <x:c r="C1882"/>
      <x:c r="D1882"/>
      <x:c r="E1882"/>
      <x:c r="F1882"/>
      <x:c r="G1882"/>
    </x:row>
    <x:row r="1883">
      <x:c r="A1883"/>
      <x:c r="B1883"/>
      <x:c r="C1883"/>
      <x:c r="D1883"/>
      <x:c r="E1883"/>
      <x:c r="F1883"/>
      <x:c r="G1883"/>
    </x:row>
    <x:row r="1884">
      <x:c r="A1884"/>
      <x:c r="B1884"/>
      <x:c r="C1884"/>
      <x:c r="D1884"/>
      <x:c r="E1884"/>
      <x:c r="F1884"/>
      <x:c r="G1884"/>
    </x:row>
    <x:row r="1885">
      <x:c r="A1885"/>
      <x:c r="B1885"/>
      <x:c r="C1885"/>
      <x:c r="D1885"/>
      <x:c r="E1885"/>
      <x:c r="F1885"/>
      <x:c r="G1885"/>
    </x:row>
    <x:row r="1886">
      <x:c r="A1886"/>
      <x:c r="B1886"/>
      <x:c r="C1886"/>
      <x:c r="D1886"/>
      <x:c r="E1886"/>
      <x:c r="F1886"/>
      <x:c r="G1886"/>
    </x:row>
    <x:row r="1887">
      <x:c r="A1887"/>
      <x:c r="B1887"/>
      <x:c r="C1887"/>
      <x:c r="D1887"/>
      <x:c r="E1887"/>
      <x:c r="F1887"/>
      <x:c r="G1887"/>
    </x:row>
    <x:row r="1888">
      <x:c r="A1888"/>
      <x:c r="B1888"/>
      <x:c r="C1888"/>
      <x:c r="D1888"/>
      <x:c r="E1888"/>
      <x:c r="F1888"/>
      <x:c r="G1888"/>
    </x:row>
    <x:row r="1889">
      <x:c r="A1889"/>
      <x:c r="B1889"/>
      <x:c r="C1889"/>
      <x:c r="D1889"/>
      <x:c r="E1889"/>
      <x:c r="F1889"/>
      <x:c r="G1889"/>
    </x:row>
    <x:row r="1890">
      <x:c r="A1890"/>
      <x:c r="B1890"/>
      <x:c r="C1890"/>
      <x:c r="D1890"/>
      <x:c r="E1890"/>
      <x:c r="F1890"/>
      <x:c r="G1890"/>
    </x:row>
    <x:row r="1891">
      <x:c r="A1891"/>
      <x:c r="B1891"/>
      <x:c r="C1891"/>
      <x:c r="D1891"/>
      <x:c r="E1891"/>
      <x:c r="F1891"/>
      <x:c r="G1891"/>
    </x:row>
    <x:row r="1892">
      <x:c r="A1892"/>
      <x:c r="B1892"/>
      <x:c r="C1892"/>
      <x:c r="D1892"/>
      <x:c r="E1892"/>
      <x:c r="F1892"/>
      <x:c r="G1892"/>
    </x:row>
    <x:row r="1893">
      <x:c r="A1893"/>
      <x:c r="B1893"/>
      <x:c r="C1893"/>
      <x:c r="D1893"/>
      <x:c r="E1893"/>
      <x:c r="F1893"/>
      <x:c r="G1893"/>
    </x:row>
    <x:row r="1894">
      <x:c r="A1894"/>
      <x:c r="B1894"/>
      <x:c r="C1894"/>
      <x:c r="D1894"/>
      <x:c r="E1894"/>
      <x:c r="F1894"/>
      <x:c r="G1894"/>
    </x:row>
    <x:row r="1895">
      <x:c r="A1895"/>
      <x:c r="B1895"/>
      <x:c r="C1895"/>
      <x:c r="D1895"/>
      <x:c r="E1895"/>
      <x:c r="F1895"/>
      <x:c r="G1895"/>
    </x:row>
    <x:row r="1896">
      <x:c r="A1896"/>
      <x:c r="B1896"/>
      <x:c r="C1896"/>
      <x:c r="D1896"/>
      <x:c r="E1896"/>
      <x:c r="F1896"/>
      <x:c r="G1896"/>
    </x:row>
    <x:row r="1897">
      <x:c r="A1897"/>
      <x:c r="B1897"/>
      <x:c r="C1897"/>
      <x:c r="D1897"/>
      <x:c r="E1897"/>
      <x:c r="F1897"/>
      <x:c r="G1897"/>
    </x:row>
    <x:row r="1898">
      <x:c r="A1898"/>
      <x:c r="B1898"/>
      <x:c r="C1898"/>
      <x:c r="D1898"/>
      <x:c r="E1898"/>
      <x:c r="F1898"/>
      <x:c r="G1898"/>
    </x:row>
    <x:row r="1899">
      <x:c r="A1899"/>
      <x:c r="B1899"/>
      <x:c r="C1899"/>
      <x:c r="D1899"/>
      <x:c r="E1899"/>
      <x:c r="F1899"/>
      <x:c r="G1899"/>
    </x:row>
    <x:row r="1900">
      <x:c r="A1900"/>
      <x:c r="B1900"/>
      <x:c r="C1900"/>
      <x:c r="D1900"/>
      <x:c r="E1900"/>
      <x:c r="F1900"/>
      <x:c r="G1900"/>
    </x:row>
    <x:row r="1901">
      <x:c r="A1901"/>
      <x:c r="B1901"/>
      <x:c r="C1901"/>
      <x:c r="D1901"/>
      <x:c r="E1901"/>
      <x:c r="F1901"/>
      <x:c r="G1901"/>
    </x:row>
    <x:row r="1902">
      <x:c r="A1902"/>
      <x:c r="B1902"/>
      <x:c r="C1902"/>
      <x:c r="D1902"/>
      <x:c r="E1902"/>
      <x:c r="F1902"/>
      <x:c r="G1902"/>
    </x:row>
    <x:row r="1903">
      <x:c r="A1903"/>
      <x:c r="B1903"/>
      <x:c r="C1903"/>
      <x:c r="D1903"/>
      <x:c r="E1903"/>
      <x:c r="F1903"/>
      <x:c r="G1903"/>
    </x:row>
    <x:row r="1904">
      <x:c r="A1904"/>
      <x:c r="B1904"/>
      <x:c r="C1904"/>
      <x:c r="D1904"/>
      <x:c r="E1904"/>
      <x:c r="F1904"/>
      <x:c r="G1904"/>
    </x:row>
    <x:row r="1905">
      <x:c r="A1905"/>
      <x:c r="B1905"/>
      <x:c r="C1905"/>
      <x:c r="D1905"/>
      <x:c r="E1905"/>
      <x:c r="F1905"/>
      <x:c r="G1905"/>
    </x:row>
    <x:row r="1906">
      <x:c r="A1906"/>
      <x:c r="B1906"/>
      <x:c r="C1906"/>
      <x:c r="D1906"/>
      <x:c r="E1906"/>
      <x:c r="F1906"/>
      <x:c r="G1906"/>
    </x:row>
    <x:row r="1907">
      <x:c r="A1907"/>
      <x:c r="B1907"/>
      <x:c r="C1907"/>
      <x:c r="D1907"/>
      <x:c r="E1907"/>
      <x:c r="F1907"/>
      <x:c r="G1907"/>
    </x:row>
    <x:row r="1908">
      <x:c r="A1908"/>
      <x:c r="B1908"/>
      <x:c r="C1908"/>
      <x:c r="D1908"/>
      <x:c r="E1908"/>
      <x:c r="F1908"/>
      <x:c r="G1908"/>
    </x:row>
    <x:row r="1909">
      <x:c r="A1909"/>
      <x:c r="B1909"/>
      <x:c r="C1909"/>
      <x:c r="D1909"/>
      <x:c r="E1909"/>
      <x:c r="F1909"/>
      <x:c r="G1909"/>
    </x:row>
    <x:row r="1910">
      <x:c r="A1910"/>
      <x:c r="B1910"/>
      <x:c r="C1910"/>
      <x:c r="D1910"/>
      <x:c r="E1910"/>
      <x:c r="F1910"/>
      <x:c r="G1910"/>
    </x:row>
    <x:row r="1911">
      <x:c r="A1911"/>
      <x:c r="B1911"/>
      <x:c r="C1911"/>
      <x:c r="D1911"/>
      <x:c r="E1911"/>
      <x:c r="F1911"/>
      <x:c r="G1911"/>
    </x:row>
    <x:row r="1912">
      <x:c r="A1912"/>
      <x:c r="B1912"/>
      <x:c r="C1912"/>
      <x:c r="D1912"/>
      <x:c r="E1912"/>
      <x:c r="F1912"/>
      <x:c r="G1912"/>
    </x:row>
    <x:row r="1913">
      <x:c r="A1913"/>
      <x:c r="B1913"/>
      <x:c r="C1913"/>
      <x:c r="D1913"/>
      <x:c r="E1913"/>
      <x:c r="F1913"/>
      <x:c r="G1913"/>
    </x:row>
    <x:row r="1914">
      <x:c r="A1914"/>
      <x:c r="B1914"/>
      <x:c r="C1914"/>
      <x:c r="D1914"/>
      <x:c r="E1914"/>
      <x:c r="F1914"/>
      <x:c r="G1914"/>
    </x:row>
    <x:row r="1915">
      <x:c r="A1915"/>
      <x:c r="B1915"/>
      <x:c r="C1915"/>
      <x:c r="D1915"/>
      <x:c r="E1915"/>
      <x:c r="F1915"/>
      <x:c r="G1915"/>
    </x:row>
    <x:row r="1916">
      <x:c r="A1916"/>
      <x:c r="B1916"/>
      <x:c r="C1916"/>
      <x:c r="D1916"/>
      <x:c r="E1916"/>
      <x:c r="F1916"/>
      <x:c r="G1916"/>
    </x:row>
    <x:row r="1917">
      <x:c r="A1917"/>
      <x:c r="B1917"/>
      <x:c r="C1917"/>
      <x:c r="D1917"/>
      <x:c r="E1917"/>
      <x:c r="F1917"/>
      <x:c r="G1917"/>
    </x:row>
    <x:row r="1918">
      <x:c r="A1918"/>
      <x:c r="B1918"/>
      <x:c r="C1918"/>
      <x:c r="D1918"/>
      <x:c r="E1918"/>
      <x:c r="F1918"/>
      <x:c r="G1918"/>
    </x:row>
    <x:row r="1919">
      <x:c r="A1919"/>
      <x:c r="B1919"/>
      <x:c r="C1919"/>
      <x:c r="D1919"/>
      <x:c r="E1919"/>
      <x:c r="F1919"/>
      <x:c r="G1919"/>
    </x:row>
    <x:row r="1920">
      <x:c r="A1920"/>
      <x:c r="B1920"/>
      <x:c r="C1920"/>
      <x:c r="D1920"/>
      <x:c r="E1920"/>
      <x:c r="F1920"/>
      <x:c r="G1920"/>
    </x:row>
    <x:row r="1921">
      <x:c r="A1921"/>
      <x:c r="B1921"/>
      <x:c r="C1921"/>
      <x:c r="D1921"/>
      <x:c r="E1921"/>
      <x:c r="F1921"/>
      <x:c r="G1921"/>
    </x:row>
    <x:row r="1922">
      <x:c r="A1922"/>
      <x:c r="B1922"/>
      <x:c r="C1922"/>
      <x:c r="D1922"/>
      <x:c r="E1922"/>
      <x:c r="F1922"/>
      <x:c r="G1922"/>
    </x:row>
    <x:row r="1923">
      <x:c r="A1923"/>
      <x:c r="B1923"/>
      <x:c r="C1923"/>
      <x:c r="D1923"/>
      <x:c r="E1923"/>
      <x:c r="F1923"/>
      <x:c r="G1923"/>
    </x:row>
    <x:row r="1924">
      <x:c r="A1924"/>
      <x:c r="B1924"/>
      <x:c r="C1924"/>
      <x:c r="D1924"/>
      <x:c r="E1924"/>
      <x:c r="F1924"/>
      <x:c r="G1924"/>
    </x:row>
    <x:row r="1925">
      <x:c r="A1925"/>
      <x:c r="B1925"/>
      <x:c r="C1925"/>
      <x:c r="D1925"/>
      <x:c r="E1925"/>
      <x:c r="F1925"/>
      <x:c r="G1925"/>
    </x:row>
    <x:row r="1926">
      <x:c r="A1926"/>
      <x:c r="B1926"/>
      <x:c r="C1926"/>
      <x:c r="D1926"/>
      <x:c r="E1926"/>
      <x:c r="F1926"/>
      <x:c r="G1926"/>
    </x:row>
    <x:row r="1927">
      <x:c r="A1927"/>
      <x:c r="B1927"/>
      <x:c r="C1927"/>
      <x:c r="D1927"/>
      <x:c r="E1927"/>
      <x:c r="F1927"/>
      <x:c r="G1927"/>
    </x:row>
    <x:row r="1928">
      <x:c r="A1928"/>
      <x:c r="B1928"/>
      <x:c r="C1928"/>
      <x:c r="D1928"/>
      <x:c r="E1928"/>
      <x:c r="F1928"/>
      <x:c r="G1928"/>
    </x:row>
    <x:row r="1929">
      <x:c r="A1929"/>
      <x:c r="B1929"/>
      <x:c r="C1929"/>
      <x:c r="D1929"/>
      <x:c r="E1929"/>
      <x:c r="F1929"/>
      <x:c r="G1929"/>
    </x:row>
    <x:row r="1930">
      <x:c r="A1930"/>
      <x:c r="B1930"/>
      <x:c r="C1930"/>
      <x:c r="D1930"/>
      <x:c r="E1930"/>
      <x:c r="F1930"/>
      <x:c r="G1930"/>
    </x:row>
    <x:row r="1931">
      <x:c r="A1931"/>
      <x:c r="B1931"/>
      <x:c r="C1931"/>
      <x:c r="D1931"/>
      <x:c r="E1931"/>
      <x:c r="F1931"/>
      <x:c r="G1931"/>
    </x:row>
    <x:row r="1932">
      <x:c r="A1932"/>
      <x:c r="B1932"/>
      <x:c r="C1932"/>
      <x:c r="D1932"/>
      <x:c r="E1932"/>
      <x:c r="F1932"/>
      <x:c r="G1932"/>
    </x:row>
    <x:row r="1933">
      <x:c r="A1933"/>
      <x:c r="B1933"/>
      <x:c r="C1933"/>
      <x:c r="D1933"/>
      <x:c r="E1933"/>
      <x:c r="F1933"/>
      <x:c r="G1933"/>
    </x:row>
    <x:row r="1934">
      <x:c r="A1934"/>
      <x:c r="B1934"/>
      <x:c r="C1934"/>
      <x:c r="D1934"/>
      <x:c r="E1934"/>
      <x:c r="F1934"/>
      <x:c r="G1934"/>
    </x:row>
    <x:row r="1935">
      <x:c r="A1935"/>
      <x:c r="B1935"/>
      <x:c r="C1935"/>
      <x:c r="D1935"/>
      <x:c r="E1935"/>
      <x:c r="F1935"/>
      <x:c r="G1935"/>
    </x:row>
    <x:row r="1936">
      <x:c r="A1936"/>
      <x:c r="B1936"/>
      <x:c r="C1936"/>
      <x:c r="D1936"/>
      <x:c r="E1936"/>
      <x:c r="F1936"/>
      <x:c r="G1936"/>
    </x:row>
    <x:row r="1937">
      <x:c r="A1937"/>
      <x:c r="B1937"/>
      <x:c r="C1937"/>
      <x:c r="D1937"/>
      <x:c r="E1937"/>
      <x:c r="F1937"/>
      <x:c r="G1937"/>
    </x:row>
    <x:row r="1938">
      <x:c r="A1938"/>
      <x:c r="B1938"/>
      <x:c r="C1938"/>
      <x:c r="D1938"/>
      <x:c r="E1938"/>
      <x:c r="F1938"/>
      <x:c r="G1938"/>
    </x:row>
    <x:row r="1939">
      <x:c r="A1939"/>
      <x:c r="B1939"/>
      <x:c r="C1939"/>
      <x:c r="D1939"/>
      <x:c r="E1939"/>
      <x:c r="F1939"/>
      <x:c r="G1939"/>
    </x:row>
    <x:row r="1940">
      <x:c r="A1940"/>
      <x:c r="B1940"/>
      <x:c r="C1940"/>
      <x:c r="D1940"/>
      <x:c r="E1940"/>
      <x:c r="F1940"/>
      <x:c r="G1940"/>
    </x:row>
    <x:row r="1941">
      <x:c r="A1941"/>
      <x:c r="B1941"/>
      <x:c r="C1941"/>
      <x:c r="D1941"/>
      <x:c r="E1941"/>
      <x:c r="F1941"/>
      <x:c r="G1941"/>
    </x:row>
    <x:row r="1942">
      <x:c r="A1942"/>
      <x:c r="B1942"/>
      <x:c r="C1942"/>
      <x:c r="D1942"/>
      <x:c r="E1942"/>
      <x:c r="F1942"/>
      <x:c r="G1942"/>
    </x:row>
    <x:row r="1943">
      <x:c r="A1943"/>
      <x:c r="B1943"/>
      <x:c r="C1943"/>
      <x:c r="D1943"/>
      <x:c r="E1943"/>
      <x:c r="F1943"/>
      <x:c r="G1943"/>
    </x:row>
    <x:row r="1944">
      <x:c r="A1944"/>
      <x:c r="B1944"/>
      <x:c r="C1944"/>
      <x:c r="D1944"/>
      <x:c r="E1944"/>
      <x:c r="F1944"/>
      <x:c r="G1944"/>
    </x:row>
    <x:row r="1945">
      <x:c r="A1945"/>
      <x:c r="B1945"/>
      <x:c r="C1945"/>
      <x:c r="D1945"/>
      <x:c r="E1945"/>
      <x:c r="F1945"/>
      <x:c r="G1945"/>
    </x:row>
    <x:row r="1946">
      <x:c r="A1946"/>
      <x:c r="B1946"/>
      <x:c r="C1946"/>
      <x:c r="D1946"/>
      <x:c r="E1946"/>
      <x:c r="F1946"/>
      <x:c r="G1946"/>
    </x:row>
    <x:row r="1947">
      <x:c r="A1947"/>
      <x:c r="B1947"/>
      <x:c r="C1947"/>
      <x:c r="D1947"/>
      <x:c r="E1947"/>
      <x:c r="F1947"/>
      <x:c r="G1947"/>
    </x:row>
    <x:row r="1948">
      <x:c r="A1948"/>
      <x:c r="B1948"/>
      <x:c r="C1948"/>
      <x:c r="D1948"/>
      <x:c r="E1948"/>
      <x:c r="F1948"/>
      <x:c r="G1948"/>
    </x:row>
    <x:row r="1949">
      <x:c r="A1949"/>
      <x:c r="B1949"/>
      <x:c r="C1949"/>
      <x:c r="D1949"/>
      <x:c r="E1949"/>
      <x:c r="F1949"/>
      <x:c r="G1949"/>
    </x:row>
    <x:row r="1950">
      <x:c r="A1950"/>
      <x:c r="B1950"/>
      <x:c r="C1950"/>
      <x:c r="D1950"/>
      <x:c r="E1950"/>
      <x:c r="F1950"/>
      <x:c r="G1950"/>
    </x:row>
    <x:row r="1951">
      <x:c r="A1951"/>
      <x:c r="B1951"/>
      <x:c r="C1951"/>
      <x:c r="D1951"/>
      <x:c r="E1951"/>
      <x:c r="F1951"/>
      <x:c r="G1951"/>
    </x:row>
    <x:row r="1952">
      <x:c r="A1952"/>
      <x:c r="B1952"/>
      <x:c r="C1952"/>
      <x:c r="D1952"/>
      <x:c r="E1952"/>
      <x:c r="F1952"/>
      <x:c r="G1952"/>
    </x:row>
    <x:row r="1953">
      <x:c r="A1953"/>
      <x:c r="B1953"/>
      <x:c r="C1953"/>
      <x:c r="D1953"/>
      <x:c r="E1953"/>
      <x:c r="F1953"/>
      <x:c r="G1953"/>
    </x:row>
    <x:row r="1954">
      <x:c r="A1954"/>
      <x:c r="B1954"/>
      <x:c r="C1954"/>
      <x:c r="D1954"/>
      <x:c r="E1954"/>
      <x:c r="F1954"/>
      <x:c r="G1954"/>
    </x:row>
    <x:row r="1955">
      <x:c r="A1955"/>
      <x:c r="B1955"/>
      <x:c r="C1955"/>
      <x:c r="D1955"/>
      <x:c r="E1955"/>
      <x:c r="F1955"/>
      <x:c r="G1955"/>
    </x:row>
    <x:row r="1956">
      <x:c r="A1956"/>
      <x:c r="B1956"/>
      <x:c r="C1956"/>
      <x:c r="D1956"/>
      <x:c r="E1956"/>
      <x:c r="F1956"/>
      <x:c r="G1956"/>
    </x:row>
    <x:row r="1957">
      <x:c r="A1957"/>
      <x:c r="B1957"/>
      <x:c r="C1957"/>
      <x:c r="D1957"/>
      <x:c r="E1957"/>
      <x:c r="F1957"/>
      <x:c r="G1957"/>
    </x:row>
    <x:row r="1958">
      <x:c r="A1958"/>
      <x:c r="B1958"/>
      <x:c r="C1958"/>
      <x:c r="D1958"/>
      <x:c r="E1958"/>
      <x:c r="F1958"/>
      <x:c r="G1958"/>
    </x:row>
    <x:row r="1959">
      <x:c r="A1959"/>
      <x:c r="B1959"/>
      <x:c r="C1959"/>
      <x:c r="D1959"/>
      <x:c r="E1959"/>
      <x:c r="F1959"/>
      <x:c r="G1959"/>
    </x:row>
    <x:row r="1960">
      <x:c r="A1960"/>
      <x:c r="B1960"/>
      <x:c r="C1960"/>
      <x:c r="D1960"/>
      <x:c r="E1960"/>
      <x:c r="F1960"/>
      <x:c r="G1960"/>
    </x:row>
    <x:row r="1961">
      <x:c r="A1961"/>
      <x:c r="B1961"/>
      <x:c r="C1961"/>
      <x:c r="D1961"/>
      <x:c r="E1961"/>
      <x:c r="F1961"/>
      <x:c r="G1961"/>
    </x:row>
    <x:row r="1962">
      <x:c r="A1962"/>
      <x:c r="B1962"/>
      <x:c r="C1962"/>
      <x:c r="D1962"/>
      <x:c r="E1962"/>
      <x:c r="F1962"/>
      <x:c r="G1962"/>
    </x:row>
    <x:row r="1963">
      <x:c r="A1963"/>
      <x:c r="B1963"/>
      <x:c r="C1963"/>
      <x:c r="D1963"/>
      <x:c r="E1963"/>
      <x:c r="F1963"/>
      <x:c r="G1963"/>
    </x:row>
    <x:row r="1964">
      <x:c r="A1964"/>
      <x:c r="B1964"/>
      <x:c r="C1964"/>
      <x:c r="D1964"/>
      <x:c r="E1964"/>
      <x:c r="F1964"/>
      <x:c r="G1964"/>
    </x:row>
    <x:row r="1965">
      <x:c r="A1965"/>
      <x:c r="B1965"/>
      <x:c r="C1965"/>
      <x:c r="D1965"/>
      <x:c r="E1965"/>
      <x:c r="F1965"/>
      <x:c r="G1965"/>
    </x:row>
    <x:row r="1966">
      <x:c r="A1966"/>
      <x:c r="B1966"/>
      <x:c r="C1966"/>
      <x:c r="D1966"/>
      <x:c r="E1966"/>
      <x:c r="F1966"/>
      <x:c r="G1966"/>
    </x:row>
    <x:row r="1967">
      <x:c r="A1967"/>
      <x:c r="B1967"/>
      <x:c r="C1967"/>
      <x:c r="D1967"/>
      <x:c r="E1967"/>
      <x:c r="F1967"/>
      <x:c r="G1967"/>
    </x:row>
    <x:row r="1968">
      <x:c r="A1968"/>
      <x:c r="B1968"/>
      <x:c r="C1968"/>
      <x:c r="D1968"/>
      <x:c r="E1968"/>
      <x:c r="F1968"/>
      <x:c r="G1968"/>
    </x:row>
    <x:row r="1969">
      <x:c r="A1969"/>
      <x:c r="B1969"/>
      <x:c r="C1969"/>
      <x:c r="D1969"/>
      <x:c r="E1969"/>
      <x:c r="F1969"/>
      <x:c r="G1969"/>
    </x:row>
    <x:row r="1970">
      <x:c r="A1970"/>
      <x:c r="B1970"/>
      <x:c r="C1970"/>
      <x:c r="D1970"/>
      <x:c r="E1970"/>
      <x:c r="F1970"/>
      <x:c r="G1970"/>
    </x:row>
    <x:row r="1971">
      <x:c r="A1971"/>
      <x:c r="B1971"/>
      <x:c r="C1971"/>
      <x:c r="D1971"/>
      <x:c r="E1971"/>
      <x:c r="F1971"/>
      <x:c r="G1971"/>
    </x:row>
    <x:row r="1972">
      <x:c r="A1972"/>
      <x:c r="B1972"/>
      <x:c r="C1972"/>
      <x:c r="D1972"/>
      <x:c r="E1972"/>
      <x:c r="F1972"/>
      <x:c r="G1972"/>
    </x:row>
    <x:row r="1973">
      <x:c r="A1973"/>
      <x:c r="B1973"/>
      <x:c r="C1973"/>
      <x:c r="D1973"/>
      <x:c r="E1973"/>
      <x:c r="F1973"/>
      <x:c r="G1973"/>
    </x:row>
    <x:row r="1974">
      <x:c r="A1974"/>
      <x:c r="B1974"/>
      <x:c r="C1974"/>
      <x:c r="D1974"/>
      <x:c r="E1974"/>
      <x:c r="F1974"/>
      <x:c r="G1974"/>
    </x:row>
    <x:row r="1975">
      <x:c r="A1975"/>
      <x:c r="B1975"/>
      <x:c r="C1975"/>
      <x:c r="D1975"/>
      <x:c r="E1975"/>
      <x:c r="F1975"/>
      <x:c r="G1975"/>
    </x:row>
    <x:row r="1976">
      <x:c r="A1976"/>
      <x:c r="B1976"/>
      <x:c r="C1976"/>
      <x:c r="D1976"/>
      <x:c r="E1976"/>
      <x:c r="F1976"/>
      <x:c r="G1976"/>
    </x:row>
    <x:row r="1977">
      <x:c r="A1977"/>
      <x:c r="B1977"/>
      <x:c r="C1977"/>
      <x:c r="D1977"/>
      <x:c r="E1977"/>
      <x:c r="F1977"/>
      <x:c r="G1977"/>
    </x:row>
    <x:row r="1978">
      <x:c r="A1978"/>
      <x:c r="B1978"/>
      <x:c r="C1978"/>
      <x:c r="D1978"/>
      <x:c r="E1978"/>
      <x:c r="F1978"/>
      <x:c r="G1978"/>
    </x:row>
    <x:row r="1979">
      <x:c r="A1979"/>
      <x:c r="B1979"/>
      <x:c r="C1979"/>
      <x:c r="D1979"/>
      <x:c r="E1979"/>
      <x:c r="F1979"/>
      <x:c r="G1979"/>
    </x:row>
    <x:row r="1980">
      <x:c r="A1980"/>
      <x:c r="B1980"/>
      <x:c r="C1980"/>
      <x:c r="D1980"/>
      <x:c r="E1980"/>
      <x:c r="F1980"/>
      <x:c r="G1980"/>
    </x:row>
    <x:row r="1981">
      <x:c r="A1981"/>
      <x:c r="B1981"/>
      <x:c r="C1981"/>
      <x:c r="D1981"/>
      <x:c r="E1981"/>
      <x:c r="F1981"/>
      <x:c r="G1981"/>
    </x:row>
    <x:row r="1982">
      <x:c r="A1982"/>
      <x:c r="B1982"/>
      <x:c r="C1982"/>
      <x:c r="D1982"/>
      <x:c r="E1982"/>
      <x:c r="F1982"/>
      <x:c r="G1982"/>
    </x:row>
    <x:row r="1983">
      <x:c r="A1983"/>
      <x:c r="B1983"/>
      <x:c r="C1983"/>
      <x:c r="D1983"/>
      <x:c r="E1983"/>
      <x:c r="F1983"/>
      <x:c r="G1983"/>
    </x:row>
    <x:row r="1984">
      <x:c r="A1984"/>
      <x:c r="B1984"/>
      <x:c r="C1984"/>
      <x:c r="D1984"/>
      <x:c r="E1984"/>
      <x:c r="F1984"/>
      <x:c r="G1984"/>
    </x:row>
    <x:row r="1985">
      <x:c r="A1985"/>
      <x:c r="B1985"/>
      <x:c r="C1985"/>
      <x:c r="D1985"/>
      <x:c r="E1985"/>
      <x:c r="F1985"/>
      <x:c r="G1985"/>
    </x:row>
    <x:row r="1986">
      <x:c r="A1986"/>
      <x:c r="B1986"/>
      <x:c r="C1986"/>
      <x:c r="D1986"/>
      <x:c r="E1986"/>
      <x:c r="F1986"/>
      <x:c r="G1986"/>
    </x:row>
    <x:row r="1987">
      <x:c r="A1987"/>
      <x:c r="B1987"/>
      <x:c r="C1987"/>
      <x:c r="D1987"/>
      <x:c r="E1987"/>
      <x:c r="F1987"/>
      <x:c r="G1987"/>
    </x:row>
    <x:row r="1988">
      <x:c r="A1988"/>
      <x:c r="B1988"/>
      <x:c r="C1988"/>
      <x:c r="D1988"/>
      <x:c r="E1988"/>
      <x:c r="F1988"/>
      <x:c r="G1988"/>
    </x:row>
    <x:row r="1989">
      <x:c r="A1989"/>
      <x:c r="B1989"/>
      <x:c r="C1989"/>
      <x:c r="D1989"/>
      <x:c r="E1989"/>
      <x:c r="F1989"/>
      <x:c r="G1989"/>
    </x:row>
    <x:row r="1990">
      <x:c r="A1990"/>
      <x:c r="B1990"/>
      <x:c r="C1990"/>
      <x:c r="D1990"/>
      <x:c r="E1990"/>
      <x:c r="F1990"/>
      <x:c r="G1990"/>
    </x:row>
    <x:row r="1991">
      <x:c r="A1991"/>
      <x:c r="B1991"/>
      <x:c r="C1991"/>
      <x:c r="D1991"/>
      <x:c r="E1991"/>
      <x:c r="F1991"/>
      <x:c r="G1991"/>
    </x:row>
    <x:row r="1992">
      <x:c r="A1992"/>
      <x:c r="B1992"/>
      <x:c r="C1992"/>
      <x:c r="D1992"/>
      <x:c r="E1992"/>
      <x:c r="F1992"/>
      <x:c r="G1992"/>
    </x:row>
    <x:row r="1993">
      <x:c r="A1993"/>
      <x:c r="B1993"/>
      <x:c r="C1993"/>
      <x:c r="D1993"/>
      <x:c r="E1993"/>
      <x:c r="F1993"/>
      <x:c r="G1993"/>
    </x:row>
    <x:row r="1994">
      <x:c r="A1994"/>
      <x:c r="B1994"/>
      <x:c r="C1994"/>
      <x:c r="D1994"/>
      <x:c r="E1994"/>
      <x:c r="F1994"/>
      <x:c r="G1994"/>
    </x:row>
    <x:row r="1995">
      <x:c r="A1995"/>
      <x:c r="B1995"/>
      <x:c r="C1995"/>
      <x:c r="D1995"/>
      <x:c r="E1995"/>
      <x:c r="F1995"/>
      <x:c r="G1995"/>
    </x:row>
    <x:row r="1996">
      <x:c r="A1996"/>
      <x:c r="B1996"/>
      <x:c r="C1996"/>
      <x:c r="D1996"/>
      <x:c r="E1996"/>
      <x:c r="F1996"/>
      <x:c r="G1996"/>
    </x:row>
    <x:row r="1997">
      <x:c r="A1997"/>
      <x:c r="B1997"/>
      <x:c r="C1997"/>
      <x:c r="D1997"/>
      <x:c r="E1997"/>
      <x:c r="F1997"/>
      <x:c r="G1997"/>
    </x:row>
    <x:row r="1998">
      <x:c r="A1998"/>
      <x:c r="B1998"/>
      <x:c r="C1998"/>
      <x:c r="D1998"/>
      <x:c r="E1998"/>
      <x:c r="F1998"/>
      <x:c r="G1998"/>
    </x:row>
    <x:row r="1999">
      <x:c r="A1999"/>
      <x:c r="B1999"/>
      <x:c r="C1999"/>
      <x:c r="D1999"/>
      <x:c r="E1999"/>
      <x:c r="F1999"/>
      <x:c r="G1999"/>
    </x:row>
    <x:row r="2000">
      <x:c r="A2000"/>
      <x:c r="B2000"/>
      <x:c r="C2000"/>
      <x:c r="D2000"/>
      <x:c r="E2000"/>
      <x:c r="F2000"/>
      <x:c r="G2000"/>
    </x:row>
    <x:row r="2001">
      <x:c r="A2001"/>
      <x:c r="B2001"/>
      <x:c r="C2001"/>
      <x:c r="D2001"/>
      <x:c r="E2001"/>
      <x:c r="F2001"/>
      <x:c r="G2001"/>
    </x:row>
    <x:row r="2002">
      <x:c r="A2002"/>
      <x:c r="B2002"/>
      <x:c r="C2002"/>
      <x:c r="D2002"/>
      <x:c r="E2002"/>
      <x:c r="F2002"/>
      <x:c r="G2002"/>
    </x:row>
    <x:row r="2003">
      <x:c r="A2003"/>
      <x:c r="B2003"/>
      <x:c r="C2003"/>
      <x:c r="D2003"/>
      <x:c r="E2003"/>
      <x:c r="F2003"/>
      <x:c r="G2003"/>
    </x:row>
    <x:row r="2004">
      <x:c r="A2004"/>
      <x:c r="B2004"/>
      <x:c r="C2004"/>
      <x:c r="D2004"/>
      <x:c r="E2004"/>
      <x:c r="F2004"/>
      <x:c r="G2004"/>
    </x:row>
    <x:row r="2005">
      <x:c r="A2005"/>
      <x:c r="B2005"/>
      <x:c r="C2005"/>
      <x:c r="D2005"/>
      <x:c r="E2005"/>
      <x:c r="F2005"/>
      <x:c r="G2005"/>
    </x:row>
    <x:row r="2006">
      <x:c r="A2006"/>
      <x:c r="B2006"/>
      <x:c r="C2006"/>
      <x:c r="D2006"/>
      <x:c r="E2006"/>
      <x:c r="F2006"/>
      <x:c r="G2006"/>
    </x:row>
    <x:row r="2007">
      <x:c r="A2007"/>
      <x:c r="B2007"/>
      <x:c r="C2007"/>
      <x:c r="D2007"/>
      <x:c r="E2007"/>
      <x:c r="F2007"/>
      <x:c r="G2007"/>
    </x:row>
    <x:row r="2008">
      <x:c r="A2008"/>
      <x:c r="B2008"/>
      <x:c r="C2008"/>
      <x:c r="D2008"/>
      <x:c r="E2008"/>
      <x:c r="F2008"/>
      <x:c r="G2008"/>
    </x:row>
    <x:row r="2009">
      <x:c r="A2009"/>
      <x:c r="B2009"/>
      <x:c r="C2009"/>
      <x:c r="D2009"/>
      <x:c r="E2009"/>
      <x:c r="F2009"/>
      <x:c r="G2009"/>
    </x:row>
    <x:row r="2010">
      <x:c r="A2010"/>
      <x:c r="B2010"/>
      <x:c r="C2010"/>
      <x:c r="D2010"/>
      <x:c r="E2010"/>
      <x:c r="F2010"/>
      <x:c r="G2010"/>
    </x:row>
    <x:row r="2011">
      <x:c r="A2011"/>
      <x:c r="B2011"/>
      <x:c r="C2011"/>
      <x:c r="D2011"/>
      <x:c r="E2011"/>
      <x:c r="F2011"/>
      <x:c r="G2011"/>
    </x:row>
    <x:row r="2012">
      <x:c r="A2012"/>
      <x:c r="B2012"/>
      <x:c r="C2012"/>
      <x:c r="D2012"/>
      <x:c r="E2012"/>
      <x:c r="F2012"/>
      <x:c r="G2012"/>
    </x:row>
    <x:row r="2013">
      <x:c r="A2013"/>
      <x:c r="B2013"/>
      <x:c r="C2013"/>
      <x:c r="D2013"/>
      <x:c r="E2013"/>
      <x:c r="F2013"/>
      <x:c r="G2013"/>
    </x:row>
    <x:row r="2014">
      <x:c r="A2014"/>
      <x:c r="B2014"/>
      <x:c r="C2014"/>
      <x:c r="D2014"/>
      <x:c r="E2014"/>
      <x:c r="F2014"/>
      <x:c r="G2014"/>
    </x:row>
    <x:row r="2015">
      <x:c r="A2015"/>
      <x:c r="B2015"/>
      <x:c r="C2015"/>
      <x:c r="D2015"/>
      <x:c r="E2015"/>
      <x:c r="F2015"/>
      <x:c r="G2015"/>
    </x:row>
    <x:row r="2016">
      <x:c r="A2016"/>
      <x:c r="B2016"/>
      <x:c r="C2016"/>
      <x:c r="D2016"/>
      <x:c r="E2016"/>
      <x:c r="F2016"/>
      <x:c r="G2016"/>
    </x:row>
    <x:row r="2017">
      <x:c r="A2017"/>
      <x:c r="B2017"/>
      <x:c r="C2017"/>
      <x:c r="D2017"/>
      <x:c r="E2017"/>
      <x:c r="F2017"/>
      <x:c r="G2017"/>
    </x:row>
    <x:row r="2018">
      <x:c r="A2018"/>
      <x:c r="B2018"/>
      <x:c r="C2018"/>
      <x:c r="D2018"/>
      <x:c r="E2018"/>
      <x:c r="F2018"/>
      <x:c r="G2018"/>
    </x:row>
    <x:row r="2019">
      <x:c r="A2019"/>
      <x:c r="B2019"/>
      <x:c r="C2019"/>
      <x:c r="D2019"/>
      <x:c r="E2019"/>
      <x:c r="F2019"/>
      <x:c r="G2019"/>
    </x:row>
    <x:row r="2020">
      <x:c r="A2020"/>
      <x:c r="B2020"/>
      <x:c r="C2020"/>
      <x:c r="D2020"/>
      <x:c r="E2020"/>
      <x:c r="F2020"/>
      <x:c r="G2020"/>
    </x:row>
    <x:row r="2021">
      <x:c r="A2021"/>
      <x:c r="B2021"/>
      <x:c r="C2021"/>
      <x:c r="D2021"/>
      <x:c r="E2021"/>
      <x:c r="F2021"/>
      <x:c r="G2021"/>
    </x:row>
    <x:row r="2022">
      <x:c r="A2022"/>
      <x:c r="B2022"/>
      <x:c r="C2022"/>
      <x:c r="D2022"/>
      <x:c r="E2022"/>
      <x:c r="F2022"/>
      <x:c r="G2022"/>
    </x:row>
    <x:row r="2023">
      <x:c r="A2023"/>
      <x:c r="B2023"/>
      <x:c r="C2023"/>
      <x:c r="D2023"/>
      <x:c r="E2023"/>
      <x:c r="F2023"/>
      <x:c r="G2023"/>
    </x:row>
    <x:row r="2024">
      <x:c r="A2024"/>
      <x:c r="B2024"/>
      <x:c r="C2024"/>
      <x:c r="D2024"/>
      <x:c r="E2024"/>
      <x:c r="F2024"/>
      <x:c r="G2024"/>
    </x:row>
    <x:row r="2025">
      <x:c r="A2025"/>
      <x:c r="B2025"/>
      <x:c r="C2025"/>
      <x:c r="D2025"/>
      <x:c r="E2025"/>
      <x:c r="F2025"/>
      <x:c r="G2025"/>
    </x:row>
    <x:row r="2026">
      <x:c r="A2026"/>
      <x:c r="B2026"/>
      <x:c r="C2026"/>
      <x:c r="D2026"/>
      <x:c r="E2026"/>
      <x:c r="F2026"/>
      <x:c r="G2026"/>
    </x:row>
    <x:row r="2027">
      <x:c r="A2027"/>
      <x:c r="B2027"/>
      <x:c r="C2027"/>
      <x:c r="D2027"/>
      <x:c r="E2027"/>
      <x:c r="F2027"/>
      <x:c r="G2027"/>
    </x:row>
    <x:row r="2028">
      <x:c r="A2028"/>
      <x:c r="B2028"/>
      <x:c r="C2028"/>
      <x:c r="D2028"/>
      <x:c r="E2028"/>
      <x:c r="F2028"/>
      <x:c r="G2028"/>
    </x:row>
    <x:row r="2029">
      <x:c r="A2029"/>
      <x:c r="B2029"/>
      <x:c r="C2029"/>
      <x:c r="D2029"/>
      <x:c r="E2029"/>
      <x:c r="F2029"/>
      <x:c r="G2029"/>
    </x:row>
    <x:row r="2030">
      <x:c r="A2030"/>
      <x:c r="B2030"/>
      <x:c r="C2030"/>
      <x:c r="D2030"/>
      <x:c r="E2030"/>
      <x:c r="F2030"/>
      <x:c r="G2030"/>
    </x:row>
    <x:row r="2031">
      <x:c r="A2031"/>
      <x:c r="B2031"/>
      <x:c r="C2031"/>
      <x:c r="D2031"/>
      <x:c r="E2031"/>
      <x:c r="F2031"/>
      <x:c r="G2031"/>
    </x:row>
    <x:row r="2032">
      <x:c r="A2032"/>
      <x:c r="B2032"/>
      <x:c r="C2032"/>
      <x:c r="D2032"/>
      <x:c r="E2032"/>
      <x:c r="F2032"/>
      <x:c r="G2032"/>
    </x:row>
    <x:row r="2033">
      <x:c r="A2033"/>
      <x:c r="B2033"/>
      <x:c r="C2033"/>
      <x:c r="D2033"/>
      <x:c r="E2033"/>
      <x:c r="F2033"/>
      <x:c r="G2033"/>
    </x:row>
    <x:row r="2034">
      <x:c r="A2034"/>
      <x:c r="B2034"/>
      <x:c r="C2034"/>
      <x:c r="D2034"/>
      <x:c r="E2034"/>
      <x:c r="F2034"/>
      <x:c r="G2034"/>
    </x:row>
    <x:row r="2035">
      <x:c r="A2035"/>
      <x:c r="B2035"/>
      <x:c r="C2035"/>
      <x:c r="D2035"/>
      <x:c r="E2035"/>
      <x:c r="F2035"/>
      <x:c r="G2035"/>
    </x:row>
    <x:row r="2036">
      <x:c r="A2036"/>
      <x:c r="B2036"/>
      <x:c r="C2036"/>
      <x:c r="D2036"/>
      <x:c r="E2036"/>
      <x:c r="F2036"/>
      <x:c r="G2036"/>
    </x:row>
    <x:row r="2037">
      <x:c r="A2037"/>
      <x:c r="B2037"/>
      <x:c r="C2037"/>
      <x:c r="D2037"/>
      <x:c r="E2037"/>
      <x:c r="F2037"/>
      <x:c r="G2037"/>
    </x:row>
    <x:row r="2038">
      <x:c r="A2038"/>
      <x:c r="B2038"/>
      <x:c r="C2038"/>
      <x:c r="D2038"/>
      <x:c r="E2038"/>
      <x:c r="F2038"/>
      <x:c r="G2038"/>
    </x:row>
    <x:row r="2039">
      <x:c r="A2039"/>
      <x:c r="B2039"/>
      <x:c r="C2039"/>
      <x:c r="D2039"/>
      <x:c r="E2039"/>
      <x:c r="F2039"/>
      <x:c r="G2039"/>
    </x:row>
    <x:row r="2040">
      <x:c r="A2040"/>
      <x:c r="B2040"/>
      <x:c r="C2040"/>
      <x:c r="D2040"/>
      <x:c r="E2040"/>
      <x:c r="F2040"/>
      <x:c r="G2040"/>
    </x:row>
    <x:row r="2041">
      <x:c r="A2041"/>
      <x:c r="B2041"/>
      <x:c r="C2041"/>
      <x:c r="D2041"/>
      <x:c r="E2041"/>
      <x:c r="F2041"/>
      <x:c r="G2041"/>
    </x:row>
    <x:row r="2042">
      <x:c r="A2042"/>
      <x:c r="B2042"/>
      <x:c r="C2042"/>
      <x:c r="D2042"/>
      <x:c r="E2042"/>
      <x:c r="F2042"/>
      <x:c r="G2042"/>
    </x:row>
    <x:row r="2043">
      <x:c r="A2043"/>
      <x:c r="B2043"/>
      <x:c r="C2043"/>
      <x:c r="D2043"/>
      <x:c r="E2043"/>
      <x:c r="F2043"/>
      <x:c r="G2043"/>
    </x:row>
    <x:row r="2044">
      <x:c r="A2044"/>
      <x:c r="B2044"/>
      <x:c r="C2044"/>
      <x:c r="D2044"/>
      <x:c r="E2044"/>
      <x:c r="F2044"/>
      <x:c r="G2044"/>
    </x:row>
    <x:row r="2045">
      <x:c r="A2045"/>
      <x:c r="B2045"/>
      <x:c r="C2045"/>
      <x:c r="D2045"/>
      <x:c r="E2045"/>
      <x:c r="F2045"/>
      <x:c r="G2045"/>
    </x:row>
    <x:row r="2046">
      <x:c r="A2046"/>
      <x:c r="B2046"/>
      <x:c r="C2046"/>
      <x:c r="D2046"/>
      <x:c r="E2046"/>
      <x:c r="F2046"/>
      <x:c r="G2046"/>
    </x:row>
    <x:row r="2047">
      <x:c r="A2047"/>
      <x:c r="B2047"/>
      <x:c r="C2047"/>
      <x:c r="D2047"/>
      <x:c r="E2047"/>
      <x:c r="F2047"/>
      <x:c r="G2047"/>
    </x:row>
    <x:row r="2048">
      <x:c r="A2048"/>
      <x:c r="B2048"/>
      <x:c r="C2048"/>
      <x:c r="D2048"/>
      <x:c r="E2048"/>
      <x:c r="F2048"/>
      <x:c r="G2048"/>
    </x:row>
    <x:row r="2049">
      <x:c r="A2049"/>
      <x:c r="B2049"/>
      <x:c r="C2049"/>
      <x:c r="D2049"/>
      <x:c r="E2049"/>
      <x:c r="F2049"/>
      <x:c r="G2049"/>
    </x:row>
    <x:row r="2050">
      <x:c r="A2050"/>
      <x:c r="B2050"/>
      <x:c r="C2050"/>
      <x:c r="D2050"/>
      <x:c r="E2050"/>
      <x:c r="F2050"/>
      <x:c r="G2050"/>
    </x:row>
    <x:row r="2051">
      <x:c r="A2051"/>
      <x:c r="B2051"/>
      <x:c r="C2051"/>
      <x:c r="D2051"/>
      <x:c r="E2051"/>
      <x:c r="F2051"/>
      <x:c r="G2051"/>
    </x:row>
    <x:row r="2052">
      <x:c r="A2052"/>
      <x:c r="B2052"/>
      <x:c r="C2052"/>
      <x:c r="D2052"/>
      <x:c r="E2052"/>
      <x:c r="F2052"/>
      <x:c r="G2052"/>
    </x:row>
    <x:row r="2053">
      <x:c r="A2053"/>
      <x:c r="B2053"/>
      <x:c r="C2053"/>
      <x:c r="D2053"/>
      <x:c r="E2053"/>
      <x:c r="F2053"/>
      <x:c r="G2053"/>
    </x:row>
    <x:row r="2054">
      <x:c r="A2054"/>
      <x:c r="B2054"/>
      <x:c r="C2054"/>
      <x:c r="D2054"/>
      <x:c r="E2054"/>
      <x:c r="F2054"/>
      <x:c r="G2054"/>
    </x:row>
    <x:row r="2055">
      <x:c r="A2055"/>
      <x:c r="B2055"/>
      <x:c r="C2055"/>
      <x:c r="D2055"/>
      <x:c r="E2055"/>
      <x:c r="F2055"/>
      <x:c r="G2055"/>
    </x:row>
    <x:row r="2056">
      <x:c r="A2056"/>
      <x:c r="B2056"/>
      <x:c r="C2056"/>
      <x:c r="D2056"/>
      <x:c r="E2056"/>
      <x:c r="F2056"/>
      <x:c r="G2056"/>
    </x:row>
    <x:row r="2057">
      <x:c r="A2057"/>
      <x:c r="B2057"/>
      <x:c r="C2057"/>
      <x:c r="D2057"/>
      <x:c r="E2057"/>
      <x:c r="F2057"/>
      <x:c r="G2057"/>
    </x:row>
    <x:row r="2058">
      <x:c r="A2058"/>
      <x:c r="B2058"/>
      <x:c r="C2058"/>
      <x:c r="D2058"/>
      <x:c r="E2058"/>
      <x:c r="F2058"/>
      <x:c r="G2058"/>
    </x:row>
    <x:row r="2059">
      <x:c r="A2059"/>
      <x:c r="B2059"/>
      <x:c r="C2059"/>
      <x:c r="D2059"/>
      <x:c r="E2059"/>
      <x:c r="F2059"/>
      <x:c r="G2059"/>
    </x:row>
    <x:row r="2060">
      <x:c r="A2060"/>
      <x:c r="B2060"/>
      <x:c r="C2060"/>
      <x:c r="D2060"/>
      <x:c r="E2060"/>
      <x:c r="F2060"/>
      <x:c r="G2060"/>
    </x:row>
    <x:row r="2061">
      <x:c r="A2061"/>
      <x:c r="B2061"/>
      <x:c r="C2061"/>
      <x:c r="D2061"/>
      <x:c r="E2061"/>
      <x:c r="F2061"/>
      <x:c r="G2061"/>
    </x:row>
    <x:row r="2062">
      <x:c r="A2062"/>
      <x:c r="B2062"/>
      <x:c r="C2062"/>
      <x:c r="D2062"/>
      <x:c r="E2062"/>
      <x:c r="F2062"/>
      <x:c r="G2062"/>
    </x:row>
    <x:row r="2063">
      <x:c r="A2063"/>
      <x:c r="B2063"/>
      <x:c r="C2063"/>
      <x:c r="D2063"/>
      <x:c r="E2063"/>
      <x:c r="F2063"/>
      <x:c r="G2063"/>
    </x:row>
    <x:row r="2064">
      <x:c r="A2064"/>
      <x:c r="B2064"/>
      <x:c r="C2064"/>
      <x:c r="D2064"/>
      <x:c r="E2064"/>
      <x:c r="F2064"/>
      <x:c r="G2064"/>
    </x:row>
    <x:row r="2065">
      <x:c r="A2065"/>
      <x:c r="B2065"/>
      <x:c r="C2065"/>
      <x:c r="D2065"/>
      <x:c r="E2065"/>
      <x:c r="F2065"/>
      <x:c r="G2065"/>
    </x:row>
    <x:row r="2066">
      <x:c r="A2066"/>
      <x:c r="B2066"/>
      <x:c r="C2066"/>
      <x:c r="D2066"/>
      <x:c r="E2066"/>
      <x:c r="F2066"/>
      <x:c r="G2066"/>
    </x:row>
    <x:row r="2067">
      <x:c r="A2067"/>
      <x:c r="B2067"/>
      <x:c r="C2067"/>
      <x:c r="D2067"/>
      <x:c r="E2067"/>
      <x:c r="F2067"/>
      <x:c r="G2067"/>
    </x:row>
    <x:row r="2068">
      <x:c r="A2068"/>
      <x:c r="B2068"/>
      <x:c r="C2068"/>
      <x:c r="D2068"/>
      <x:c r="E2068"/>
      <x:c r="F2068"/>
      <x:c r="G2068"/>
    </x:row>
    <x:row r="2069">
      <x:c r="A2069"/>
      <x:c r="B2069"/>
      <x:c r="C2069"/>
      <x:c r="D2069"/>
      <x:c r="E2069"/>
      <x:c r="F2069"/>
      <x:c r="G2069"/>
    </x:row>
    <x:row r="2070">
      <x:c r="A2070"/>
      <x:c r="B2070"/>
      <x:c r="C2070"/>
      <x:c r="D2070"/>
      <x:c r="E2070"/>
      <x:c r="F2070"/>
      <x:c r="G2070"/>
    </x:row>
    <x:row r="2071">
      <x:c r="A2071"/>
      <x:c r="B2071"/>
      <x:c r="C2071"/>
      <x:c r="D2071"/>
      <x:c r="E2071"/>
      <x:c r="F2071"/>
      <x:c r="G2071"/>
    </x:row>
    <x:row r="2072">
      <x:c r="A2072"/>
      <x:c r="B2072"/>
      <x:c r="C2072"/>
      <x:c r="D2072"/>
      <x:c r="E2072"/>
      <x:c r="F2072"/>
      <x:c r="G2072"/>
    </x:row>
    <x:row r="2073">
      <x:c r="A2073"/>
      <x:c r="B2073"/>
      <x:c r="C2073"/>
      <x:c r="D2073"/>
      <x:c r="E2073"/>
      <x:c r="F2073"/>
      <x:c r="G2073"/>
    </x:row>
    <x:row r="2074">
      <x:c r="A2074"/>
      <x:c r="B2074"/>
      <x:c r="C2074"/>
      <x:c r="D2074"/>
      <x:c r="E2074"/>
      <x:c r="F2074"/>
      <x:c r="G2074"/>
    </x:row>
    <x:row r="2075">
      <x:c r="A2075"/>
      <x:c r="B2075"/>
      <x:c r="C2075"/>
      <x:c r="D2075"/>
      <x:c r="E2075"/>
      <x:c r="F2075"/>
      <x:c r="G2075"/>
    </x:row>
    <x:row r="2076">
      <x:c r="A2076"/>
      <x:c r="B2076"/>
      <x:c r="C2076"/>
      <x:c r="D2076"/>
      <x:c r="E2076"/>
      <x:c r="F2076"/>
      <x:c r="G2076"/>
    </x:row>
    <x:row r="2077">
      <x:c r="A2077"/>
      <x:c r="B2077"/>
      <x:c r="C2077"/>
      <x:c r="D2077"/>
      <x:c r="E2077"/>
      <x:c r="F2077"/>
      <x:c r="G2077"/>
    </x:row>
    <x:row r="2078">
      <x:c r="A2078"/>
      <x:c r="B2078"/>
      <x:c r="C2078"/>
      <x:c r="D2078"/>
      <x:c r="E2078"/>
      <x:c r="F2078"/>
      <x:c r="G2078"/>
    </x:row>
    <x:row r="2079">
      <x:c r="A2079"/>
      <x:c r="B2079"/>
      <x:c r="C2079"/>
      <x:c r="D2079"/>
      <x:c r="E2079"/>
      <x:c r="F2079"/>
      <x:c r="G2079"/>
    </x:row>
    <x:row r="2080">
      <x:c r="A2080"/>
      <x:c r="B2080"/>
      <x:c r="C2080"/>
      <x:c r="D2080"/>
      <x:c r="E2080"/>
      <x:c r="F2080"/>
      <x:c r="G2080"/>
    </x:row>
    <x:row r="2081">
      <x:c r="A2081"/>
      <x:c r="B2081"/>
      <x:c r="C2081"/>
      <x:c r="D2081"/>
      <x:c r="E2081"/>
      <x:c r="F2081"/>
      <x:c r="G2081"/>
    </x:row>
    <x:row r="2082">
      <x:c r="A2082"/>
      <x:c r="B2082"/>
      <x:c r="C2082"/>
      <x:c r="D2082"/>
      <x:c r="E2082"/>
      <x:c r="F2082"/>
      <x:c r="G2082"/>
    </x:row>
    <x:row r="2083">
      <x:c r="A2083"/>
      <x:c r="B2083"/>
      <x:c r="C2083"/>
      <x:c r="D2083"/>
      <x:c r="E2083"/>
      <x:c r="F2083"/>
      <x:c r="G2083"/>
    </x:row>
    <x:row r="2084">
      <x:c r="A2084"/>
      <x:c r="B2084"/>
      <x:c r="C2084"/>
      <x:c r="D2084"/>
      <x:c r="E2084"/>
      <x:c r="F2084"/>
      <x:c r="G2084"/>
    </x:row>
    <x:row r="2085">
      <x:c r="A2085"/>
      <x:c r="B2085"/>
      <x:c r="C2085"/>
      <x:c r="D2085"/>
      <x:c r="E2085"/>
      <x:c r="F2085"/>
      <x:c r="G2085"/>
    </x:row>
    <x:row r="2086">
      <x:c r="A2086"/>
      <x:c r="B2086"/>
      <x:c r="C2086"/>
      <x:c r="D2086"/>
      <x:c r="E2086"/>
      <x:c r="F2086"/>
      <x:c r="G2086"/>
    </x:row>
    <x:row r="2087">
      <x:c r="A2087"/>
      <x:c r="B2087"/>
      <x:c r="C2087"/>
      <x:c r="D2087"/>
      <x:c r="E2087"/>
      <x:c r="F2087"/>
      <x:c r="G2087"/>
    </x:row>
    <x:row r="2088">
      <x:c r="A2088"/>
      <x:c r="B2088"/>
      <x:c r="C2088"/>
      <x:c r="D2088"/>
      <x:c r="E2088"/>
      <x:c r="F2088"/>
      <x:c r="G2088"/>
    </x:row>
    <x:row r="2089">
      <x:c r="A2089"/>
      <x:c r="B2089"/>
      <x:c r="C2089"/>
      <x:c r="D2089"/>
      <x:c r="E2089"/>
      <x:c r="F2089"/>
      <x:c r="G2089"/>
    </x:row>
    <x:row r="2090">
      <x:c r="A2090"/>
      <x:c r="B2090"/>
      <x:c r="C2090"/>
      <x:c r="D2090"/>
      <x:c r="E2090"/>
      <x:c r="F2090"/>
      <x:c r="G2090"/>
    </x:row>
    <x:row r="2091">
      <x:c r="A2091"/>
      <x:c r="B2091"/>
      <x:c r="C2091"/>
      <x:c r="D2091"/>
      <x:c r="E2091"/>
      <x:c r="F2091"/>
      <x:c r="G2091"/>
    </x:row>
    <x:row r="2092">
      <x:c r="A2092"/>
      <x:c r="B2092"/>
      <x:c r="C2092"/>
      <x:c r="D2092"/>
      <x:c r="E2092"/>
      <x:c r="F2092"/>
      <x:c r="G2092"/>
    </x:row>
    <x:row r="2093">
      <x:c r="A2093"/>
      <x:c r="B2093"/>
      <x:c r="C2093"/>
      <x:c r="D2093"/>
      <x:c r="E2093"/>
      <x:c r="F2093"/>
      <x:c r="G2093"/>
    </x:row>
    <x:row r="2094">
      <x:c r="A2094"/>
      <x:c r="B2094"/>
      <x:c r="C2094"/>
      <x:c r="D2094"/>
      <x:c r="E2094"/>
      <x:c r="F2094"/>
      <x:c r="G2094"/>
    </x:row>
    <x:row r="2095">
      <x:c r="A2095"/>
      <x:c r="B2095"/>
      <x:c r="C2095"/>
      <x:c r="D2095"/>
      <x:c r="E2095"/>
      <x:c r="F2095"/>
      <x:c r="G2095"/>
    </x:row>
    <x:row r="2096">
      <x:c r="A2096"/>
      <x:c r="B2096"/>
      <x:c r="C2096"/>
      <x:c r="D2096"/>
      <x:c r="E2096"/>
      <x:c r="F2096"/>
      <x:c r="G2096"/>
    </x:row>
    <x:row r="2097">
      <x:c r="A2097"/>
      <x:c r="B2097"/>
      <x:c r="C2097"/>
      <x:c r="D2097"/>
      <x:c r="E2097"/>
      <x:c r="F2097"/>
      <x:c r="G2097"/>
    </x:row>
    <x:row r="2098">
      <x:c r="A2098"/>
      <x:c r="B2098"/>
      <x:c r="C2098"/>
      <x:c r="D2098"/>
      <x:c r="E2098"/>
      <x:c r="F2098"/>
      <x:c r="G2098"/>
    </x:row>
    <x:row r="2099">
      <x:c r="A2099"/>
      <x:c r="B2099"/>
      <x:c r="C2099"/>
      <x:c r="D2099"/>
      <x:c r="E2099"/>
      <x:c r="F2099"/>
      <x:c r="G2099"/>
    </x:row>
    <x:row r="2100">
      <x:c r="A2100"/>
      <x:c r="B2100"/>
      <x:c r="C2100"/>
      <x:c r="D2100"/>
      <x:c r="E2100"/>
      <x:c r="F2100"/>
      <x:c r="G2100"/>
    </x:row>
    <x:row r="2101">
      <x:c r="A2101"/>
      <x:c r="B2101"/>
      <x:c r="C2101"/>
      <x:c r="D2101"/>
      <x:c r="E2101"/>
      <x:c r="F2101"/>
      <x:c r="G2101"/>
    </x:row>
    <x:row r="2102">
      <x:c r="A2102"/>
      <x:c r="B2102"/>
      <x:c r="C2102"/>
      <x:c r="D2102"/>
      <x:c r="E2102"/>
      <x:c r="F2102"/>
      <x:c r="G2102"/>
    </x:row>
    <x:row r="2103">
      <x:c r="A2103"/>
      <x:c r="B2103"/>
      <x:c r="C2103"/>
      <x:c r="D2103"/>
      <x:c r="E2103"/>
      <x:c r="F2103"/>
      <x:c r="G2103"/>
    </x:row>
    <x:row r="2104">
      <x:c r="A2104"/>
      <x:c r="B2104"/>
      <x:c r="C2104"/>
      <x:c r="D2104"/>
      <x:c r="E2104"/>
      <x:c r="F2104"/>
      <x:c r="G2104"/>
    </x:row>
    <x:row r="2105">
      <x:c r="A2105"/>
      <x:c r="B2105"/>
      <x:c r="C2105"/>
      <x:c r="D2105"/>
      <x:c r="E2105"/>
      <x:c r="F2105"/>
      <x:c r="G2105"/>
    </x:row>
    <x:row r="2106">
      <x:c r="A2106"/>
      <x:c r="B2106"/>
      <x:c r="C2106"/>
      <x:c r="D2106"/>
      <x:c r="E2106"/>
      <x:c r="F2106"/>
      <x:c r="G2106"/>
    </x:row>
    <x:row r="2107">
      <x:c r="A2107"/>
      <x:c r="B2107"/>
      <x:c r="C2107"/>
      <x:c r="D2107"/>
      <x:c r="E2107"/>
      <x:c r="F2107"/>
      <x:c r="G2107"/>
    </x:row>
    <x:row r="2108">
      <x:c r="A2108"/>
      <x:c r="B2108"/>
      <x:c r="C2108"/>
      <x:c r="D2108"/>
      <x:c r="E2108"/>
      <x:c r="F2108"/>
      <x:c r="G2108"/>
    </x:row>
    <x:row r="2109">
      <x:c r="A2109"/>
      <x:c r="B2109"/>
      <x:c r="C2109"/>
      <x:c r="D2109"/>
      <x:c r="E2109"/>
      <x:c r="F2109"/>
      <x:c r="G2109"/>
    </x:row>
    <x:row r="2110">
      <x:c r="A2110"/>
      <x:c r="B2110"/>
      <x:c r="C2110"/>
      <x:c r="D2110"/>
      <x:c r="E2110"/>
      <x:c r="F2110"/>
      <x:c r="G2110"/>
    </x:row>
    <x:row r="2111">
      <x:c r="A2111"/>
      <x:c r="B2111"/>
      <x:c r="C2111"/>
      <x:c r="D2111"/>
      <x:c r="E2111"/>
      <x:c r="F2111"/>
      <x:c r="G2111"/>
    </x:row>
    <x:row r="2112">
      <x:c r="A2112"/>
      <x:c r="B2112"/>
      <x:c r="C2112"/>
      <x:c r="D2112"/>
      <x:c r="E2112"/>
      <x:c r="F2112"/>
      <x:c r="G2112"/>
    </x:row>
    <x:row r="2113">
      <x:c r="A2113"/>
      <x:c r="B2113"/>
      <x:c r="C2113"/>
      <x:c r="D2113"/>
      <x:c r="E2113"/>
      <x:c r="F2113"/>
      <x:c r="G2113"/>
    </x:row>
    <x:row r="2114">
      <x:c r="A2114"/>
      <x:c r="B2114"/>
      <x:c r="C2114"/>
      <x:c r="D2114"/>
      <x:c r="E2114"/>
      <x:c r="F2114"/>
      <x:c r="G2114"/>
    </x:row>
    <x:row r="2115">
      <x:c r="A2115"/>
      <x:c r="B2115"/>
      <x:c r="C2115"/>
      <x:c r="D2115"/>
      <x:c r="E2115"/>
      <x:c r="F2115"/>
      <x:c r="G2115"/>
    </x:row>
    <x:row r="2116">
      <x:c r="A2116"/>
      <x:c r="B2116"/>
      <x:c r="C2116"/>
      <x:c r="D2116"/>
      <x:c r="E2116"/>
      <x:c r="F2116"/>
      <x:c r="G2116"/>
    </x:row>
    <x:row r="2117">
      <x:c r="A2117"/>
      <x:c r="B2117"/>
      <x:c r="C2117"/>
      <x:c r="D2117"/>
      <x:c r="E2117"/>
      <x:c r="F2117"/>
      <x:c r="G2117"/>
    </x:row>
    <x:row r="2118">
      <x:c r="A2118"/>
      <x:c r="B2118"/>
      <x:c r="C2118"/>
      <x:c r="D2118"/>
      <x:c r="E2118"/>
      <x:c r="F2118"/>
      <x:c r="G2118"/>
    </x:row>
    <x:row r="2119">
      <x:c r="A2119"/>
      <x:c r="B2119"/>
      <x:c r="C2119"/>
      <x:c r="D2119"/>
      <x:c r="E2119"/>
      <x:c r="F2119"/>
      <x:c r="G2119"/>
    </x:row>
    <x:row r="2120">
      <x:c r="A2120"/>
      <x:c r="B2120"/>
      <x:c r="C2120"/>
      <x:c r="D2120"/>
      <x:c r="E2120"/>
      <x:c r="F2120"/>
      <x:c r="G2120"/>
    </x:row>
    <x:row r="2121">
      <x:c r="A2121"/>
      <x:c r="B2121"/>
      <x:c r="C2121"/>
      <x:c r="D2121"/>
      <x:c r="E2121"/>
      <x:c r="F2121"/>
      <x:c r="G2121"/>
    </x:row>
    <x:row r="2122">
      <x:c r="A2122"/>
      <x:c r="B2122"/>
      <x:c r="C2122"/>
      <x:c r="D2122"/>
      <x:c r="E2122"/>
      <x:c r="F2122"/>
      <x:c r="G2122"/>
    </x:row>
    <x:row r="2123">
      <x:c r="A2123"/>
      <x:c r="B2123"/>
      <x:c r="C2123"/>
      <x:c r="D2123"/>
      <x:c r="E2123"/>
      <x:c r="F2123"/>
      <x:c r="G2123"/>
    </x:row>
    <x:row r="2124">
      <x:c r="A2124"/>
      <x:c r="B2124"/>
      <x:c r="C2124"/>
      <x:c r="D2124"/>
      <x:c r="E2124"/>
      <x:c r="F2124"/>
      <x:c r="G2124"/>
    </x:row>
    <x:row r="2125">
      <x:c r="A2125"/>
      <x:c r="B2125"/>
      <x:c r="C2125"/>
      <x:c r="D2125"/>
      <x:c r="E2125"/>
      <x:c r="F2125"/>
      <x:c r="G2125"/>
    </x:row>
    <x:row r="2126">
      <x:c r="A2126"/>
      <x:c r="B2126"/>
      <x:c r="C2126"/>
      <x:c r="D2126"/>
      <x:c r="E2126"/>
      <x:c r="F2126"/>
      <x:c r="G2126"/>
    </x:row>
    <x:row r="2127">
      <x:c r="A2127"/>
      <x:c r="B2127"/>
      <x:c r="C2127"/>
      <x:c r="D2127"/>
      <x:c r="E2127"/>
      <x:c r="F2127"/>
      <x:c r="G2127"/>
    </x:row>
    <x:row r="2128">
      <x:c r="A2128"/>
      <x:c r="B2128"/>
      <x:c r="C2128"/>
      <x:c r="D2128"/>
      <x:c r="E2128"/>
      <x:c r="F2128"/>
      <x:c r="G2128"/>
    </x:row>
    <x:row r="2129">
      <x:c r="A2129"/>
      <x:c r="B2129"/>
      <x:c r="C2129"/>
      <x:c r="D2129"/>
      <x:c r="E2129"/>
      <x:c r="F2129"/>
      <x:c r="G2129"/>
    </x:row>
    <x:row r="2130">
      <x:c r="A2130"/>
      <x:c r="B2130"/>
      <x:c r="C2130"/>
      <x:c r="D2130"/>
      <x:c r="E2130"/>
      <x:c r="F2130"/>
      <x:c r="G2130"/>
    </x:row>
    <x:row r="2131">
      <x:c r="A2131"/>
      <x:c r="B2131"/>
      <x:c r="C2131"/>
      <x:c r="D2131"/>
      <x:c r="E2131"/>
      <x:c r="F2131"/>
      <x:c r="G2131"/>
    </x:row>
    <x:row r="2132">
      <x:c r="A2132"/>
      <x:c r="B2132"/>
      <x:c r="C2132"/>
      <x:c r="D2132"/>
      <x:c r="E2132"/>
      <x:c r="F2132"/>
      <x:c r="G2132"/>
    </x:row>
    <x:row r="2133">
      <x:c r="A2133"/>
      <x:c r="B2133"/>
      <x:c r="C2133"/>
      <x:c r="D2133"/>
      <x:c r="E2133"/>
      <x:c r="F2133"/>
      <x:c r="G2133"/>
    </x:row>
    <x:row r="2134">
      <x:c r="A2134"/>
      <x:c r="B2134"/>
      <x:c r="C2134"/>
      <x:c r="D2134"/>
      <x:c r="E2134"/>
      <x:c r="F2134"/>
      <x:c r="G2134"/>
    </x:row>
    <x:row r="2135">
      <x:c r="A2135"/>
      <x:c r="B2135"/>
      <x:c r="C2135"/>
      <x:c r="D2135"/>
      <x:c r="E2135"/>
      <x:c r="F2135"/>
      <x:c r="G2135"/>
    </x:row>
    <x:row r="2136">
      <x:c r="A2136"/>
      <x:c r="B2136"/>
      <x:c r="C2136"/>
      <x:c r="D2136"/>
      <x:c r="E2136"/>
      <x:c r="F2136"/>
      <x:c r="G2136"/>
    </x:row>
    <x:row r="2137">
      <x:c r="A2137"/>
      <x:c r="B2137"/>
      <x:c r="C2137"/>
      <x:c r="D2137"/>
      <x:c r="E2137"/>
      <x:c r="F2137"/>
      <x:c r="G2137"/>
    </x:row>
    <x:row r="2138">
      <x:c r="A2138"/>
      <x:c r="B2138"/>
      <x:c r="C2138"/>
      <x:c r="D2138"/>
      <x:c r="E2138"/>
      <x:c r="F2138"/>
      <x:c r="G2138"/>
    </x:row>
    <x:row r="2139">
      <x:c r="A2139"/>
      <x:c r="B2139"/>
      <x:c r="C2139"/>
      <x:c r="D2139"/>
      <x:c r="E2139"/>
      <x:c r="F2139"/>
      <x:c r="G2139"/>
    </x:row>
    <x:row r="2140">
      <x:c r="A2140"/>
      <x:c r="B2140"/>
      <x:c r="C2140"/>
      <x:c r="D2140"/>
      <x:c r="E2140"/>
      <x:c r="F2140"/>
      <x:c r="G2140"/>
    </x:row>
    <x:row r="2141">
      <x:c r="A2141"/>
      <x:c r="B2141"/>
      <x:c r="C2141"/>
      <x:c r="D2141"/>
      <x:c r="E2141"/>
      <x:c r="F2141"/>
      <x:c r="G2141"/>
    </x:row>
    <x:row r="2142">
      <x:c r="A2142"/>
      <x:c r="B2142"/>
      <x:c r="C2142"/>
      <x:c r="D2142"/>
      <x:c r="E2142"/>
      <x:c r="F2142"/>
      <x:c r="G2142"/>
    </x:row>
    <x:row r="2143">
      <x:c r="A2143"/>
      <x:c r="B2143"/>
      <x:c r="C2143"/>
      <x:c r="D2143"/>
      <x:c r="E2143"/>
      <x:c r="F2143"/>
      <x:c r="G2143"/>
    </x:row>
    <x:row r="2144">
      <x:c r="A2144"/>
      <x:c r="B2144"/>
      <x:c r="C2144"/>
      <x:c r="D2144"/>
      <x:c r="E2144"/>
      <x:c r="F2144"/>
      <x:c r="G2144"/>
    </x:row>
    <x:row r="2145">
      <x:c r="A2145"/>
      <x:c r="B2145"/>
      <x:c r="C2145"/>
      <x:c r="D2145"/>
      <x:c r="E2145"/>
      <x:c r="F2145"/>
      <x:c r="G2145"/>
    </x:row>
    <x:row r="2146">
      <x:c r="A2146"/>
      <x:c r="B2146"/>
      <x:c r="C2146"/>
      <x:c r="D2146"/>
      <x:c r="E2146"/>
      <x:c r="F2146"/>
      <x:c r="G2146"/>
    </x:row>
    <x:row r="2147">
      <x:c r="A2147"/>
      <x:c r="B2147"/>
      <x:c r="C2147"/>
      <x:c r="D2147"/>
      <x:c r="E2147"/>
      <x:c r="F2147"/>
      <x:c r="G2147"/>
    </x:row>
    <x:row r="2148">
      <x:c r="A2148"/>
      <x:c r="B2148"/>
      <x:c r="C2148"/>
      <x:c r="D2148"/>
      <x:c r="E2148"/>
      <x:c r="F2148"/>
      <x:c r="G2148"/>
    </x:row>
    <x:row r="2149">
      <x:c r="A2149"/>
      <x:c r="B2149"/>
      <x:c r="C2149"/>
      <x:c r="D2149"/>
      <x:c r="E2149"/>
      <x:c r="F2149"/>
      <x:c r="G2149"/>
    </x:row>
    <x:row r="2150">
      <x:c r="A2150"/>
      <x:c r="B2150"/>
      <x:c r="C2150"/>
      <x:c r="D2150"/>
      <x:c r="E2150"/>
      <x:c r="F2150"/>
      <x:c r="G2150"/>
    </x:row>
    <x:row r="2151">
      <x:c r="A2151"/>
      <x:c r="B2151"/>
      <x:c r="C2151"/>
      <x:c r="D2151"/>
      <x:c r="E2151"/>
      <x:c r="F2151"/>
      <x:c r="G2151"/>
    </x:row>
    <x:row r="2152">
      <x:c r="A2152"/>
      <x:c r="B2152"/>
      <x:c r="C2152"/>
      <x:c r="D2152"/>
      <x:c r="E2152"/>
      <x:c r="F2152"/>
      <x:c r="G2152"/>
    </x:row>
    <x:row r="2153">
      <x:c r="A2153"/>
      <x:c r="B2153"/>
      <x:c r="C2153"/>
      <x:c r="D2153"/>
      <x:c r="E2153"/>
      <x:c r="F2153"/>
      <x:c r="G2153"/>
    </x:row>
    <x:row r="2154">
      <x:c r="A2154"/>
      <x:c r="B2154"/>
      <x:c r="C2154"/>
      <x:c r="D2154"/>
      <x:c r="E2154"/>
      <x:c r="F2154"/>
      <x:c r="G2154"/>
    </x:row>
    <x:row r="2155">
      <x:c r="A2155"/>
      <x:c r="B2155"/>
      <x:c r="C2155"/>
      <x:c r="D2155"/>
      <x:c r="E2155"/>
      <x:c r="F2155"/>
      <x:c r="G2155"/>
    </x:row>
    <x:row r="2156">
      <x:c r="A2156"/>
      <x:c r="B2156"/>
      <x:c r="C2156"/>
      <x:c r="D2156"/>
      <x:c r="E2156"/>
      <x:c r="F2156"/>
      <x:c r="G2156"/>
    </x:row>
    <x:row r="2157">
      <x:c r="A2157"/>
      <x:c r="B2157"/>
      <x:c r="C2157"/>
      <x:c r="D2157"/>
      <x:c r="E2157"/>
      <x:c r="F2157"/>
      <x:c r="G2157"/>
    </x:row>
    <x:row r="2158">
      <x:c r="A2158"/>
      <x:c r="B2158"/>
      <x:c r="C2158"/>
      <x:c r="D2158"/>
      <x:c r="E2158"/>
      <x:c r="F2158"/>
      <x:c r="G2158"/>
    </x:row>
    <x:row r="2159">
      <x:c r="A2159"/>
      <x:c r="B2159"/>
      <x:c r="C2159"/>
      <x:c r="D2159"/>
      <x:c r="E2159"/>
      <x:c r="F2159"/>
      <x:c r="G2159"/>
    </x:row>
    <x:row r="2160">
      <x:c r="A2160"/>
      <x:c r="B2160"/>
      <x:c r="C2160"/>
      <x:c r="D2160"/>
      <x:c r="E2160"/>
      <x:c r="F2160"/>
      <x:c r="G2160"/>
    </x:row>
    <x:row r="2161">
      <x:c r="A2161"/>
      <x:c r="B2161"/>
      <x:c r="C2161"/>
      <x:c r="D2161"/>
      <x:c r="E2161"/>
      <x:c r="F2161"/>
      <x:c r="G2161"/>
    </x:row>
    <x:row r="2162">
      <x:c r="A2162"/>
      <x:c r="B2162"/>
      <x:c r="C2162"/>
      <x:c r="D2162"/>
      <x:c r="E2162"/>
      <x:c r="F2162"/>
      <x:c r="G2162"/>
    </x:row>
    <x:row r="2163">
      <x:c r="A2163"/>
      <x:c r="B2163"/>
      <x:c r="C2163"/>
      <x:c r="D2163"/>
      <x:c r="E2163"/>
      <x:c r="F2163"/>
      <x:c r="G2163"/>
    </x:row>
    <x:row r="2164">
      <x:c r="A2164"/>
      <x:c r="B2164"/>
      <x:c r="C2164"/>
      <x:c r="D2164"/>
      <x:c r="E2164"/>
      <x:c r="F2164"/>
      <x:c r="G2164"/>
    </x:row>
    <x:row r="2165">
      <x:c r="A2165"/>
      <x:c r="B2165"/>
      <x:c r="C2165"/>
      <x:c r="D2165"/>
      <x:c r="E2165"/>
      <x:c r="F2165"/>
      <x:c r="G2165"/>
    </x:row>
    <x:row r="2166">
      <x:c r="A2166"/>
      <x:c r="B2166"/>
      <x:c r="C2166"/>
      <x:c r="D2166"/>
      <x:c r="E2166"/>
      <x:c r="F2166"/>
      <x:c r="G2166"/>
    </x:row>
    <x:row r="2167">
      <x:c r="A2167"/>
      <x:c r="B2167"/>
      <x:c r="C2167"/>
      <x:c r="D2167"/>
      <x:c r="E2167"/>
      <x:c r="F2167"/>
      <x:c r="G2167"/>
    </x:row>
    <x:row r="2168">
      <x:c r="A2168"/>
      <x:c r="B2168"/>
      <x:c r="C2168"/>
      <x:c r="D2168"/>
      <x:c r="E2168"/>
      <x:c r="F2168"/>
      <x:c r="G2168"/>
    </x:row>
    <x:row r="2169">
      <x:c r="A2169"/>
      <x:c r="B2169"/>
      <x:c r="C2169"/>
      <x:c r="D2169"/>
      <x:c r="E2169"/>
      <x:c r="F2169"/>
      <x:c r="G2169"/>
    </x:row>
    <x:row r="2170">
      <x:c r="A2170"/>
      <x:c r="B2170"/>
      <x:c r="C2170"/>
      <x:c r="D2170"/>
      <x:c r="E2170"/>
      <x:c r="F2170"/>
      <x:c r="G2170"/>
    </x:row>
    <x:row r="2171">
      <x:c r="A2171"/>
      <x:c r="B2171"/>
      <x:c r="C2171"/>
      <x:c r="D2171"/>
      <x:c r="E2171"/>
      <x:c r="F2171"/>
      <x:c r="G2171"/>
    </x:row>
    <x:row r="2172">
      <x:c r="A2172"/>
      <x:c r="B2172"/>
      <x:c r="C2172"/>
      <x:c r="D2172"/>
      <x:c r="E2172"/>
      <x:c r="F2172"/>
      <x:c r="G2172"/>
    </x:row>
    <x:row r="2173">
      <x:c r="A2173"/>
      <x:c r="B2173"/>
      <x:c r="C2173"/>
      <x:c r="D2173"/>
      <x:c r="E2173"/>
      <x:c r="F2173"/>
      <x:c r="G2173"/>
    </x:row>
    <x:row r="2174">
      <x:c r="A2174"/>
      <x:c r="B2174"/>
      <x:c r="C2174"/>
      <x:c r="D2174"/>
      <x:c r="E2174"/>
      <x:c r="F2174"/>
      <x:c r="G2174"/>
    </x:row>
    <x:row r="2175">
      <x:c r="A2175"/>
      <x:c r="B2175"/>
      <x:c r="C2175"/>
      <x:c r="D2175"/>
      <x:c r="E2175"/>
      <x:c r="F2175"/>
      <x:c r="G2175"/>
    </x:row>
    <x:row r="2176">
      <x:c r="A2176"/>
      <x:c r="B2176"/>
      <x:c r="C2176"/>
      <x:c r="D2176"/>
      <x:c r="E2176"/>
      <x:c r="F2176"/>
      <x:c r="G2176"/>
    </x:row>
    <x:row r="2177">
      <x:c r="A2177"/>
      <x:c r="B2177"/>
      <x:c r="C2177"/>
      <x:c r="D2177"/>
      <x:c r="E2177"/>
      <x:c r="F2177"/>
      <x:c r="G2177"/>
    </x:row>
    <x:row r="2178">
      <x:c r="A2178"/>
      <x:c r="B2178"/>
      <x:c r="C2178"/>
      <x:c r="D2178"/>
      <x:c r="E2178"/>
      <x:c r="F2178"/>
      <x:c r="G2178"/>
    </x:row>
    <x:row r="2179">
      <x:c r="A2179"/>
      <x:c r="B2179"/>
      <x:c r="C2179"/>
      <x:c r="D2179"/>
      <x:c r="E2179"/>
      <x:c r="F2179"/>
      <x:c r="G2179"/>
    </x:row>
    <x:row r="2180">
      <x:c r="A2180"/>
      <x:c r="B2180"/>
      <x:c r="C2180"/>
      <x:c r="D2180"/>
      <x:c r="E2180"/>
      <x:c r="F2180"/>
      <x:c r="G2180"/>
    </x:row>
    <x:row r="2181">
      <x:c r="A2181"/>
      <x:c r="B2181"/>
      <x:c r="C2181"/>
      <x:c r="D2181"/>
      <x:c r="E2181"/>
      <x:c r="F2181"/>
      <x:c r="G2181"/>
    </x:row>
    <x:row r="2182">
      <x:c r="A2182"/>
      <x:c r="B2182"/>
      <x:c r="C2182"/>
      <x:c r="D2182"/>
      <x:c r="E2182"/>
      <x:c r="F2182"/>
      <x:c r="G2182"/>
    </x:row>
    <x:row r="2183">
      <x:c r="A2183"/>
      <x:c r="B2183"/>
      <x:c r="C2183"/>
      <x:c r="D2183"/>
      <x:c r="E2183"/>
      <x:c r="F2183"/>
      <x:c r="G2183"/>
    </x:row>
    <x:row r="2184">
      <x:c r="A2184"/>
      <x:c r="B2184"/>
      <x:c r="C2184"/>
      <x:c r="D2184"/>
      <x:c r="E2184"/>
      <x:c r="F2184"/>
      <x:c r="G2184"/>
    </x:row>
    <x:row r="2185">
      <x:c r="A2185"/>
      <x:c r="B2185"/>
      <x:c r="C2185"/>
      <x:c r="D2185"/>
      <x:c r="E2185"/>
      <x:c r="F2185"/>
      <x:c r="G2185"/>
    </x:row>
    <x:row r="2186">
      <x:c r="A2186"/>
      <x:c r="B2186"/>
      <x:c r="C2186"/>
      <x:c r="D2186"/>
      <x:c r="E2186"/>
      <x:c r="F2186"/>
      <x:c r="G2186"/>
    </x:row>
    <x:row r="2187">
      <x:c r="A2187"/>
      <x:c r="B2187"/>
      <x:c r="C2187"/>
      <x:c r="D2187"/>
      <x:c r="E2187"/>
      <x:c r="F2187"/>
      <x:c r="G2187"/>
    </x:row>
    <x:row r="2188">
      <x:c r="A2188"/>
      <x:c r="B2188"/>
      <x:c r="C2188"/>
      <x:c r="D2188"/>
      <x:c r="E2188"/>
      <x:c r="F2188"/>
      <x:c r="G2188"/>
    </x:row>
    <x:row r="2189">
      <x:c r="A2189"/>
      <x:c r="B2189"/>
      <x:c r="C2189"/>
      <x:c r="D2189"/>
      <x:c r="E2189"/>
      <x:c r="F2189"/>
      <x:c r="G2189"/>
    </x:row>
    <x:row r="2190">
      <x:c r="A2190"/>
      <x:c r="B2190"/>
      <x:c r="C2190"/>
      <x:c r="D2190"/>
      <x:c r="E2190"/>
      <x:c r="F2190"/>
      <x:c r="G2190"/>
    </x:row>
    <x:row r="2191">
      <x:c r="A2191"/>
      <x:c r="B2191"/>
      <x:c r="C2191"/>
      <x:c r="D2191"/>
      <x:c r="E2191"/>
      <x:c r="F2191"/>
      <x:c r="G2191"/>
    </x:row>
    <x:row r="2192">
      <x:c r="A2192"/>
      <x:c r="B2192"/>
      <x:c r="C2192"/>
      <x:c r="D2192"/>
      <x:c r="E2192"/>
      <x:c r="F2192"/>
      <x:c r="G2192"/>
    </x:row>
    <x:row r="2193">
      <x:c r="A2193"/>
      <x:c r="B2193"/>
      <x:c r="C2193"/>
      <x:c r="D2193"/>
      <x:c r="E2193"/>
      <x:c r="F2193"/>
      <x:c r="G2193"/>
    </x:row>
    <x:row r="2194">
      <x:c r="A2194"/>
      <x:c r="B2194"/>
      <x:c r="C2194"/>
      <x:c r="D2194"/>
      <x:c r="E2194"/>
      <x:c r="F2194"/>
      <x:c r="G2194"/>
    </x:row>
    <x:row r="2195">
      <x:c r="A2195"/>
      <x:c r="B2195"/>
      <x:c r="C2195"/>
      <x:c r="D2195"/>
      <x:c r="E2195"/>
      <x:c r="F2195"/>
      <x:c r="G2195"/>
    </x:row>
    <x:row r="2196">
      <x:c r="A2196"/>
      <x:c r="B2196"/>
      <x:c r="C2196"/>
      <x:c r="D2196"/>
      <x:c r="E2196"/>
      <x:c r="F2196"/>
      <x:c r="G2196"/>
    </x:row>
    <x:row r="2197">
      <x:c r="A2197"/>
      <x:c r="B2197"/>
      <x:c r="C2197"/>
      <x:c r="D2197"/>
      <x:c r="E2197"/>
      <x:c r="F2197"/>
      <x:c r="G2197"/>
    </x:row>
    <x:row r="2198">
      <x:c r="A2198"/>
      <x:c r="B2198"/>
      <x:c r="C2198"/>
      <x:c r="D2198"/>
      <x:c r="E2198"/>
      <x:c r="F2198"/>
      <x:c r="G2198"/>
    </x:row>
    <x:row r="2199">
      <x:c r="A2199"/>
      <x:c r="B2199"/>
      <x:c r="C2199"/>
      <x:c r="D2199"/>
      <x:c r="E2199"/>
      <x:c r="F2199"/>
      <x:c r="G2199"/>
    </x:row>
    <x:row r="2200">
      <x:c r="A2200"/>
      <x:c r="B2200"/>
      <x:c r="C2200"/>
      <x:c r="D2200"/>
      <x:c r="E2200"/>
      <x:c r="F2200"/>
      <x:c r="G2200"/>
    </x:row>
    <x:row r="2201">
      <x:c r="A2201"/>
      <x:c r="B2201"/>
      <x:c r="C2201"/>
      <x:c r="D2201"/>
      <x:c r="E2201"/>
      <x:c r="F2201"/>
      <x:c r="G2201"/>
    </x:row>
    <x:row r="2202">
      <x:c r="A2202"/>
      <x:c r="B2202"/>
      <x:c r="C2202"/>
      <x:c r="D2202"/>
      <x:c r="E2202"/>
      <x:c r="F2202"/>
      <x:c r="G2202"/>
    </x:row>
    <x:row r="2203">
      <x:c r="A2203"/>
      <x:c r="B2203"/>
      <x:c r="C2203"/>
      <x:c r="D2203"/>
      <x:c r="E2203"/>
      <x:c r="F2203"/>
      <x:c r="G2203"/>
    </x:row>
    <x:row r="2204">
      <x:c r="A2204"/>
      <x:c r="B2204"/>
      <x:c r="C2204"/>
      <x:c r="D2204"/>
      <x:c r="E2204"/>
      <x:c r="F2204"/>
      <x:c r="G2204"/>
    </x:row>
    <x:row r="2205">
      <x:c r="A2205"/>
      <x:c r="B2205"/>
      <x:c r="C2205"/>
      <x:c r="D2205"/>
      <x:c r="E2205"/>
      <x:c r="F2205"/>
      <x:c r="G2205"/>
    </x:row>
    <x:row r="2206">
      <x:c r="A2206"/>
      <x:c r="B2206"/>
      <x:c r="C2206"/>
      <x:c r="D2206"/>
      <x:c r="E2206"/>
      <x:c r="F2206"/>
      <x:c r="G2206"/>
    </x:row>
    <x:row r="2207">
      <x:c r="A2207"/>
      <x:c r="B2207"/>
      <x:c r="C2207"/>
      <x:c r="D2207"/>
      <x:c r="E2207"/>
      <x:c r="F2207"/>
      <x:c r="G2207"/>
    </x:row>
    <x:row r="2208">
      <x:c r="A2208"/>
      <x:c r="B2208"/>
      <x:c r="C2208"/>
      <x:c r="D2208"/>
      <x:c r="E2208"/>
      <x:c r="F2208"/>
      <x:c r="G2208"/>
    </x:row>
    <x:row r="2209">
      <x:c r="A2209"/>
      <x:c r="B2209"/>
      <x:c r="C2209"/>
      <x:c r="D2209"/>
      <x:c r="E2209"/>
      <x:c r="F2209"/>
      <x:c r="G2209"/>
    </x:row>
    <x:row r="2210">
      <x:c r="A2210"/>
      <x:c r="B2210"/>
      <x:c r="C2210"/>
      <x:c r="D2210"/>
      <x:c r="E2210"/>
      <x:c r="F2210"/>
      <x:c r="G2210"/>
    </x:row>
    <x:row r="2211">
      <x:c r="A2211"/>
      <x:c r="B2211"/>
      <x:c r="C2211"/>
      <x:c r="D2211"/>
      <x:c r="E2211"/>
      <x:c r="F2211"/>
      <x:c r="G2211"/>
    </x:row>
    <x:row r="2212">
      <x:c r="A2212"/>
      <x:c r="B2212"/>
      <x:c r="C2212"/>
      <x:c r="D2212"/>
      <x:c r="E2212"/>
      <x:c r="F2212"/>
      <x:c r="G2212"/>
    </x:row>
    <x:row r="2213">
      <x:c r="A2213"/>
      <x:c r="B2213"/>
      <x:c r="C2213"/>
      <x:c r="D2213"/>
      <x:c r="E2213"/>
      <x:c r="F2213"/>
      <x:c r="G2213"/>
    </x:row>
    <x:row r="2214">
      <x:c r="A2214"/>
      <x:c r="B2214"/>
      <x:c r="C2214"/>
      <x:c r="D2214"/>
      <x:c r="E2214"/>
      <x:c r="F2214"/>
      <x:c r="G2214"/>
    </x:row>
    <x:row r="2215">
      <x:c r="A2215"/>
      <x:c r="B2215"/>
      <x:c r="C2215"/>
      <x:c r="D2215"/>
      <x:c r="E2215"/>
      <x:c r="F2215"/>
      <x:c r="G2215"/>
    </x:row>
    <x:row r="2216">
      <x:c r="A2216"/>
      <x:c r="B2216"/>
      <x:c r="C2216"/>
      <x:c r="D2216"/>
      <x:c r="E2216"/>
      <x:c r="F2216"/>
      <x:c r="G2216"/>
    </x:row>
    <x:row r="2217">
      <x:c r="A2217"/>
      <x:c r="B2217"/>
      <x:c r="C2217"/>
      <x:c r="D2217"/>
      <x:c r="E2217"/>
      <x:c r="F2217"/>
      <x:c r="G2217"/>
    </x:row>
    <x:row r="2218">
      <x:c r="A2218"/>
      <x:c r="B2218"/>
      <x:c r="C2218"/>
      <x:c r="D2218"/>
      <x:c r="E2218"/>
      <x:c r="F2218"/>
      <x:c r="G2218"/>
    </x:row>
    <x:row r="2219">
      <x:c r="A2219"/>
      <x:c r="B2219"/>
      <x:c r="C2219"/>
      <x:c r="D2219"/>
      <x:c r="E2219"/>
      <x:c r="F2219"/>
      <x:c r="G2219"/>
    </x:row>
    <x:row r="2220">
      <x:c r="A2220"/>
      <x:c r="B2220"/>
      <x:c r="C2220"/>
      <x:c r="D2220"/>
      <x:c r="E2220"/>
      <x:c r="F2220"/>
      <x:c r="G2220"/>
    </x:row>
    <x:row r="2221">
      <x:c r="A2221"/>
      <x:c r="B2221"/>
      <x:c r="C2221"/>
      <x:c r="D2221"/>
      <x:c r="E2221"/>
      <x:c r="F2221"/>
      <x:c r="G2221"/>
    </x:row>
    <x:row r="2222">
      <x:c r="A2222"/>
      <x:c r="B2222"/>
      <x:c r="C2222"/>
      <x:c r="D2222"/>
      <x:c r="E2222"/>
      <x:c r="F2222"/>
      <x:c r="G2222"/>
    </x:row>
    <x:row r="2223">
      <x:c r="A2223"/>
      <x:c r="B2223"/>
      <x:c r="C2223"/>
      <x:c r="D2223"/>
      <x:c r="E2223"/>
      <x:c r="F2223"/>
      <x:c r="G2223"/>
    </x:row>
    <x:row r="2224">
      <x:c r="A2224"/>
      <x:c r="B2224"/>
      <x:c r="C2224"/>
      <x:c r="D2224"/>
      <x:c r="E2224"/>
      <x:c r="F2224"/>
      <x:c r="G2224"/>
    </x:row>
    <x:row r="2225">
      <x:c r="A2225"/>
      <x:c r="B2225"/>
      <x:c r="C2225"/>
      <x:c r="D2225"/>
      <x:c r="E2225"/>
      <x:c r="F2225"/>
      <x:c r="G2225"/>
    </x:row>
    <x:row r="2226">
      <x:c r="A2226"/>
      <x:c r="B2226"/>
      <x:c r="C2226"/>
      <x:c r="D2226"/>
      <x:c r="E2226"/>
      <x:c r="F2226"/>
      <x:c r="G2226"/>
    </x:row>
    <x:row r="2227">
      <x:c r="A2227"/>
      <x:c r="B2227"/>
      <x:c r="C2227"/>
      <x:c r="D2227"/>
      <x:c r="E2227"/>
      <x:c r="F2227"/>
      <x:c r="G2227"/>
    </x:row>
    <x:row r="2228">
      <x:c r="A2228"/>
      <x:c r="B2228"/>
      <x:c r="C2228"/>
      <x:c r="D2228"/>
      <x:c r="E2228"/>
      <x:c r="F2228"/>
      <x:c r="G2228"/>
    </x:row>
    <x:row r="2229">
      <x:c r="A2229"/>
      <x:c r="B2229"/>
      <x:c r="C2229"/>
      <x:c r="D2229"/>
      <x:c r="E2229"/>
      <x:c r="F2229"/>
      <x:c r="G2229"/>
    </x:row>
    <x:row r="2230">
      <x:c r="A2230"/>
      <x:c r="B2230"/>
      <x:c r="C2230"/>
      <x:c r="D2230"/>
      <x:c r="E2230"/>
      <x:c r="F2230"/>
      <x:c r="G2230"/>
    </x:row>
    <x:row r="2231">
      <x:c r="A2231"/>
      <x:c r="B2231"/>
      <x:c r="C2231"/>
      <x:c r="D2231"/>
      <x:c r="E2231"/>
      <x:c r="F2231"/>
      <x:c r="G2231"/>
    </x:row>
    <x:row r="2232">
      <x:c r="A2232"/>
      <x:c r="B2232"/>
      <x:c r="C2232"/>
      <x:c r="D2232"/>
      <x:c r="E2232"/>
      <x:c r="F2232"/>
      <x:c r="G2232"/>
    </x:row>
    <x:row r="2233">
      <x:c r="A2233"/>
      <x:c r="B2233"/>
      <x:c r="C2233"/>
      <x:c r="D2233"/>
      <x:c r="E2233"/>
      <x:c r="F2233"/>
      <x:c r="G2233"/>
    </x:row>
    <x:row r="2234">
      <x:c r="A2234"/>
      <x:c r="B2234"/>
      <x:c r="C2234"/>
      <x:c r="D2234"/>
      <x:c r="E2234"/>
      <x:c r="F2234"/>
      <x:c r="G2234"/>
    </x:row>
    <x:row r="2235">
      <x:c r="A2235"/>
      <x:c r="B2235"/>
      <x:c r="C2235"/>
      <x:c r="D2235"/>
      <x:c r="E2235"/>
      <x:c r="F2235"/>
      <x:c r="G2235"/>
    </x:row>
    <x:row r="2236">
      <x:c r="A2236"/>
      <x:c r="B2236"/>
      <x:c r="C2236"/>
      <x:c r="D2236"/>
      <x:c r="E2236"/>
      <x:c r="F2236"/>
      <x:c r="G2236"/>
    </x:row>
    <x:row r="2237">
      <x:c r="A2237"/>
      <x:c r="B2237"/>
      <x:c r="C2237"/>
      <x:c r="D2237"/>
      <x:c r="E2237"/>
      <x:c r="F2237"/>
      <x:c r="G2237"/>
    </x:row>
    <x:row r="2238">
      <x:c r="A2238"/>
      <x:c r="B2238"/>
      <x:c r="C2238"/>
      <x:c r="D2238"/>
      <x:c r="E2238"/>
      <x:c r="F2238"/>
      <x:c r="G2238"/>
    </x:row>
    <x:row r="2239">
      <x:c r="A2239"/>
      <x:c r="B2239"/>
      <x:c r="C2239"/>
      <x:c r="D2239"/>
      <x:c r="E2239"/>
      <x:c r="F2239"/>
      <x:c r="G2239"/>
    </x:row>
    <x:row r="2240">
      <x:c r="A2240"/>
      <x:c r="B2240"/>
      <x:c r="C2240"/>
      <x:c r="D2240"/>
      <x:c r="E2240"/>
      <x:c r="F2240"/>
      <x:c r="G2240"/>
    </x:row>
    <x:row r="2241">
      <x:c r="A2241"/>
      <x:c r="B2241"/>
      <x:c r="C2241"/>
      <x:c r="D2241"/>
      <x:c r="E2241"/>
      <x:c r="F2241"/>
      <x:c r="G2241"/>
    </x:row>
    <x:row r="2242">
      <x:c r="A2242"/>
      <x:c r="B2242"/>
      <x:c r="C2242"/>
      <x:c r="D2242"/>
      <x:c r="E2242"/>
      <x:c r="F2242"/>
      <x:c r="G2242"/>
    </x:row>
    <x:row r="2243">
      <x:c r="A2243"/>
      <x:c r="B2243"/>
      <x:c r="C2243"/>
      <x:c r="D2243"/>
      <x:c r="E2243"/>
      <x:c r="F2243"/>
      <x:c r="G2243"/>
    </x:row>
    <x:row r="2244">
      <x:c r="A2244"/>
      <x:c r="B2244"/>
      <x:c r="C2244"/>
      <x:c r="D2244"/>
      <x:c r="E2244"/>
      <x:c r="F2244"/>
      <x:c r="G2244"/>
    </x:row>
    <x:row r="2245">
      <x:c r="A2245"/>
      <x:c r="B2245"/>
      <x:c r="C2245"/>
      <x:c r="D2245"/>
      <x:c r="E2245"/>
      <x:c r="F2245"/>
      <x:c r="G2245"/>
    </x:row>
    <x:row r="2246">
      <x:c r="A2246"/>
      <x:c r="B2246"/>
      <x:c r="C2246"/>
      <x:c r="D2246"/>
      <x:c r="E2246"/>
      <x:c r="F2246"/>
      <x:c r="G2246"/>
    </x:row>
    <x:row r="2247">
      <x:c r="A2247"/>
      <x:c r="B2247"/>
      <x:c r="C2247"/>
      <x:c r="D2247"/>
      <x:c r="E2247"/>
      <x:c r="F2247"/>
      <x:c r="G2247"/>
    </x:row>
    <x:row r="2248">
      <x:c r="A2248"/>
      <x:c r="B2248"/>
      <x:c r="C2248"/>
      <x:c r="D2248"/>
      <x:c r="E2248"/>
      <x:c r="F2248"/>
      <x:c r="G2248"/>
    </x:row>
    <x:row r="2249">
      <x:c r="A2249"/>
      <x:c r="B2249"/>
      <x:c r="C2249"/>
      <x:c r="D2249"/>
      <x:c r="E2249"/>
      <x:c r="F2249"/>
      <x:c r="G2249"/>
    </x:row>
    <x:row r="2250">
      <x:c r="A2250"/>
      <x:c r="B2250"/>
      <x:c r="C2250"/>
      <x:c r="D2250"/>
      <x:c r="E2250"/>
      <x:c r="F2250"/>
      <x:c r="G2250"/>
    </x:row>
    <x:row r="2251">
      <x:c r="A2251"/>
      <x:c r="B2251"/>
      <x:c r="C2251"/>
      <x:c r="D2251"/>
      <x:c r="E2251"/>
      <x:c r="F2251"/>
      <x:c r="G2251"/>
    </x:row>
    <x:row r="2252">
      <x:c r="A2252"/>
      <x:c r="B2252"/>
      <x:c r="C2252"/>
      <x:c r="D2252"/>
      <x:c r="E2252"/>
      <x:c r="F2252"/>
      <x:c r="G2252"/>
    </x:row>
    <x:row r="2253">
      <x:c r="A2253"/>
      <x:c r="B2253"/>
      <x:c r="C2253"/>
      <x:c r="D2253"/>
      <x:c r="E2253"/>
      <x:c r="F2253"/>
      <x:c r="G2253"/>
    </x:row>
    <x:row r="2254">
      <x:c r="A2254"/>
      <x:c r="B2254"/>
      <x:c r="C2254"/>
      <x:c r="D2254"/>
      <x:c r="E2254"/>
      <x:c r="F2254"/>
      <x:c r="G2254"/>
    </x:row>
    <x:row r="2255">
      <x:c r="A2255"/>
      <x:c r="B2255"/>
      <x:c r="C2255"/>
      <x:c r="D2255"/>
      <x:c r="E2255"/>
      <x:c r="F2255"/>
      <x:c r="G2255"/>
    </x:row>
    <x:row r="2256">
      <x:c r="A2256"/>
      <x:c r="B2256"/>
      <x:c r="C2256"/>
      <x:c r="D2256"/>
      <x:c r="E2256"/>
      <x:c r="F2256"/>
      <x:c r="G2256"/>
    </x:row>
    <x:row r="2257">
      <x:c r="A2257"/>
      <x:c r="B2257"/>
      <x:c r="C2257"/>
      <x:c r="D2257"/>
      <x:c r="E2257"/>
      <x:c r="F2257"/>
      <x:c r="G2257"/>
    </x:row>
    <x:row r="2258">
      <x:c r="A2258"/>
      <x:c r="B2258"/>
      <x:c r="C2258"/>
      <x:c r="D2258"/>
      <x:c r="E2258"/>
      <x:c r="F2258"/>
      <x:c r="G2258"/>
    </x:row>
    <x:row r="2259">
      <x:c r="A2259"/>
      <x:c r="B2259"/>
      <x:c r="C2259"/>
      <x:c r="D2259"/>
      <x:c r="E2259"/>
      <x:c r="F2259"/>
      <x:c r="G2259"/>
    </x:row>
    <x:row r="2260">
      <x:c r="A2260"/>
      <x:c r="B2260"/>
      <x:c r="C2260"/>
      <x:c r="D2260"/>
      <x:c r="E2260"/>
      <x:c r="F2260"/>
      <x:c r="G2260"/>
    </x:row>
    <x:row r="2261">
      <x:c r="A2261"/>
      <x:c r="B2261"/>
      <x:c r="C2261"/>
      <x:c r="D2261"/>
      <x:c r="E2261"/>
      <x:c r="F2261"/>
      <x:c r="G2261"/>
    </x:row>
    <x:row r="2262">
      <x:c r="A2262"/>
      <x:c r="B2262"/>
      <x:c r="C2262"/>
      <x:c r="D2262"/>
      <x:c r="E2262"/>
      <x:c r="F2262"/>
      <x:c r="G2262"/>
    </x:row>
    <x:row r="2263">
      <x:c r="A2263"/>
      <x:c r="B2263"/>
      <x:c r="C2263"/>
      <x:c r="D2263"/>
      <x:c r="E2263"/>
      <x:c r="F2263"/>
      <x:c r="G2263"/>
    </x:row>
    <x:row r="2264">
      <x:c r="A2264"/>
      <x:c r="B2264"/>
      <x:c r="C2264"/>
      <x:c r="D2264"/>
      <x:c r="E2264"/>
      <x:c r="F2264"/>
      <x:c r="G2264"/>
    </x:row>
    <x:row r="2265">
      <x:c r="A2265"/>
      <x:c r="B2265"/>
      <x:c r="C2265"/>
      <x:c r="D2265"/>
      <x:c r="E2265"/>
      <x:c r="F2265"/>
      <x:c r="G2265"/>
    </x:row>
    <x:row r="2266">
      <x:c r="A2266"/>
      <x:c r="B2266"/>
      <x:c r="C2266"/>
      <x:c r="D2266"/>
      <x:c r="E2266"/>
      <x:c r="F2266"/>
      <x:c r="G2266"/>
    </x:row>
    <x:row r="2267">
      <x:c r="A2267"/>
      <x:c r="B2267"/>
      <x:c r="C2267"/>
      <x:c r="D2267"/>
      <x:c r="E2267"/>
      <x:c r="F2267"/>
      <x:c r="G2267"/>
    </x:row>
    <x:row r="2268">
      <x:c r="A2268"/>
      <x:c r="B2268"/>
      <x:c r="C2268"/>
      <x:c r="D2268"/>
      <x:c r="E2268"/>
      <x:c r="F2268"/>
      <x:c r="G2268"/>
    </x:row>
    <x:row r="2269">
      <x:c r="A2269"/>
      <x:c r="B2269"/>
      <x:c r="C2269"/>
      <x:c r="D2269"/>
      <x:c r="E2269"/>
      <x:c r="F2269"/>
      <x:c r="G2269"/>
    </x:row>
    <x:row r="2270">
      <x:c r="A2270"/>
      <x:c r="B2270"/>
      <x:c r="C2270"/>
      <x:c r="D2270"/>
      <x:c r="E2270"/>
      <x:c r="F2270"/>
      <x:c r="G2270"/>
    </x:row>
    <x:row r="2271">
      <x:c r="A2271"/>
      <x:c r="B2271"/>
      <x:c r="C2271"/>
      <x:c r="D2271"/>
      <x:c r="E2271"/>
      <x:c r="F2271"/>
      <x:c r="G2271"/>
    </x:row>
    <x:row r="2272">
      <x:c r="A2272"/>
      <x:c r="B2272"/>
      <x:c r="C2272"/>
      <x:c r="D2272"/>
      <x:c r="E2272"/>
      <x:c r="F2272"/>
      <x:c r="G2272"/>
    </x:row>
    <x:row r="2273">
      <x:c r="A2273"/>
      <x:c r="B2273"/>
      <x:c r="C2273"/>
      <x:c r="D2273"/>
      <x:c r="E2273"/>
      <x:c r="F2273"/>
      <x:c r="G2273"/>
    </x:row>
    <x:row r="2274">
      <x:c r="A2274"/>
      <x:c r="B2274"/>
      <x:c r="C2274"/>
      <x:c r="D2274"/>
      <x:c r="E2274"/>
      <x:c r="F2274"/>
      <x:c r="G2274"/>
    </x:row>
    <x:row r="2275">
      <x:c r="A2275"/>
      <x:c r="B2275"/>
      <x:c r="C2275"/>
      <x:c r="D2275"/>
      <x:c r="E2275"/>
      <x:c r="F2275"/>
      <x:c r="G2275"/>
    </x:row>
    <x:row r="2276">
      <x:c r="A2276"/>
      <x:c r="B2276"/>
      <x:c r="C2276"/>
      <x:c r="D2276"/>
      <x:c r="E2276"/>
      <x:c r="F2276"/>
      <x:c r="G2276"/>
    </x:row>
    <x:row r="2277">
      <x:c r="A2277"/>
      <x:c r="B2277"/>
      <x:c r="C2277"/>
      <x:c r="D2277"/>
      <x:c r="E2277"/>
      <x:c r="F2277"/>
      <x:c r="G2277"/>
    </x:row>
    <x:row r="2278">
      <x:c r="A2278"/>
      <x:c r="B2278"/>
      <x:c r="C2278"/>
      <x:c r="D2278"/>
      <x:c r="E2278"/>
      <x:c r="F2278"/>
      <x:c r="G2278"/>
    </x:row>
    <x:row r="2279">
      <x:c r="A2279"/>
      <x:c r="B2279"/>
      <x:c r="C2279"/>
      <x:c r="D2279"/>
      <x:c r="E2279"/>
      <x:c r="F2279"/>
      <x:c r="G2279"/>
    </x:row>
    <x:row r="2280">
      <x:c r="A2280"/>
      <x:c r="B2280"/>
      <x:c r="C2280"/>
      <x:c r="D2280"/>
      <x:c r="E2280"/>
      <x:c r="F2280"/>
      <x:c r="G2280"/>
    </x:row>
    <x:row r="2281">
      <x:c r="A2281"/>
      <x:c r="B2281"/>
      <x:c r="C2281"/>
      <x:c r="D2281"/>
      <x:c r="E2281"/>
      <x:c r="F2281"/>
      <x:c r="G2281"/>
    </x:row>
    <x:row r="2282">
      <x:c r="A2282"/>
      <x:c r="B2282"/>
      <x:c r="C2282"/>
      <x:c r="D2282"/>
      <x:c r="E2282"/>
      <x:c r="F2282"/>
      <x:c r="G2282"/>
    </x:row>
    <x:row r="2283">
      <x:c r="A2283"/>
      <x:c r="B2283"/>
      <x:c r="C2283"/>
      <x:c r="D2283"/>
      <x:c r="E2283"/>
      <x:c r="F2283"/>
      <x:c r="G2283"/>
    </x:row>
    <x:row r="2284">
      <x:c r="A2284"/>
      <x:c r="B2284"/>
      <x:c r="C2284"/>
      <x:c r="D2284"/>
      <x:c r="E2284"/>
      <x:c r="F2284"/>
      <x:c r="G2284"/>
    </x:row>
    <x:row r="2285">
      <x:c r="A2285"/>
      <x:c r="B2285"/>
      <x:c r="C2285"/>
      <x:c r="D2285"/>
      <x:c r="E2285"/>
      <x:c r="F2285"/>
      <x:c r="G2285"/>
    </x:row>
    <x:row r="2286">
      <x:c r="A2286"/>
      <x:c r="B2286"/>
      <x:c r="C2286"/>
      <x:c r="D2286"/>
      <x:c r="E2286"/>
      <x:c r="F2286"/>
      <x:c r="G2286"/>
    </x:row>
    <x:row r="2287">
      <x:c r="A2287"/>
      <x:c r="B2287"/>
      <x:c r="C2287"/>
      <x:c r="D2287"/>
      <x:c r="E2287"/>
      <x:c r="F2287"/>
      <x:c r="G2287"/>
    </x:row>
    <x:row r="2288">
      <x:c r="A2288"/>
      <x:c r="B2288"/>
      <x:c r="C2288"/>
      <x:c r="D2288"/>
      <x:c r="E2288"/>
      <x:c r="F2288"/>
      <x:c r="G2288"/>
    </x:row>
    <x:row r="2289">
      <x:c r="A2289"/>
      <x:c r="B2289"/>
      <x:c r="C2289"/>
      <x:c r="D2289"/>
      <x:c r="E2289"/>
      <x:c r="F2289"/>
      <x:c r="G2289"/>
    </x:row>
    <x:row r="2290">
      <x:c r="A2290"/>
      <x:c r="B2290"/>
      <x:c r="C2290"/>
      <x:c r="D2290"/>
      <x:c r="E2290"/>
      <x:c r="F2290"/>
      <x:c r="G2290"/>
    </x:row>
    <x:row r="2291">
      <x:c r="A2291"/>
      <x:c r="B2291"/>
      <x:c r="C2291"/>
      <x:c r="D2291"/>
      <x:c r="E2291"/>
      <x:c r="F2291"/>
      <x:c r="G2291"/>
    </x:row>
    <x:row r="2292">
      <x:c r="A2292"/>
      <x:c r="B2292"/>
      <x:c r="C2292"/>
      <x:c r="D2292"/>
      <x:c r="E2292"/>
      <x:c r="F2292"/>
      <x:c r="G2292"/>
    </x:row>
    <x:row r="2293">
      <x:c r="A2293"/>
      <x:c r="B2293"/>
      <x:c r="C2293"/>
      <x:c r="D2293"/>
      <x:c r="E2293"/>
      <x:c r="F2293"/>
      <x:c r="G2293"/>
    </x:row>
    <x:row r="2294">
      <x:c r="A2294"/>
      <x:c r="B2294"/>
      <x:c r="C2294"/>
      <x:c r="D2294"/>
      <x:c r="E2294"/>
      <x:c r="F2294"/>
      <x:c r="G2294"/>
    </x:row>
    <x:row r="2295">
      <x:c r="A2295"/>
      <x:c r="B2295"/>
      <x:c r="C2295"/>
      <x:c r="D2295"/>
      <x:c r="E2295"/>
      <x:c r="F2295"/>
      <x:c r="G2295"/>
    </x:row>
    <x:row r="2296">
      <x:c r="A2296"/>
      <x:c r="B2296"/>
      <x:c r="C2296"/>
      <x:c r="D2296"/>
      <x:c r="E2296"/>
      <x:c r="F2296"/>
      <x:c r="G2296"/>
    </x:row>
    <x:row r="2297">
      <x:c r="A2297"/>
      <x:c r="B2297"/>
      <x:c r="C2297"/>
      <x:c r="D2297"/>
      <x:c r="E2297"/>
      <x:c r="F2297"/>
      <x:c r="G2297"/>
    </x:row>
    <x:row r="2298">
      <x:c r="A2298"/>
      <x:c r="B2298"/>
      <x:c r="C2298"/>
      <x:c r="D2298"/>
      <x:c r="E2298"/>
      <x:c r="F2298"/>
      <x:c r="G2298"/>
    </x:row>
    <x:row r="2299">
      <x:c r="A2299"/>
      <x:c r="B2299"/>
      <x:c r="C2299"/>
      <x:c r="D2299"/>
      <x:c r="E2299"/>
      <x:c r="F2299"/>
      <x:c r="G2299"/>
    </x:row>
    <x:row r="2300">
      <x:c r="A2300"/>
      <x:c r="B2300"/>
      <x:c r="C2300"/>
      <x:c r="D2300"/>
      <x:c r="E2300"/>
      <x:c r="F2300"/>
      <x:c r="G2300"/>
    </x:row>
    <x:row r="2301">
      <x:c r="A2301"/>
      <x:c r="B2301"/>
      <x:c r="C2301"/>
      <x:c r="D2301"/>
      <x:c r="E2301"/>
      <x:c r="F2301"/>
      <x:c r="G2301"/>
    </x:row>
    <x:row r="2302">
      <x:c r="A2302"/>
      <x:c r="B2302"/>
      <x:c r="C2302"/>
      <x:c r="D2302"/>
      <x:c r="E2302"/>
      <x:c r="F2302"/>
      <x:c r="G2302"/>
    </x:row>
    <x:row r="2303">
      <x:c r="A2303"/>
      <x:c r="B2303"/>
      <x:c r="C2303"/>
      <x:c r="D2303"/>
      <x:c r="E2303"/>
      <x:c r="F2303"/>
      <x:c r="G2303"/>
    </x:row>
    <x:row r="2304">
      <x:c r="A2304"/>
      <x:c r="B2304"/>
      <x:c r="C2304"/>
      <x:c r="D2304"/>
      <x:c r="E2304"/>
      <x:c r="F2304"/>
      <x:c r="G2304"/>
    </x:row>
    <x:row r="2305">
      <x:c r="A2305"/>
      <x:c r="B2305"/>
      <x:c r="C2305"/>
      <x:c r="D2305"/>
      <x:c r="E2305"/>
      <x:c r="F2305"/>
      <x:c r="G2305"/>
    </x:row>
    <x:row r="2306">
      <x:c r="A2306"/>
      <x:c r="B2306"/>
      <x:c r="C2306"/>
      <x:c r="D2306"/>
      <x:c r="E2306"/>
      <x:c r="F2306"/>
      <x:c r="G2306"/>
    </x:row>
    <x:row r="2307">
      <x:c r="A2307"/>
      <x:c r="B2307"/>
      <x:c r="C2307"/>
      <x:c r="D2307"/>
      <x:c r="E2307"/>
      <x:c r="F2307"/>
      <x:c r="G2307"/>
    </x:row>
    <x:row r="2308">
      <x:c r="A2308"/>
      <x:c r="B2308"/>
      <x:c r="C2308"/>
      <x:c r="D2308"/>
      <x:c r="E2308"/>
      <x:c r="F2308"/>
      <x:c r="G2308"/>
    </x:row>
    <x:row r="2309">
      <x:c r="A2309"/>
      <x:c r="B2309"/>
      <x:c r="C2309"/>
      <x:c r="D2309"/>
      <x:c r="E2309"/>
      <x:c r="F2309"/>
      <x:c r="G2309"/>
    </x:row>
    <x:row r="2310">
      <x:c r="A2310"/>
      <x:c r="B2310"/>
      <x:c r="C2310"/>
      <x:c r="D2310"/>
      <x:c r="E2310"/>
      <x:c r="F2310"/>
      <x:c r="G2310"/>
    </x:row>
    <x:row r="2311">
      <x:c r="A2311"/>
      <x:c r="B2311"/>
      <x:c r="C2311"/>
      <x:c r="D2311"/>
      <x:c r="E2311"/>
      <x:c r="F2311"/>
      <x:c r="G2311"/>
    </x:row>
    <x:row r="2312">
      <x:c r="A2312"/>
      <x:c r="B2312"/>
      <x:c r="C2312"/>
      <x:c r="D2312"/>
      <x:c r="E2312"/>
      <x:c r="F2312"/>
      <x:c r="G2312"/>
    </x:row>
    <x:row r="2313">
      <x:c r="A2313"/>
      <x:c r="B2313"/>
      <x:c r="C2313"/>
      <x:c r="D2313"/>
      <x:c r="E2313"/>
      <x:c r="F2313"/>
      <x:c r="G2313"/>
    </x:row>
    <x:row r="2314">
      <x:c r="A2314"/>
      <x:c r="B2314"/>
      <x:c r="C2314"/>
      <x:c r="D2314"/>
      <x:c r="E2314"/>
      <x:c r="F2314"/>
      <x:c r="G2314"/>
    </x:row>
    <x:row r="2315">
      <x:c r="A2315"/>
      <x:c r="B2315"/>
      <x:c r="C2315"/>
      <x:c r="D2315"/>
      <x:c r="E2315"/>
      <x:c r="F2315"/>
      <x:c r="G2315"/>
    </x:row>
    <x:row r="2316">
      <x:c r="A2316"/>
      <x:c r="B2316"/>
      <x:c r="C2316"/>
      <x:c r="D2316"/>
      <x:c r="E2316"/>
      <x:c r="F2316"/>
      <x:c r="G2316"/>
    </x:row>
    <x:row r="2317">
      <x:c r="A2317"/>
      <x:c r="B2317"/>
      <x:c r="C2317"/>
      <x:c r="D2317"/>
      <x:c r="E2317"/>
      <x:c r="F2317"/>
      <x:c r="G2317"/>
    </x:row>
    <x:row r="2318">
      <x:c r="A2318"/>
      <x:c r="B2318"/>
      <x:c r="C2318"/>
      <x:c r="D2318"/>
      <x:c r="E2318"/>
      <x:c r="F2318"/>
      <x:c r="G2318"/>
    </x:row>
    <x:row r="2319">
      <x:c r="A2319"/>
      <x:c r="B2319"/>
      <x:c r="C2319"/>
      <x:c r="D2319"/>
      <x:c r="E2319"/>
      <x:c r="F2319"/>
      <x:c r="G2319"/>
    </x:row>
    <x:row r="2320">
      <x:c r="A2320"/>
      <x:c r="B2320"/>
      <x:c r="C2320"/>
      <x:c r="D2320"/>
      <x:c r="E2320"/>
      <x:c r="F2320"/>
      <x:c r="G2320"/>
    </x:row>
    <x:row r="2321">
      <x:c r="A2321"/>
      <x:c r="B2321"/>
      <x:c r="C2321"/>
      <x:c r="D2321"/>
      <x:c r="E2321"/>
      <x:c r="F2321"/>
      <x:c r="G2321"/>
    </x:row>
    <x:row r="2322">
      <x:c r="A2322"/>
      <x:c r="B2322"/>
      <x:c r="C2322"/>
      <x:c r="D2322"/>
      <x:c r="E2322"/>
      <x:c r="F2322"/>
      <x:c r="G2322"/>
    </x:row>
    <x:row r="2323">
      <x:c r="A2323"/>
      <x:c r="B2323"/>
      <x:c r="C2323"/>
      <x:c r="D2323"/>
      <x:c r="E2323"/>
      <x:c r="F2323"/>
      <x:c r="G2323"/>
    </x:row>
    <x:row r="2324">
      <x:c r="A2324"/>
      <x:c r="B2324"/>
      <x:c r="C2324"/>
      <x:c r="D2324"/>
      <x:c r="E2324"/>
      <x:c r="F2324"/>
      <x:c r="G2324"/>
    </x:row>
    <x:row r="2325">
      <x:c r="A2325"/>
      <x:c r="B2325"/>
      <x:c r="C2325"/>
      <x:c r="D2325"/>
      <x:c r="E2325"/>
      <x:c r="F2325"/>
      <x:c r="G2325"/>
    </x:row>
    <x:row r="2326">
      <x:c r="A2326"/>
      <x:c r="B2326"/>
      <x:c r="C2326"/>
      <x:c r="D2326"/>
      <x:c r="E2326"/>
      <x:c r="F2326"/>
      <x:c r="G2326"/>
    </x:row>
    <x:row r="2327">
      <x:c r="A2327"/>
      <x:c r="B2327"/>
      <x:c r="C2327"/>
      <x:c r="D2327"/>
      <x:c r="E2327"/>
      <x:c r="F2327"/>
      <x:c r="G2327"/>
    </x:row>
    <x:row r="2328">
      <x:c r="A2328"/>
      <x:c r="B2328"/>
      <x:c r="C2328"/>
      <x:c r="D2328"/>
      <x:c r="E2328"/>
      <x:c r="F2328"/>
      <x:c r="G2328"/>
    </x:row>
    <x:row r="2329">
      <x:c r="A2329"/>
      <x:c r="B2329"/>
      <x:c r="C2329"/>
      <x:c r="D2329"/>
      <x:c r="E2329"/>
      <x:c r="F2329"/>
      <x:c r="G2329"/>
    </x:row>
    <x:row r="2330">
      <x:c r="A2330"/>
      <x:c r="B2330"/>
      <x:c r="C2330"/>
      <x:c r="D2330"/>
      <x:c r="E2330"/>
      <x:c r="F2330"/>
      <x:c r="G2330"/>
    </x:row>
    <x:row r="2331">
      <x:c r="A2331"/>
      <x:c r="B2331"/>
      <x:c r="C2331"/>
      <x:c r="D2331"/>
      <x:c r="E2331"/>
      <x:c r="F2331"/>
      <x:c r="G2331"/>
    </x:row>
    <x:row r="2332">
      <x:c r="A2332"/>
      <x:c r="B2332"/>
      <x:c r="C2332"/>
      <x:c r="D2332"/>
      <x:c r="E2332"/>
      <x:c r="F2332"/>
      <x:c r="G2332"/>
    </x:row>
    <x:row r="2333">
      <x:c r="A2333"/>
      <x:c r="B2333"/>
      <x:c r="C2333"/>
      <x:c r="D2333"/>
      <x:c r="E2333"/>
      <x:c r="F2333"/>
      <x:c r="G2333"/>
    </x:row>
    <x:row r="2334">
      <x:c r="A2334"/>
      <x:c r="B2334"/>
      <x:c r="C2334"/>
      <x:c r="D2334"/>
      <x:c r="E2334"/>
      <x:c r="F2334"/>
      <x:c r="G2334"/>
    </x:row>
    <x:row r="2335">
      <x:c r="A2335"/>
      <x:c r="B2335"/>
      <x:c r="C2335"/>
      <x:c r="D2335"/>
      <x:c r="E2335"/>
      <x:c r="F2335"/>
      <x:c r="G2335"/>
    </x:row>
    <x:row r="2336">
      <x:c r="A2336"/>
      <x:c r="B2336"/>
      <x:c r="C2336"/>
      <x:c r="D2336"/>
      <x:c r="E2336"/>
      <x:c r="F2336"/>
      <x:c r="G2336"/>
    </x:row>
    <x:row r="2337">
      <x:c r="A2337"/>
      <x:c r="B2337"/>
      <x:c r="C2337"/>
      <x:c r="D2337"/>
      <x:c r="E2337"/>
      <x:c r="F2337"/>
      <x:c r="G2337"/>
    </x:row>
    <x:row r="2338">
      <x:c r="A2338"/>
      <x:c r="B2338"/>
      <x:c r="C2338"/>
      <x:c r="D2338"/>
      <x:c r="E2338"/>
      <x:c r="F2338"/>
      <x:c r="G2338"/>
    </x:row>
    <x:row r="2339">
      <x:c r="A2339"/>
      <x:c r="B2339"/>
      <x:c r="C2339"/>
      <x:c r="D2339"/>
      <x:c r="E2339"/>
      <x:c r="F2339"/>
      <x:c r="G2339"/>
    </x:row>
    <x:row r="2340">
      <x:c r="A2340"/>
      <x:c r="B2340"/>
      <x:c r="C2340"/>
      <x:c r="D2340"/>
      <x:c r="E2340"/>
      <x:c r="F2340"/>
      <x:c r="G2340"/>
    </x:row>
    <x:row r="2341">
      <x:c r="A2341"/>
      <x:c r="B2341"/>
      <x:c r="C2341"/>
      <x:c r="D2341"/>
      <x:c r="E2341"/>
      <x:c r="F2341"/>
      <x:c r="G2341"/>
    </x:row>
    <x:row r="2342">
      <x:c r="A2342"/>
      <x:c r="B2342"/>
      <x:c r="C2342"/>
      <x:c r="D2342"/>
      <x:c r="E2342"/>
      <x:c r="F2342"/>
      <x:c r="G2342"/>
    </x:row>
    <x:row r="2343">
      <x:c r="A2343"/>
      <x:c r="B2343"/>
      <x:c r="C2343"/>
      <x:c r="D2343"/>
      <x:c r="E2343"/>
      <x:c r="F2343"/>
      <x:c r="G2343"/>
    </x:row>
    <x:row r="2344">
      <x:c r="A2344"/>
      <x:c r="B2344"/>
      <x:c r="C2344"/>
      <x:c r="D2344"/>
      <x:c r="E2344"/>
      <x:c r="F2344"/>
      <x:c r="G2344"/>
    </x:row>
    <x:row r="2345">
      <x:c r="A2345"/>
      <x:c r="B2345"/>
      <x:c r="C2345"/>
      <x:c r="D2345"/>
      <x:c r="E2345"/>
      <x:c r="F2345"/>
      <x:c r="G2345"/>
    </x:row>
    <x:row r="2346">
      <x:c r="A2346"/>
      <x:c r="B2346"/>
      <x:c r="C2346"/>
      <x:c r="D2346"/>
      <x:c r="E2346"/>
      <x:c r="F2346"/>
      <x:c r="G2346"/>
    </x:row>
    <x:row r="2347">
      <x:c r="A2347"/>
      <x:c r="B2347"/>
      <x:c r="C2347"/>
      <x:c r="D2347"/>
      <x:c r="E2347"/>
      <x:c r="F2347"/>
      <x:c r="G2347"/>
    </x:row>
    <x:row r="2348">
      <x:c r="A2348"/>
      <x:c r="B2348"/>
      <x:c r="C2348"/>
      <x:c r="D2348"/>
      <x:c r="E2348"/>
      <x:c r="F2348"/>
      <x:c r="G2348"/>
    </x:row>
    <x:row r="2349">
      <x:c r="A2349"/>
      <x:c r="B2349"/>
      <x:c r="C2349"/>
      <x:c r="D2349"/>
      <x:c r="E2349"/>
      <x:c r="F2349"/>
      <x:c r="G2349"/>
    </x:row>
    <x:row r="2350">
      <x:c r="A2350"/>
      <x:c r="B2350"/>
      <x:c r="C2350"/>
      <x:c r="D2350"/>
      <x:c r="E2350"/>
      <x:c r="F2350"/>
      <x:c r="G2350"/>
    </x:row>
    <x:row r="2351">
      <x:c r="A2351"/>
      <x:c r="B2351"/>
      <x:c r="C2351"/>
      <x:c r="D2351"/>
      <x:c r="E2351"/>
      <x:c r="F2351"/>
      <x:c r="G2351"/>
    </x:row>
    <x:row r="2352">
      <x:c r="A2352"/>
      <x:c r="B2352"/>
      <x:c r="C2352"/>
      <x:c r="D2352"/>
      <x:c r="E2352"/>
      <x:c r="F2352"/>
      <x:c r="G2352"/>
    </x:row>
    <x:row r="2353">
      <x:c r="A2353"/>
      <x:c r="B2353"/>
      <x:c r="C2353"/>
      <x:c r="D2353"/>
      <x:c r="E2353"/>
      <x:c r="F2353"/>
      <x:c r="G2353"/>
    </x:row>
    <x:row r="2354">
      <x:c r="A2354"/>
      <x:c r="B2354"/>
      <x:c r="C2354"/>
      <x:c r="D2354"/>
      <x:c r="E2354"/>
      <x:c r="F2354"/>
      <x:c r="G2354"/>
    </x:row>
    <x:row r="2355">
      <x:c r="A2355"/>
      <x:c r="B2355"/>
      <x:c r="C2355"/>
      <x:c r="D2355"/>
      <x:c r="E2355"/>
      <x:c r="F2355"/>
      <x:c r="G2355"/>
    </x:row>
    <x:row r="2356">
      <x:c r="A2356"/>
      <x:c r="B2356"/>
      <x:c r="C2356"/>
      <x:c r="D2356"/>
      <x:c r="E2356"/>
      <x:c r="F2356"/>
      <x:c r="G2356"/>
    </x:row>
    <x:row r="2357">
      <x:c r="A2357"/>
      <x:c r="B2357"/>
      <x:c r="C2357"/>
      <x:c r="D2357"/>
      <x:c r="E2357"/>
      <x:c r="F2357"/>
      <x:c r="G2357"/>
    </x:row>
    <x:row r="2358">
      <x:c r="A2358"/>
      <x:c r="B2358"/>
      <x:c r="C2358"/>
      <x:c r="D2358"/>
      <x:c r="E2358"/>
      <x:c r="F2358"/>
      <x:c r="G2358"/>
    </x:row>
    <x:row r="2359">
      <x:c r="A2359"/>
      <x:c r="B2359"/>
      <x:c r="C2359"/>
      <x:c r="D2359"/>
      <x:c r="E2359"/>
      <x:c r="F2359"/>
      <x:c r="G2359"/>
    </x:row>
    <x:row r="2360">
      <x:c r="A2360"/>
      <x:c r="B2360"/>
      <x:c r="C2360"/>
      <x:c r="D2360"/>
      <x:c r="E2360"/>
      <x:c r="F2360"/>
      <x:c r="G2360"/>
    </x:row>
    <x:row r="2361">
      <x:c r="A2361"/>
      <x:c r="B2361"/>
      <x:c r="C2361"/>
      <x:c r="D2361"/>
      <x:c r="E2361"/>
      <x:c r="F2361"/>
      <x:c r="G2361"/>
    </x:row>
    <x:row r="2362">
      <x:c r="A2362"/>
      <x:c r="B2362"/>
      <x:c r="C2362"/>
      <x:c r="D2362"/>
      <x:c r="E2362"/>
      <x:c r="F2362"/>
      <x:c r="G2362"/>
    </x:row>
    <x:row r="2363">
      <x:c r="A2363"/>
      <x:c r="B2363"/>
      <x:c r="C2363"/>
      <x:c r="D2363"/>
      <x:c r="E2363"/>
      <x:c r="F2363"/>
      <x:c r="G2363"/>
    </x:row>
    <x:row r="2364">
      <x:c r="A2364"/>
      <x:c r="B2364"/>
      <x:c r="C2364"/>
      <x:c r="D2364"/>
      <x:c r="E2364"/>
      <x:c r="F2364"/>
      <x:c r="G2364"/>
    </x:row>
    <x:row r="2365">
      <x:c r="A2365"/>
      <x:c r="B2365"/>
      <x:c r="C2365"/>
      <x:c r="D2365"/>
      <x:c r="E2365"/>
      <x:c r="F2365"/>
      <x:c r="G2365"/>
    </x:row>
    <x:row r="2366">
      <x:c r="A2366"/>
      <x:c r="B2366"/>
      <x:c r="C2366"/>
      <x:c r="D2366"/>
      <x:c r="E2366"/>
      <x:c r="F2366"/>
      <x:c r="G2366"/>
    </x:row>
    <x:row r="2367">
      <x:c r="A2367"/>
      <x:c r="B2367"/>
      <x:c r="C2367"/>
      <x:c r="D2367"/>
      <x:c r="E2367"/>
      <x:c r="F2367"/>
      <x:c r="G2367"/>
    </x:row>
    <x:row r="2368">
      <x:c r="A2368"/>
      <x:c r="B2368"/>
      <x:c r="C2368"/>
      <x:c r="D2368"/>
      <x:c r="E2368"/>
      <x:c r="F2368"/>
      <x:c r="G2368"/>
    </x:row>
    <x:row r="2369">
      <x:c r="A2369"/>
      <x:c r="B2369"/>
      <x:c r="C2369"/>
      <x:c r="D2369"/>
      <x:c r="E2369"/>
      <x:c r="F2369"/>
      <x:c r="G2369"/>
    </x:row>
    <x:row r="2370">
      <x:c r="A2370"/>
      <x:c r="B2370"/>
      <x:c r="C2370"/>
      <x:c r="D2370"/>
      <x:c r="E2370"/>
      <x:c r="F2370"/>
      <x:c r="G2370"/>
    </x:row>
    <x:row r="2371">
      <x:c r="A2371"/>
      <x:c r="B2371"/>
      <x:c r="C2371"/>
      <x:c r="D2371"/>
      <x:c r="E2371"/>
      <x:c r="F2371"/>
      <x:c r="G2371"/>
    </x:row>
    <x:row r="2372">
      <x:c r="A2372"/>
      <x:c r="B2372"/>
      <x:c r="C2372"/>
      <x:c r="D2372"/>
      <x:c r="E2372"/>
      <x:c r="F2372"/>
      <x:c r="G2372"/>
    </x:row>
    <x:row r="2373">
      <x:c r="A2373"/>
      <x:c r="B2373"/>
      <x:c r="C2373"/>
      <x:c r="D2373"/>
      <x:c r="E2373"/>
      <x:c r="F2373"/>
      <x:c r="G2373"/>
    </x:row>
    <x:row r="2374">
      <x:c r="A2374"/>
      <x:c r="B2374"/>
      <x:c r="C2374"/>
      <x:c r="D2374"/>
      <x:c r="E2374"/>
      <x:c r="F2374"/>
      <x:c r="G2374"/>
    </x:row>
    <x:row r="2375">
      <x:c r="A2375"/>
      <x:c r="B2375"/>
      <x:c r="C2375"/>
      <x:c r="D2375"/>
      <x:c r="E2375"/>
      <x:c r="F2375"/>
      <x:c r="G2375"/>
    </x:row>
    <x:row r="2376">
      <x:c r="A2376"/>
      <x:c r="B2376"/>
      <x:c r="C2376"/>
      <x:c r="D2376"/>
      <x:c r="E2376"/>
      <x:c r="F2376"/>
      <x:c r="G2376"/>
    </x:row>
    <x:row r="2377">
      <x:c r="A2377"/>
      <x:c r="B2377"/>
      <x:c r="C2377"/>
      <x:c r="D2377"/>
      <x:c r="E2377"/>
      <x:c r="F2377"/>
      <x:c r="G2377"/>
    </x:row>
    <x:row r="2378">
      <x:c r="A2378"/>
      <x:c r="B2378"/>
      <x:c r="C2378"/>
      <x:c r="D2378"/>
      <x:c r="E2378"/>
      <x:c r="F2378"/>
      <x:c r="G2378"/>
    </x:row>
    <x:row r="2379">
      <x:c r="A2379"/>
      <x:c r="B2379"/>
      <x:c r="C2379"/>
      <x:c r="D2379"/>
      <x:c r="E2379"/>
      <x:c r="F2379"/>
      <x:c r="G2379"/>
    </x:row>
    <x:row r="2380">
      <x:c r="A2380"/>
      <x:c r="B2380"/>
      <x:c r="C2380"/>
      <x:c r="D2380"/>
      <x:c r="E2380"/>
      <x:c r="F2380"/>
      <x:c r="G2380"/>
    </x:row>
    <x:row r="2381">
      <x:c r="A2381"/>
      <x:c r="B2381"/>
      <x:c r="C2381"/>
      <x:c r="D2381"/>
      <x:c r="E2381"/>
      <x:c r="F2381"/>
      <x:c r="G2381"/>
    </x:row>
    <x:row r="2382">
      <x:c r="A2382"/>
      <x:c r="B2382"/>
      <x:c r="C2382"/>
      <x:c r="D2382"/>
      <x:c r="E2382"/>
      <x:c r="F2382"/>
      <x:c r="G2382"/>
    </x:row>
    <x:row r="2383">
      <x:c r="A2383"/>
      <x:c r="B2383"/>
      <x:c r="C2383"/>
      <x:c r="D2383"/>
      <x:c r="E2383"/>
      <x:c r="F2383"/>
      <x:c r="G2383"/>
    </x:row>
    <x:row r="2384">
      <x:c r="A2384"/>
      <x:c r="B2384"/>
      <x:c r="C2384"/>
      <x:c r="D2384"/>
      <x:c r="E2384"/>
      <x:c r="F2384"/>
      <x:c r="G2384"/>
    </x:row>
    <x:row r="2385">
      <x:c r="A2385"/>
      <x:c r="B2385"/>
      <x:c r="C2385"/>
      <x:c r="D2385"/>
      <x:c r="E2385"/>
      <x:c r="F2385"/>
      <x:c r="G2385"/>
    </x:row>
    <x:row r="2386">
      <x:c r="A2386"/>
      <x:c r="B2386"/>
      <x:c r="C2386"/>
      <x:c r="D2386"/>
      <x:c r="E2386"/>
      <x:c r="F2386"/>
      <x:c r="G2386"/>
    </x:row>
    <x:row r="2387">
      <x:c r="A2387"/>
      <x:c r="B2387"/>
      <x:c r="C2387"/>
      <x:c r="D2387"/>
      <x:c r="E2387"/>
      <x:c r="F2387"/>
      <x:c r="G2387"/>
    </x:row>
    <x:row r="2388">
      <x:c r="A2388"/>
      <x:c r="B2388"/>
      <x:c r="C2388"/>
      <x:c r="D2388"/>
      <x:c r="E2388"/>
      <x:c r="F2388"/>
      <x:c r="G2388"/>
    </x:row>
    <x:row r="2389">
      <x:c r="A2389"/>
      <x:c r="B2389"/>
      <x:c r="C2389"/>
      <x:c r="D2389"/>
      <x:c r="E2389"/>
      <x:c r="F2389"/>
      <x:c r="G2389"/>
    </x:row>
    <x:row r="2390">
      <x:c r="A2390"/>
      <x:c r="B2390"/>
      <x:c r="C2390"/>
      <x:c r="D2390"/>
      <x:c r="E2390"/>
      <x:c r="F2390"/>
      <x:c r="G2390"/>
    </x:row>
    <x:row r="2391">
      <x:c r="A2391"/>
      <x:c r="B2391"/>
      <x:c r="C2391"/>
      <x:c r="D2391"/>
      <x:c r="E2391"/>
      <x:c r="F2391"/>
      <x:c r="G2391"/>
    </x:row>
    <x:row r="2392">
      <x:c r="A2392"/>
      <x:c r="B2392"/>
      <x:c r="C2392"/>
      <x:c r="D2392"/>
      <x:c r="E2392"/>
      <x:c r="F2392"/>
      <x:c r="G2392"/>
    </x:row>
    <x:row r="2393">
      <x:c r="A2393"/>
      <x:c r="B2393"/>
      <x:c r="C2393"/>
      <x:c r="D2393"/>
      <x:c r="E2393"/>
      <x:c r="F2393"/>
      <x:c r="G2393"/>
    </x:row>
    <x:row r="2394">
      <x:c r="A2394"/>
      <x:c r="B2394"/>
      <x:c r="C2394"/>
      <x:c r="D2394"/>
      <x:c r="E2394"/>
      <x:c r="F2394"/>
      <x:c r="G2394"/>
    </x:row>
    <x:row r="2395">
      <x:c r="A2395"/>
      <x:c r="B2395"/>
      <x:c r="C2395"/>
      <x:c r="D2395"/>
      <x:c r="E2395"/>
      <x:c r="F2395"/>
      <x:c r="G2395"/>
    </x:row>
    <x:row r="2396">
      <x:c r="A2396"/>
      <x:c r="B2396"/>
      <x:c r="C2396"/>
      <x:c r="D2396"/>
      <x:c r="E2396"/>
      <x:c r="F2396"/>
      <x:c r="G2396"/>
    </x:row>
    <x:row r="2397">
      <x:c r="A2397"/>
      <x:c r="B2397"/>
      <x:c r="C2397"/>
      <x:c r="D2397"/>
      <x:c r="E2397"/>
      <x:c r="F2397"/>
      <x:c r="G2397"/>
    </x:row>
    <x:row r="2398">
      <x:c r="A2398"/>
      <x:c r="B2398"/>
      <x:c r="C2398"/>
      <x:c r="D2398"/>
      <x:c r="E2398"/>
      <x:c r="F2398"/>
      <x:c r="G2398"/>
    </x:row>
    <x:row r="2399">
      <x:c r="A2399"/>
      <x:c r="B2399"/>
      <x:c r="C2399"/>
      <x:c r="D2399"/>
      <x:c r="E2399"/>
      <x:c r="F2399"/>
      <x:c r="G2399"/>
    </x:row>
    <x:row r="2400">
      <x:c r="A2400"/>
      <x:c r="B2400"/>
      <x:c r="C2400"/>
      <x:c r="D2400"/>
      <x:c r="E2400"/>
      <x:c r="F2400"/>
      <x:c r="G2400"/>
    </x:row>
    <x:row r="2401">
      <x:c r="A2401"/>
      <x:c r="B2401"/>
      <x:c r="C2401"/>
      <x:c r="D2401"/>
      <x:c r="E2401"/>
      <x:c r="F2401"/>
      <x:c r="G2401"/>
    </x:row>
    <x:row r="2402">
      <x:c r="A2402"/>
      <x:c r="B2402"/>
      <x:c r="C2402"/>
      <x:c r="D2402"/>
      <x:c r="E2402"/>
      <x:c r="F2402"/>
      <x:c r="G2402"/>
    </x:row>
    <x:row r="2403">
      <x:c r="A2403"/>
      <x:c r="B2403"/>
      <x:c r="C2403"/>
      <x:c r="D2403"/>
      <x:c r="E2403"/>
      <x:c r="F2403"/>
      <x:c r="G2403"/>
    </x:row>
    <x:row r="2404">
      <x:c r="A2404"/>
      <x:c r="B2404"/>
      <x:c r="C2404"/>
      <x:c r="D2404"/>
      <x:c r="E2404"/>
      <x:c r="F2404"/>
      <x:c r="G2404"/>
    </x:row>
    <x:row r="2405">
      <x:c r="A2405"/>
      <x:c r="B2405"/>
      <x:c r="C2405"/>
      <x:c r="D2405"/>
      <x:c r="E2405"/>
      <x:c r="F2405"/>
      <x:c r="G2405"/>
    </x:row>
    <x:row r="2406">
      <x:c r="A2406"/>
      <x:c r="B2406"/>
      <x:c r="C2406"/>
      <x:c r="D2406"/>
      <x:c r="E2406"/>
      <x:c r="F2406"/>
      <x:c r="G2406"/>
    </x:row>
    <x:row r="2407">
      <x:c r="A2407"/>
      <x:c r="B2407"/>
      <x:c r="C2407"/>
      <x:c r="D2407"/>
      <x:c r="E2407"/>
      <x:c r="F2407"/>
      <x:c r="G2407"/>
    </x:row>
    <x:row r="2408">
      <x:c r="A2408"/>
      <x:c r="B2408"/>
      <x:c r="C2408"/>
      <x:c r="D2408"/>
      <x:c r="E2408"/>
      <x:c r="F2408"/>
      <x:c r="G2408"/>
    </x:row>
    <x:row r="2409">
      <x:c r="A2409"/>
      <x:c r="B2409"/>
      <x:c r="C2409"/>
      <x:c r="D2409"/>
      <x:c r="E2409"/>
      <x:c r="F2409"/>
      <x:c r="G2409"/>
    </x:row>
    <x:row r="2410">
      <x:c r="A2410"/>
      <x:c r="B2410"/>
      <x:c r="C2410"/>
      <x:c r="D2410"/>
      <x:c r="E2410"/>
      <x:c r="F2410"/>
      <x:c r="G2410"/>
    </x:row>
    <x:row r="2411">
      <x:c r="A2411"/>
      <x:c r="B2411"/>
      <x:c r="C2411"/>
      <x:c r="D2411"/>
      <x:c r="E2411"/>
      <x:c r="F2411"/>
      <x:c r="G2411"/>
    </x:row>
    <x:row r="2412">
      <x:c r="A2412"/>
      <x:c r="B2412"/>
      <x:c r="C2412"/>
      <x:c r="D2412"/>
      <x:c r="E2412"/>
      <x:c r="F2412"/>
      <x:c r="G2412"/>
    </x:row>
    <x:row r="2413">
      <x:c r="A2413"/>
      <x:c r="B2413"/>
      <x:c r="C2413"/>
      <x:c r="D2413"/>
      <x:c r="E2413"/>
      <x:c r="F2413"/>
      <x:c r="G2413"/>
    </x:row>
    <x:row r="2414">
      <x:c r="A2414"/>
      <x:c r="B2414"/>
      <x:c r="C2414"/>
      <x:c r="D2414"/>
      <x:c r="E2414"/>
      <x:c r="F2414"/>
      <x:c r="G2414"/>
    </x:row>
    <x:row r="2415">
      <x:c r="A2415"/>
      <x:c r="B2415"/>
      <x:c r="C2415"/>
      <x:c r="D2415"/>
      <x:c r="E2415"/>
      <x:c r="F2415"/>
      <x:c r="G2415"/>
    </x:row>
    <x:row r="2416">
      <x:c r="A2416"/>
      <x:c r="B2416"/>
      <x:c r="C2416"/>
      <x:c r="D2416"/>
      <x:c r="E2416"/>
      <x:c r="F2416"/>
      <x:c r="G2416"/>
    </x:row>
    <x:row r="2417">
      <x:c r="A2417"/>
      <x:c r="B2417"/>
      <x:c r="C2417"/>
      <x:c r="D2417"/>
      <x:c r="E2417"/>
      <x:c r="F2417"/>
      <x:c r="G2417"/>
    </x:row>
    <x:row r="2418">
      <x:c r="A2418"/>
      <x:c r="B2418"/>
      <x:c r="C2418"/>
      <x:c r="D2418"/>
      <x:c r="E2418"/>
      <x:c r="F2418"/>
      <x:c r="G2418"/>
    </x:row>
    <x:row r="2419">
      <x:c r="A2419"/>
      <x:c r="B2419"/>
      <x:c r="C2419"/>
      <x:c r="D2419"/>
      <x:c r="E2419"/>
      <x:c r="F2419"/>
      <x:c r="G2419"/>
    </x:row>
    <x:row r="2420">
      <x:c r="A2420"/>
      <x:c r="B2420"/>
      <x:c r="C2420"/>
      <x:c r="D2420"/>
      <x:c r="E2420"/>
      <x:c r="F2420"/>
      <x:c r="G2420"/>
    </x:row>
    <x:row r="2421">
      <x:c r="A2421"/>
      <x:c r="B2421"/>
      <x:c r="C2421"/>
      <x:c r="D2421"/>
      <x:c r="E2421"/>
      <x:c r="F2421"/>
      <x:c r="G2421"/>
    </x:row>
    <x:row r="2422">
      <x:c r="A2422"/>
      <x:c r="B2422"/>
      <x:c r="C2422"/>
      <x:c r="D2422"/>
      <x:c r="E2422"/>
      <x:c r="F2422"/>
      <x:c r="G2422"/>
    </x:row>
    <x:row r="2423">
      <x:c r="A2423"/>
      <x:c r="B2423"/>
      <x:c r="C2423"/>
      <x:c r="D2423"/>
      <x:c r="E2423"/>
      <x:c r="F2423"/>
      <x:c r="G2423"/>
    </x:row>
    <x:row r="2424">
      <x:c r="A2424"/>
      <x:c r="B2424"/>
      <x:c r="C2424"/>
      <x:c r="D2424"/>
      <x:c r="E2424"/>
      <x:c r="F2424"/>
      <x:c r="G2424"/>
    </x:row>
    <x:row r="2425">
      <x:c r="A2425"/>
      <x:c r="B2425"/>
      <x:c r="C2425"/>
      <x:c r="D2425"/>
      <x:c r="E2425"/>
      <x:c r="F2425"/>
      <x:c r="G2425"/>
    </x:row>
    <x:row r="2426">
      <x:c r="A2426"/>
      <x:c r="B2426"/>
      <x:c r="C2426"/>
      <x:c r="D2426"/>
      <x:c r="E2426"/>
      <x:c r="F2426"/>
      <x:c r="G2426"/>
    </x:row>
    <x:row r="2427">
      <x:c r="A2427"/>
      <x:c r="B2427"/>
      <x:c r="C2427"/>
      <x:c r="D2427"/>
      <x:c r="E2427"/>
      <x:c r="F2427"/>
      <x:c r="G2427"/>
    </x:row>
    <x:row r="2428">
      <x:c r="A2428"/>
      <x:c r="B2428"/>
      <x:c r="C2428"/>
      <x:c r="D2428"/>
      <x:c r="E2428"/>
      <x:c r="F2428"/>
      <x:c r="G2428"/>
    </x:row>
    <x:row r="2429">
      <x:c r="A2429"/>
      <x:c r="B2429"/>
      <x:c r="C2429"/>
      <x:c r="D2429"/>
      <x:c r="E2429"/>
      <x:c r="F2429"/>
      <x:c r="G2429"/>
    </x:row>
    <x:row r="2430">
      <x:c r="A2430"/>
      <x:c r="B2430"/>
      <x:c r="C2430"/>
      <x:c r="D2430"/>
      <x:c r="E2430"/>
      <x:c r="F2430"/>
      <x:c r="G2430"/>
    </x:row>
    <x:row r="2431">
      <x:c r="A2431"/>
      <x:c r="B2431"/>
      <x:c r="C2431"/>
      <x:c r="D2431"/>
      <x:c r="E2431"/>
      <x:c r="F2431"/>
      <x:c r="G2431"/>
    </x:row>
    <x:row r="2432">
      <x:c r="A2432"/>
      <x:c r="B2432"/>
      <x:c r="C2432"/>
      <x:c r="D2432"/>
      <x:c r="E2432"/>
      <x:c r="F2432"/>
      <x:c r="G2432"/>
    </x:row>
    <x:row r="2433">
      <x:c r="A2433"/>
      <x:c r="B2433"/>
      <x:c r="C2433"/>
      <x:c r="D2433"/>
      <x:c r="E2433"/>
      <x:c r="F2433"/>
      <x:c r="G2433"/>
    </x:row>
    <x:row r="2434">
      <x:c r="A2434"/>
      <x:c r="B2434"/>
      <x:c r="C2434"/>
      <x:c r="D2434"/>
      <x:c r="E2434"/>
      <x:c r="F2434"/>
      <x:c r="G2434"/>
    </x:row>
    <x:row r="2435">
      <x:c r="A2435"/>
      <x:c r="B2435"/>
      <x:c r="C2435"/>
      <x:c r="D2435"/>
      <x:c r="E2435"/>
      <x:c r="F2435"/>
      <x:c r="G2435"/>
    </x:row>
    <x:row r="2436">
      <x:c r="A2436"/>
      <x:c r="B2436"/>
      <x:c r="C2436"/>
      <x:c r="D2436"/>
      <x:c r="E2436"/>
      <x:c r="F2436"/>
      <x:c r="G2436"/>
    </x:row>
    <x:row r="2437">
      <x:c r="A2437"/>
      <x:c r="B2437"/>
      <x:c r="C2437"/>
      <x:c r="D2437"/>
      <x:c r="E2437"/>
      <x:c r="F2437"/>
      <x:c r="G2437"/>
    </x:row>
    <x:row r="2438">
      <x:c r="A2438"/>
      <x:c r="B2438"/>
      <x:c r="C2438"/>
      <x:c r="D2438"/>
      <x:c r="E2438"/>
      <x:c r="F2438"/>
      <x:c r="G2438"/>
    </x:row>
    <x:row r="2439">
      <x:c r="A2439"/>
      <x:c r="B2439"/>
      <x:c r="C2439"/>
      <x:c r="D2439"/>
      <x:c r="E2439"/>
      <x:c r="F2439"/>
      <x:c r="G2439"/>
    </x:row>
    <x:row r="2440">
      <x:c r="A2440"/>
      <x:c r="B2440"/>
      <x:c r="C2440"/>
      <x:c r="D2440"/>
      <x:c r="E2440"/>
      <x:c r="F2440"/>
      <x:c r="G2440"/>
    </x:row>
    <x:row r="2441">
      <x:c r="A2441"/>
      <x:c r="B2441"/>
      <x:c r="C2441"/>
      <x:c r="D2441"/>
      <x:c r="E2441"/>
      <x:c r="F2441"/>
      <x:c r="G2441"/>
    </x:row>
    <x:row r="2442">
      <x:c r="A2442"/>
      <x:c r="B2442"/>
      <x:c r="C2442"/>
      <x:c r="D2442"/>
      <x:c r="E2442"/>
      <x:c r="F2442"/>
      <x:c r="G2442"/>
    </x:row>
    <x:row r="2443">
      <x:c r="A2443"/>
      <x:c r="B2443"/>
      <x:c r="C2443"/>
      <x:c r="D2443"/>
      <x:c r="E2443"/>
      <x:c r="F2443"/>
      <x:c r="G2443"/>
    </x:row>
    <x:row r="2444">
      <x:c r="A2444"/>
      <x:c r="B2444"/>
      <x:c r="C2444"/>
      <x:c r="D2444"/>
      <x:c r="E2444"/>
      <x:c r="F2444"/>
      <x:c r="G2444"/>
    </x:row>
    <x:row r="2445">
      <x:c r="A2445"/>
      <x:c r="B2445"/>
      <x:c r="C2445"/>
      <x:c r="D2445"/>
      <x:c r="E2445"/>
      <x:c r="F2445"/>
      <x:c r="G2445"/>
    </x:row>
    <x:row r="2446">
      <x:c r="A2446"/>
      <x:c r="B2446"/>
      <x:c r="C2446"/>
      <x:c r="D2446"/>
      <x:c r="E2446"/>
      <x:c r="F2446"/>
      <x:c r="G2446"/>
    </x:row>
    <x:row r="2447">
      <x:c r="A2447"/>
      <x:c r="B2447"/>
      <x:c r="C2447"/>
      <x:c r="D2447"/>
      <x:c r="E2447"/>
      <x:c r="F2447"/>
      <x:c r="G2447"/>
    </x:row>
    <x:row r="2448">
      <x:c r="A2448"/>
      <x:c r="B2448"/>
      <x:c r="C2448"/>
      <x:c r="D2448"/>
      <x:c r="E2448"/>
      <x:c r="F2448"/>
      <x:c r="G2448"/>
    </x:row>
    <x:row r="2449">
      <x:c r="A2449"/>
      <x:c r="B2449"/>
      <x:c r="C2449"/>
      <x:c r="D2449"/>
      <x:c r="E2449"/>
      <x:c r="F2449"/>
      <x:c r="G2449"/>
    </x:row>
    <x:row r="2450">
      <x:c r="A2450"/>
      <x:c r="B2450"/>
      <x:c r="C2450"/>
      <x:c r="D2450"/>
      <x:c r="E2450"/>
      <x:c r="F2450"/>
      <x:c r="G2450"/>
    </x:row>
    <x:row r="2451">
      <x:c r="A2451"/>
      <x:c r="B2451"/>
      <x:c r="C2451"/>
      <x:c r="D2451"/>
      <x:c r="E2451"/>
      <x:c r="F2451"/>
      <x:c r="G2451"/>
    </x:row>
    <x:row r="2452">
      <x:c r="A2452"/>
      <x:c r="B2452"/>
      <x:c r="C2452"/>
      <x:c r="D2452"/>
      <x:c r="E2452"/>
      <x:c r="F2452"/>
      <x:c r="G2452"/>
    </x:row>
    <x:row r="2453">
      <x:c r="A2453"/>
      <x:c r="B2453"/>
      <x:c r="C2453"/>
      <x:c r="D2453"/>
      <x:c r="E2453"/>
      <x:c r="F2453"/>
      <x:c r="G2453"/>
    </x:row>
    <x:row r="2454">
      <x:c r="A2454"/>
      <x:c r="B2454"/>
      <x:c r="C2454"/>
      <x:c r="D2454"/>
      <x:c r="E2454"/>
      <x:c r="F2454"/>
      <x:c r="G2454"/>
    </x:row>
    <x:row r="2455">
      <x:c r="A2455"/>
      <x:c r="B2455"/>
      <x:c r="C2455"/>
      <x:c r="D2455"/>
      <x:c r="E2455"/>
      <x:c r="F2455"/>
      <x:c r="G2455"/>
    </x:row>
    <x:row r="2456">
      <x:c r="A2456"/>
      <x:c r="B2456"/>
      <x:c r="C2456"/>
      <x:c r="D2456"/>
      <x:c r="E2456"/>
      <x:c r="F2456"/>
      <x:c r="G2456"/>
    </x:row>
    <x:row r="2457">
      <x:c r="A2457"/>
      <x:c r="B2457"/>
      <x:c r="C2457"/>
      <x:c r="D2457"/>
      <x:c r="E2457"/>
      <x:c r="F2457"/>
      <x:c r="G2457"/>
    </x:row>
    <x:row r="2458">
      <x:c r="A2458"/>
      <x:c r="B2458"/>
      <x:c r="C2458"/>
      <x:c r="D2458"/>
      <x:c r="E2458"/>
      <x:c r="F2458"/>
      <x:c r="G2458"/>
    </x:row>
    <x:row r="2459">
      <x:c r="A2459"/>
      <x:c r="B2459"/>
      <x:c r="C2459"/>
      <x:c r="D2459"/>
      <x:c r="E2459"/>
      <x:c r="F2459"/>
      <x:c r="G2459"/>
    </x:row>
    <x:row r="2460">
      <x:c r="A2460"/>
      <x:c r="B2460"/>
      <x:c r="C2460"/>
      <x:c r="D2460"/>
      <x:c r="E2460"/>
      <x:c r="F2460"/>
      <x:c r="G2460"/>
    </x:row>
    <x:row r="2461">
      <x:c r="A2461"/>
      <x:c r="B2461"/>
      <x:c r="C2461"/>
      <x:c r="D2461"/>
      <x:c r="E2461"/>
      <x:c r="F2461"/>
      <x:c r="G2461"/>
    </x:row>
    <x:row r="2462">
      <x:c r="A2462"/>
      <x:c r="B2462"/>
      <x:c r="C2462"/>
      <x:c r="D2462"/>
      <x:c r="E2462"/>
      <x:c r="F2462"/>
      <x:c r="G2462"/>
    </x:row>
    <x:row r="2463">
      <x:c r="A2463"/>
      <x:c r="B2463"/>
      <x:c r="C2463"/>
      <x:c r="D2463"/>
      <x:c r="E2463"/>
      <x:c r="F2463"/>
      <x:c r="G2463"/>
    </x:row>
    <x:row r="2464">
      <x:c r="A2464"/>
      <x:c r="B2464"/>
      <x:c r="C2464"/>
      <x:c r="D2464"/>
      <x:c r="E2464"/>
      <x:c r="F2464"/>
      <x:c r="G2464"/>
    </x:row>
    <x:row r="2465">
      <x:c r="A2465"/>
      <x:c r="B2465"/>
      <x:c r="C2465"/>
      <x:c r="D2465"/>
      <x:c r="E2465"/>
      <x:c r="F2465"/>
      <x:c r="G2465"/>
    </x:row>
    <x:row r="2466">
      <x:c r="A2466"/>
      <x:c r="B2466"/>
      <x:c r="C2466"/>
      <x:c r="D2466"/>
      <x:c r="E2466"/>
      <x:c r="F2466"/>
      <x:c r="G2466"/>
    </x:row>
    <x:row r="2467">
      <x:c r="A2467"/>
      <x:c r="B2467"/>
      <x:c r="C2467"/>
      <x:c r="D2467"/>
      <x:c r="E2467"/>
      <x:c r="F2467"/>
      <x:c r="G2467"/>
    </x:row>
    <x:row r="2468">
      <x:c r="A2468"/>
      <x:c r="B2468"/>
      <x:c r="C2468"/>
      <x:c r="D2468"/>
      <x:c r="E2468"/>
      <x:c r="F2468"/>
      <x:c r="G2468"/>
    </x:row>
    <x:row r="2469">
      <x:c r="A2469"/>
      <x:c r="B2469"/>
      <x:c r="C2469"/>
      <x:c r="D2469"/>
      <x:c r="E2469"/>
      <x:c r="F2469"/>
      <x:c r="G2469"/>
    </x:row>
    <x:row r="2470">
      <x:c r="A2470"/>
      <x:c r="B2470"/>
      <x:c r="C2470"/>
      <x:c r="D2470"/>
      <x:c r="E2470"/>
      <x:c r="F2470"/>
      <x:c r="G2470"/>
    </x:row>
    <x:row r="2471">
      <x:c r="A2471"/>
      <x:c r="B2471"/>
      <x:c r="C2471"/>
      <x:c r="D2471"/>
      <x:c r="E2471"/>
      <x:c r="F2471"/>
      <x:c r="G2471"/>
    </x:row>
    <x:row r="2472">
      <x:c r="A2472"/>
      <x:c r="B2472"/>
      <x:c r="C2472"/>
      <x:c r="D2472"/>
      <x:c r="E2472"/>
      <x:c r="F2472"/>
      <x:c r="G2472"/>
    </x:row>
    <x:row r="2473">
      <x:c r="A2473"/>
      <x:c r="B2473"/>
      <x:c r="C2473"/>
      <x:c r="D2473"/>
      <x:c r="E2473"/>
      <x:c r="F2473"/>
      <x:c r="G2473"/>
    </x:row>
    <x:row r="2474">
      <x:c r="A2474"/>
      <x:c r="B2474"/>
      <x:c r="C2474"/>
      <x:c r="D2474"/>
      <x:c r="E2474"/>
      <x:c r="F2474"/>
      <x:c r="G2474"/>
    </x:row>
    <x:row r="2475">
      <x:c r="A2475"/>
      <x:c r="B2475"/>
      <x:c r="C2475"/>
      <x:c r="D2475"/>
      <x:c r="E2475"/>
      <x:c r="F2475"/>
      <x:c r="G2475"/>
    </x:row>
    <x:row r="2476">
      <x:c r="A2476"/>
      <x:c r="B2476"/>
      <x:c r="C2476"/>
      <x:c r="D2476"/>
      <x:c r="E2476"/>
      <x:c r="F2476"/>
      <x:c r="G2476"/>
    </x:row>
    <x:row r="2477">
      <x:c r="A2477"/>
      <x:c r="B2477"/>
      <x:c r="C2477"/>
      <x:c r="D2477"/>
      <x:c r="E2477"/>
      <x:c r="F2477"/>
      <x:c r="G2477"/>
    </x:row>
    <x:row r="2478">
      <x:c r="A2478"/>
      <x:c r="B2478"/>
      <x:c r="C2478"/>
      <x:c r="D2478"/>
      <x:c r="E2478"/>
      <x:c r="F2478"/>
      <x:c r="G2478"/>
    </x:row>
    <x:row r="2479">
      <x:c r="A2479"/>
      <x:c r="B2479"/>
      <x:c r="C2479"/>
      <x:c r="D2479"/>
      <x:c r="E2479"/>
      <x:c r="F2479"/>
      <x:c r="G2479"/>
    </x:row>
    <x:row r="2480">
      <x:c r="A2480"/>
      <x:c r="B2480"/>
      <x:c r="C2480"/>
      <x:c r="D2480"/>
      <x:c r="E2480"/>
      <x:c r="F2480"/>
      <x:c r="G2480"/>
    </x:row>
    <x:row r="2481">
      <x:c r="A2481"/>
      <x:c r="B2481"/>
      <x:c r="C2481"/>
      <x:c r="D2481"/>
      <x:c r="E2481"/>
      <x:c r="F2481"/>
      <x:c r="G2481"/>
    </x:row>
    <x:row r="2482">
      <x:c r="A2482"/>
      <x:c r="B2482"/>
      <x:c r="C2482"/>
      <x:c r="D2482"/>
      <x:c r="E2482"/>
      <x:c r="F2482"/>
      <x:c r="G2482"/>
    </x:row>
    <x:row r="2483">
      <x:c r="A2483"/>
      <x:c r="B2483"/>
      <x:c r="C2483"/>
      <x:c r="D2483"/>
      <x:c r="E2483"/>
      <x:c r="F2483"/>
      <x:c r="G2483"/>
    </x:row>
    <x:row r="2484">
      <x:c r="A2484"/>
      <x:c r="B2484"/>
      <x:c r="C2484"/>
      <x:c r="D2484"/>
      <x:c r="E2484"/>
      <x:c r="F2484"/>
      <x:c r="G2484"/>
    </x:row>
    <x:row r="2485">
      <x:c r="A2485"/>
      <x:c r="B2485"/>
      <x:c r="C2485"/>
      <x:c r="D2485"/>
      <x:c r="E2485"/>
      <x:c r="F2485"/>
      <x:c r="G2485"/>
    </x:row>
    <x:row r="2486">
      <x:c r="A2486"/>
      <x:c r="B2486"/>
      <x:c r="C2486"/>
      <x:c r="D2486"/>
      <x:c r="E2486"/>
      <x:c r="F2486"/>
      <x:c r="G2486"/>
    </x:row>
    <x:row r="2487">
      <x:c r="A2487"/>
      <x:c r="B2487"/>
      <x:c r="C2487"/>
      <x:c r="D2487"/>
      <x:c r="E2487"/>
      <x:c r="F2487"/>
      <x:c r="G2487"/>
    </x:row>
    <x:row r="2488">
      <x:c r="A2488"/>
      <x:c r="B2488"/>
      <x:c r="C2488"/>
      <x:c r="D2488"/>
      <x:c r="E2488"/>
      <x:c r="F2488"/>
      <x:c r="G2488"/>
    </x:row>
    <x:row r="2489">
      <x:c r="A2489"/>
      <x:c r="B2489"/>
      <x:c r="C2489"/>
      <x:c r="D2489"/>
      <x:c r="E2489"/>
      <x:c r="F2489"/>
      <x:c r="G2489"/>
    </x:row>
    <x:row r="2490">
      <x:c r="A2490"/>
      <x:c r="B2490"/>
      <x:c r="C2490"/>
      <x:c r="D2490"/>
      <x:c r="E2490"/>
      <x:c r="F2490"/>
      <x:c r="G2490"/>
    </x:row>
    <x:row r="2491">
      <x:c r="A2491"/>
      <x:c r="B2491"/>
      <x:c r="C2491"/>
      <x:c r="D2491"/>
      <x:c r="E2491"/>
      <x:c r="F2491"/>
      <x:c r="G2491"/>
    </x:row>
    <x:row r="2492">
      <x:c r="A2492"/>
      <x:c r="B2492"/>
      <x:c r="C2492"/>
      <x:c r="D2492"/>
      <x:c r="E2492"/>
      <x:c r="F2492"/>
      <x:c r="G2492"/>
    </x:row>
    <x:row r="2493">
      <x:c r="A2493"/>
      <x:c r="B2493"/>
      <x:c r="C2493"/>
      <x:c r="D2493"/>
      <x:c r="E2493"/>
      <x:c r="F2493"/>
      <x:c r="G2493"/>
    </x:row>
    <x:row r="2494">
      <x:c r="A2494"/>
      <x:c r="B2494"/>
      <x:c r="C2494"/>
      <x:c r="D2494"/>
      <x:c r="E2494"/>
      <x:c r="F2494"/>
      <x:c r="G2494"/>
    </x:row>
    <x:row r="2495">
      <x:c r="A2495"/>
      <x:c r="B2495"/>
      <x:c r="C2495"/>
      <x:c r="D2495"/>
      <x:c r="E2495"/>
      <x:c r="F2495"/>
      <x:c r="G2495"/>
    </x:row>
    <x:row r="2496">
      <x:c r="A2496"/>
      <x:c r="B2496"/>
      <x:c r="C2496"/>
      <x:c r="D2496"/>
      <x:c r="E2496"/>
      <x:c r="F2496"/>
      <x:c r="G2496"/>
    </x:row>
    <x:row r="2497">
      <x:c r="A2497"/>
      <x:c r="B2497"/>
      <x:c r="C2497"/>
      <x:c r="D2497"/>
      <x:c r="E2497"/>
      <x:c r="F2497"/>
      <x:c r="G2497"/>
    </x:row>
    <x:row r="2498">
      <x:c r="A2498"/>
      <x:c r="B2498"/>
      <x:c r="C2498"/>
      <x:c r="D2498"/>
      <x:c r="E2498"/>
      <x:c r="F2498"/>
      <x:c r="G2498"/>
    </x:row>
    <x:row r="2499">
      <x:c r="A2499"/>
      <x:c r="B2499"/>
      <x:c r="C2499"/>
      <x:c r="D2499"/>
      <x:c r="E2499"/>
      <x:c r="F2499"/>
      <x:c r="G2499"/>
    </x:row>
    <x:row r="2500">
      <x:c r="A2500"/>
      <x:c r="B2500"/>
      <x:c r="C2500"/>
      <x:c r="D2500"/>
      <x:c r="E2500"/>
      <x:c r="F2500"/>
      <x:c r="G2500"/>
    </x:row>
    <x:row r="2501">
      <x:c r="A2501"/>
      <x:c r="B2501"/>
      <x:c r="C2501"/>
      <x:c r="D2501"/>
      <x:c r="E2501"/>
      <x:c r="F2501"/>
      <x:c r="G2501"/>
    </x:row>
    <x:row r="2502">
      <x:c r="A2502"/>
      <x:c r="B2502"/>
      <x:c r="C2502"/>
      <x:c r="D2502"/>
      <x:c r="E2502"/>
      <x:c r="F2502"/>
      <x:c r="G2502"/>
    </x:row>
    <x:row r="2503">
      <x:c r="A2503"/>
      <x:c r="B2503"/>
      <x:c r="C2503"/>
      <x:c r="D2503"/>
      <x:c r="E2503"/>
      <x:c r="F2503"/>
      <x:c r="G2503"/>
    </x:row>
    <x:row r="2504">
      <x:c r="A2504"/>
      <x:c r="B2504"/>
      <x:c r="C2504"/>
      <x:c r="D2504"/>
      <x:c r="E2504"/>
      <x:c r="F2504"/>
      <x:c r="G2504"/>
    </x:row>
    <x:row r="2505">
      <x:c r="A2505"/>
      <x:c r="B2505"/>
      <x:c r="C2505"/>
      <x:c r="D2505"/>
      <x:c r="E2505"/>
      <x:c r="F2505"/>
      <x:c r="G2505"/>
    </x:row>
    <x:row r="2506">
      <x:c r="A2506"/>
      <x:c r="B2506"/>
      <x:c r="C2506"/>
      <x:c r="D2506"/>
      <x:c r="E2506"/>
      <x:c r="F2506"/>
      <x:c r="G2506"/>
    </x:row>
    <x:row r="2507">
      <x:c r="A2507"/>
      <x:c r="B2507"/>
      <x:c r="C2507"/>
      <x:c r="D2507"/>
      <x:c r="E2507"/>
      <x:c r="F2507"/>
      <x:c r="G2507"/>
    </x:row>
    <x:row r="2508">
      <x:c r="A2508"/>
      <x:c r="B2508"/>
      <x:c r="C2508"/>
      <x:c r="D2508"/>
      <x:c r="E2508"/>
      <x:c r="F2508"/>
      <x:c r="G2508"/>
    </x:row>
    <x:row r="2509">
      <x:c r="A2509"/>
      <x:c r="B2509"/>
      <x:c r="C2509"/>
      <x:c r="D2509"/>
      <x:c r="E2509"/>
      <x:c r="F2509"/>
      <x:c r="G2509"/>
    </x:row>
    <x:row r="2510">
      <x:c r="A2510"/>
      <x:c r="B2510"/>
      <x:c r="C2510"/>
      <x:c r="D2510"/>
      <x:c r="E2510"/>
      <x:c r="F2510"/>
      <x:c r="G2510"/>
    </x:row>
    <x:row r="2511">
      <x:c r="A2511"/>
      <x:c r="B2511"/>
      <x:c r="C2511"/>
      <x:c r="D2511"/>
      <x:c r="E2511"/>
      <x:c r="F2511"/>
      <x:c r="G2511"/>
    </x:row>
    <x:row r="2512">
      <x:c r="A2512"/>
      <x:c r="B2512"/>
      <x:c r="C2512"/>
      <x:c r="D2512"/>
      <x:c r="E2512"/>
      <x:c r="F2512"/>
      <x:c r="G2512"/>
    </x:row>
    <x:row r="2513">
      <x:c r="A2513"/>
      <x:c r="B2513"/>
      <x:c r="C2513"/>
      <x:c r="D2513"/>
      <x:c r="E2513"/>
      <x:c r="F2513"/>
      <x:c r="G2513"/>
    </x:row>
    <x:row r="2514">
      <x:c r="A2514"/>
      <x:c r="B2514"/>
      <x:c r="C2514"/>
      <x:c r="D2514"/>
      <x:c r="E2514"/>
      <x:c r="F2514"/>
      <x:c r="G2514"/>
    </x:row>
    <x:row r="2515">
      <x:c r="A2515"/>
      <x:c r="B2515"/>
      <x:c r="C2515"/>
      <x:c r="D2515"/>
      <x:c r="E2515"/>
      <x:c r="F2515"/>
      <x:c r="G2515"/>
    </x:row>
    <x:row r="2516">
      <x:c r="A2516"/>
      <x:c r="B2516"/>
      <x:c r="C2516"/>
      <x:c r="D2516"/>
      <x:c r="E2516"/>
      <x:c r="F2516"/>
      <x:c r="G2516"/>
    </x:row>
    <x:row r="2517">
      <x:c r="A2517"/>
      <x:c r="B2517"/>
      <x:c r="C2517"/>
      <x:c r="D2517"/>
      <x:c r="E2517"/>
      <x:c r="F2517"/>
      <x:c r="G2517"/>
    </x:row>
    <x:row r="2518">
      <x:c r="A2518"/>
      <x:c r="B2518"/>
      <x:c r="C2518"/>
      <x:c r="D2518"/>
      <x:c r="E2518"/>
      <x:c r="F2518"/>
      <x:c r="G2518"/>
    </x:row>
    <x:row r="2519">
      <x:c r="A2519"/>
      <x:c r="B2519"/>
      <x:c r="C2519"/>
      <x:c r="D2519"/>
      <x:c r="E2519"/>
      <x:c r="F2519"/>
      <x:c r="G2519"/>
    </x:row>
    <x:row r="2520">
      <x:c r="A2520"/>
      <x:c r="B2520"/>
      <x:c r="C2520"/>
      <x:c r="D2520"/>
      <x:c r="E2520"/>
      <x:c r="F2520"/>
      <x:c r="G2520"/>
    </x:row>
    <x:row r="2521">
      <x:c r="A2521"/>
      <x:c r="B2521"/>
      <x:c r="C2521"/>
      <x:c r="D2521"/>
      <x:c r="E2521"/>
      <x:c r="F2521"/>
      <x:c r="G2521"/>
    </x:row>
    <x:row r="2522">
      <x:c r="A2522"/>
      <x:c r="B2522"/>
      <x:c r="C2522"/>
      <x:c r="D2522"/>
      <x:c r="E2522"/>
      <x:c r="F2522"/>
      <x:c r="G2522"/>
    </x:row>
    <x:row r="2523">
      <x:c r="A2523"/>
      <x:c r="B2523"/>
      <x:c r="C2523"/>
      <x:c r="D2523"/>
      <x:c r="E2523"/>
      <x:c r="F2523"/>
      <x:c r="G2523"/>
    </x:row>
    <x:row r="2524">
      <x:c r="A2524"/>
      <x:c r="B2524"/>
      <x:c r="C2524"/>
      <x:c r="D2524"/>
      <x:c r="E2524"/>
      <x:c r="F2524"/>
      <x:c r="G2524"/>
    </x:row>
    <x:row r="2525">
      <x:c r="A2525"/>
      <x:c r="B2525"/>
      <x:c r="C2525"/>
      <x:c r="D2525"/>
      <x:c r="E2525"/>
      <x:c r="F2525"/>
      <x:c r="G2525"/>
    </x:row>
    <x:row r="2526">
      <x:c r="A2526"/>
      <x:c r="B2526"/>
      <x:c r="C2526"/>
      <x:c r="D2526"/>
      <x:c r="E2526"/>
      <x:c r="F2526"/>
      <x:c r="G2526"/>
    </x:row>
    <x:row r="2527">
      <x:c r="A2527"/>
      <x:c r="B2527"/>
      <x:c r="C2527"/>
      <x:c r="D2527"/>
      <x:c r="E2527"/>
      <x:c r="F2527"/>
      <x:c r="G2527"/>
    </x:row>
    <x:row r="2528">
      <x:c r="A2528"/>
      <x:c r="B2528"/>
      <x:c r="C2528"/>
      <x:c r="D2528"/>
      <x:c r="E2528"/>
      <x:c r="F2528"/>
      <x:c r="G2528"/>
    </x:row>
    <x:row r="2529">
      <x:c r="A2529"/>
      <x:c r="B2529"/>
      <x:c r="C2529"/>
      <x:c r="D2529"/>
      <x:c r="E2529"/>
      <x:c r="F2529"/>
      <x:c r="G2529"/>
    </x:row>
    <x:row r="2530">
      <x:c r="A2530"/>
      <x:c r="B2530"/>
      <x:c r="C2530"/>
      <x:c r="D2530"/>
      <x:c r="E2530"/>
      <x:c r="F2530"/>
      <x:c r="G2530"/>
    </x:row>
    <x:row r="2531">
      <x:c r="A2531"/>
      <x:c r="B2531"/>
      <x:c r="C2531"/>
      <x:c r="D2531"/>
      <x:c r="E2531"/>
      <x:c r="F2531"/>
      <x:c r="G2531"/>
    </x:row>
    <x:row r="2532">
      <x:c r="A2532"/>
      <x:c r="B2532"/>
      <x:c r="C2532"/>
      <x:c r="D2532"/>
      <x:c r="E2532"/>
      <x:c r="F2532"/>
      <x:c r="G2532"/>
    </x:row>
    <x:row r="2533">
      <x:c r="A2533"/>
      <x:c r="B2533"/>
      <x:c r="C2533"/>
      <x:c r="D2533"/>
      <x:c r="E2533"/>
      <x:c r="F2533"/>
      <x:c r="G2533"/>
    </x:row>
    <x:row r="2534">
      <x:c r="A2534"/>
      <x:c r="B2534"/>
      <x:c r="C2534"/>
      <x:c r="D2534"/>
      <x:c r="E2534"/>
      <x:c r="F2534"/>
      <x:c r="G2534"/>
    </x:row>
    <x:row r="2535">
      <x:c r="A2535"/>
      <x:c r="B2535"/>
      <x:c r="C2535"/>
      <x:c r="D2535"/>
      <x:c r="E2535"/>
      <x:c r="F2535"/>
      <x:c r="G2535"/>
    </x:row>
    <x:row r="2536">
      <x:c r="A2536"/>
      <x:c r="B2536"/>
      <x:c r="C2536"/>
      <x:c r="D2536"/>
      <x:c r="E2536"/>
      <x:c r="F2536"/>
      <x:c r="G2536"/>
    </x:row>
    <x:row r="2537">
      <x:c r="A2537"/>
      <x:c r="B2537"/>
      <x:c r="C2537"/>
      <x:c r="D2537"/>
      <x:c r="E2537"/>
      <x:c r="F2537"/>
      <x:c r="G2537"/>
    </x:row>
    <x:row r="2538">
      <x:c r="A2538"/>
      <x:c r="B2538"/>
      <x:c r="C2538"/>
      <x:c r="D2538"/>
      <x:c r="E2538"/>
      <x:c r="F2538"/>
      <x:c r="G2538"/>
    </x:row>
    <x:row r="2539">
      <x:c r="A2539"/>
      <x:c r="B2539"/>
      <x:c r="C2539"/>
      <x:c r="D2539"/>
      <x:c r="E2539"/>
      <x:c r="F2539"/>
      <x:c r="G2539"/>
    </x:row>
    <x:row r="2540">
      <x:c r="A2540"/>
      <x:c r="B2540"/>
      <x:c r="C2540"/>
      <x:c r="D2540"/>
      <x:c r="E2540"/>
      <x:c r="F2540"/>
      <x:c r="G2540"/>
    </x:row>
    <x:row r="2541">
      <x:c r="A2541"/>
      <x:c r="B2541"/>
      <x:c r="C2541"/>
      <x:c r="D2541"/>
      <x:c r="E2541"/>
      <x:c r="F2541"/>
      <x:c r="G2541"/>
    </x:row>
    <x:row r="2542">
      <x:c r="A2542"/>
      <x:c r="B2542"/>
      <x:c r="C2542"/>
      <x:c r="D2542"/>
      <x:c r="E2542"/>
      <x:c r="F2542"/>
      <x:c r="G2542"/>
    </x:row>
    <x:row r="2543">
      <x:c r="A2543"/>
      <x:c r="B2543"/>
      <x:c r="C2543"/>
      <x:c r="D2543"/>
      <x:c r="E2543"/>
      <x:c r="F2543"/>
      <x:c r="G2543"/>
    </x:row>
    <x:row r="2544">
      <x:c r="A2544"/>
      <x:c r="B2544"/>
      <x:c r="C2544"/>
      <x:c r="D2544"/>
      <x:c r="E2544"/>
      <x:c r="F2544"/>
      <x:c r="G2544"/>
    </x:row>
    <x:row r="2545">
      <x:c r="A2545"/>
      <x:c r="B2545"/>
      <x:c r="C2545"/>
      <x:c r="D2545"/>
      <x:c r="E2545"/>
      <x:c r="F2545"/>
      <x:c r="G2545"/>
    </x:row>
    <x:row r="2546">
      <x:c r="A2546"/>
      <x:c r="B2546"/>
      <x:c r="C2546"/>
      <x:c r="D2546"/>
      <x:c r="E2546"/>
      <x:c r="F2546"/>
      <x:c r="G2546"/>
    </x:row>
    <x:row r="2547">
      <x:c r="A2547"/>
      <x:c r="B2547"/>
      <x:c r="C2547"/>
      <x:c r="D2547"/>
      <x:c r="E2547"/>
      <x:c r="F2547"/>
      <x:c r="G2547"/>
    </x:row>
    <x:row r="2548">
      <x:c r="A2548"/>
      <x:c r="B2548"/>
      <x:c r="C2548"/>
      <x:c r="D2548"/>
      <x:c r="E2548"/>
      <x:c r="F2548"/>
      <x:c r="G2548"/>
    </x:row>
    <x:row r="2549">
      <x:c r="A2549"/>
      <x:c r="B2549"/>
      <x:c r="C2549"/>
      <x:c r="D2549"/>
      <x:c r="E2549"/>
      <x:c r="F2549"/>
      <x:c r="G2549"/>
    </x:row>
    <x:row r="2550">
      <x:c r="A2550"/>
      <x:c r="B2550"/>
      <x:c r="C2550"/>
      <x:c r="D2550"/>
      <x:c r="E2550"/>
      <x:c r="F2550"/>
      <x:c r="G2550"/>
    </x:row>
    <x:row r="2551">
      <x:c r="A2551"/>
      <x:c r="B2551"/>
      <x:c r="C2551"/>
      <x:c r="D2551"/>
      <x:c r="E2551"/>
      <x:c r="F2551"/>
      <x:c r="G2551"/>
    </x:row>
    <x:row r="2552">
      <x:c r="A2552"/>
      <x:c r="B2552"/>
      <x:c r="C2552"/>
      <x:c r="D2552"/>
      <x:c r="E2552"/>
      <x:c r="F2552"/>
      <x:c r="G2552"/>
    </x:row>
    <x:row r="2553">
      <x:c r="A2553"/>
      <x:c r="B2553"/>
      <x:c r="C2553"/>
      <x:c r="D2553"/>
      <x:c r="E2553"/>
      <x:c r="F2553"/>
      <x:c r="G2553"/>
    </x:row>
    <x:row r="2554">
      <x:c r="A2554"/>
      <x:c r="B2554"/>
      <x:c r="C2554"/>
      <x:c r="D2554"/>
      <x:c r="E2554"/>
      <x:c r="F2554"/>
      <x:c r="G2554"/>
    </x:row>
    <x:row r="2555">
      <x:c r="A2555"/>
      <x:c r="B2555"/>
      <x:c r="C2555"/>
      <x:c r="D2555"/>
      <x:c r="E2555"/>
      <x:c r="F2555"/>
      <x:c r="G2555"/>
    </x:row>
    <x:row r="2556">
      <x:c r="A2556"/>
      <x:c r="B2556"/>
      <x:c r="C2556"/>
      <x:c r="D2556"/>
      <x:c r="E2556"/>
      <x:c r="F2556"/>
      <x:c r="G2556"/>
    </x:row>
    <x:row r="2557">
      <x:c r="A2557"/>
      <x:c r="B2557"/>
      <x:c r="C2557"/>
      <x:c r="D2557"/>
      <x:c r="E2557"/>
      <x:c r="F2557"/>
      <x:c r="G2557"/>
    </x:row>
    <x:row r="2558">
      <x:c r="A2558"/>
      <x:c r="B2558"/>
      <x:c r="C2558"/>
      <x:c r="D2558"/>
      <x:c r="E2558"/>
      <x:c r="F2558"/>
      <x:c r="G2558"/>
    </x:row>
    <x:row r="2559">
      <x:c r="A2559"/>
      <x:c r="B2559"/>
      <x:c r="C2559"/>
      <x:c r="D2559"/>
      <x:c r="E2559"/>
      <x:c r="F2559"/>
      <x:c r="G2559"/>
    </x:row>
    <x:row r="2560">
      <x:c r="A2560"/>
      <x:c r="B2560"/>
      <x:c r="C2560"/>
      <x:c r="D2560"/>
      <x:c r="E2560"/>
      <x:c r="F2560"/>
      <x:c r="G2560"/>
    </x:row>
    <x:row r="2561">
      <x:c r="A2561"/>
      <x:c r="B2561"/>
      <x:c r="C2561"/>
      <x:c r="D2561"/>
      <x:c r="E2561"/>
      <x:c r="F2561"/>
      <x:c r="G2561"/>
    </x:row>
    <x:row r="2562">
      <x:c r="A2562"/>
      <x:c r="B2562"/>
      <x:c r="C2562"/>
      <x:c r="D2562"/>
      <x:c r="E2562"/>
      <x:c r="F2562"/>
      <x:c r="G2562"/>
    </x:row>
    <x:row r="2563">
      <x:c r="A2563"/>
      <x:c r="B2563"/>
      <x:c r="C2563"/>
      <x:c r="D2563"/>
      <x:c r="E2563"/>
      <x:c r="F2563"/>
      <x:c r="G2563"/>
    </x:row>
    <x:row r="2564">
      <x:c r="A2564"/>
      <x:c r="B2564"/>
      <x:c r="C2564"/>
      <x:c r="D2564"/>
      <x:c r="E2564"/>
      <x:c r="F2564"/>
      <x:c r="G2564"/>
    </x:row>
    <x:row r="2565">
      <x:c r="A2565"/>
      <x:c r="B2565"/>
      <x:c r="C2565"/>
      <x:c r="D2565"/>
      <x:c r="E2565"/>
      <x:c r="F2565"/>
      <x:c r="G2565"/>
    </x:row>
    <x:row r="2566">
      <x:c r="A2566"/>
      <x:c r="B2566"/>
      <x:c r="C2566"/>
      <x:c r="D2566"/>
      <x:c r="E2566"/>
      <x:c r="F2566"/>
      <x:c r="G2566"/>
    </x:row>
    <x:row r="2567">
      <x:c r="A2567"/>
      <x:c r="B2567"/>
      <x:c r="C2567"/>
      <x:c r="D2567"/>
      <x:c r="E2567"/>
      <x:c r="F2567"/>
      <x:c r="G2567"/>
    </x:row>
    <x:row r="2568">
      <x:c r="A2568"/>
      <x:c r="B2568"/>
      <x:c r="C2568"/>
      <x:c r="D2568"/>
      <x:c r="E2568"/>
      <x:c r="F2568"/>
      <x:c r="G2568"/>
    </x:row>
    <x:row r="2569">
      <x:c r="A2569"/>
      <x:c r="B2569"/>
      <x:c r="C2569"/>
      <x:c r="D2569"/>
      <x:c r="E2569"/>
      <x:c r="F2569"/>
      <x:c r="G2569"/>
    </x:row>
    <x:row r="2570">
      <x:c r="A2570"/>
      <x:c r="B2570"/>
      <x:c r="C2570"/>
      <x:c r="D2570"/>
      <x:c r="E2570"/>
      <x:c r="F2570"/>
      <x:c r="G2570"/>
    </x:row>
    <x:row r="2571">
      <x:c r="A2571"/>
      <x:c r="B2571"/>
      <x:c r="C2571"/>
      <x:c r="D2571"/>
      <x:c r="E2571"/>
      <x:c r="F2571"/>
      <x:c r="G2571"/>
    </x:row>
    <x:row r="2572">
      <x:c r="A2572"/>
      <x:c r="B2572"/>
      <x:c r="C2572"/>
      <x:c r="D2572"/>
      <x:c r="E2572"/>
      <x:c r="F2572"/>
      <x:c r="G2572"/>
    </x:row>
    <x:row r="2573">
      <x:c r="A2573"/>
      <x:c r="B2573"/>
      <x:c r="C2573"/>
      <x:c r="D2573"/>
      <x:c r="E2573"/>
      <x:c r="F2573"/>
      <x:c r="G2573"/>
    </x:row>
    <x:row r="2574">
      <x:c r="A2574"/>
      <x:c r="B2574"/>
      <x:c r="C2574"/>
      <x:c r="D2574"/>
      <x:c r="E2574"/>
      <x:c r="F2574"/>
      <x:c r="G2574"/>
    </x:row>
    <x:row r="2575">
      <x:c r="A2575"/>
      <x:c r="B2575"/>
      <x:c r="C2575"/>
      <x:c r="D2575"/>
      <x:c r="E2575"/>
      <x:c r="F2575"/>
      <x:c r="G2575"/>
    </x:row>
    <x:row r="2576">
      <x:c r="A2576"/>
      <x:c r="B2576"/>
      <x:c r="C2576"/>
      <x:c r="D2576"/>
      <x:c r="E2576"/>
      <x:c r="F2576"/>
      <x:c r="G2576"/>
    </x:row>
    <x:row r="2577">
      <x:c r="A2577"/>
      <x:c r="B2577"/>
      <x:c r="C2577"/>
      <x:c r="D2577"/>
      <x:c r="E2577"/>
      <x:c r="F2577"/>
      <x:c r="G2577"/>
    </x:row>
    <x:row r="2578">
      <x:c r="A2578"/>
      <x:c r="B2578"/>
      <x:c r="C2578"/>
      <x:c r="D2578"/>
      <x:c r="E2578"/>
      <x:c r="F2578"/>
      <x:c r="G2578"/>
    </x:row>
    <x:row r="2579">
      <x:c r="A2579"/>
      <x:c r="B2579"/>
      <x:c r="C2579"/>
      <x:c r="D2579"/>
      <x:c r="E2579"/>
      <x:c r="F2579"/>
      <x:c r="G2579"/>
    </x:row>
    <x:row r="2580">
      <x:c r="A2580"/>
      <x:c r="B2580"/>
      <x:c r="C2580"/>
      <x:c r="D2580"/>
      <x:c r="E2580"/>
      <x:c r="F2580"/>
      <x:c r="G2580"/>
    </x:row>
    <x:row r="2581">
      <x:c r="A2581"/>
      <x:c r="B2581"/>
      <x:c r="C2581"/>
      <x:c r="D2581"/>
      <x:c r="E2581"/>
      <x:c r="F2581"/>
      <x:c r="G2581"/>
    </x:row>
    <x:row r="2582">
      <x:c r="A2582"/>
      <x:c r="B2582"/>
      <x:c r="C2582"/>
      <x:c r="D2582"/>
      <x:c r="E2582"/>
      <x:c r="F2582"/>
      <x:c r="G2582"/>
    </x:row>
    <x:row r="2583">
      <x:c r="A2583"/>
      <x:c r="B2583"/>
      <x:c r="C2583"/>
      <x:c r="D2583"/>
      <x:c r="E2583"/>
      <x:c r="F2583"/>
      <x:c r="G2583"/>
    </x:row>
    <x:row r="2584">
      <x:c r="A2584"/>
      <x:c r="B2584"/>
      <x:c r="C2584"/>
      <x:c r="D2584"/>
      <x:c r="E2584"/>
      <x:c r="F2584"/>
      <x:c r="G2584"/>
    </x:row>
    <x:row r="2585">
      <x:c r="A2585"/>
      <x:c r="B2585"/>
      <x:c r="C2585"/>
      <x:c r="D2585"/>
      <x:c r="E2585"/>
      <x:c r="F2585"/>
      <x:c r="G2585"/>
    </x:row>
    <x:row r="2586">
      <x:c r="A2586"/>
      <x:c r="B2586"/>
      <x:c r="C2586"/>
      <x:c r="D2586"/>
      <x:c r="E2586"/>
      <x:c r="F2586"/>
      <x:c r="G2586"/>
    </x:row>
    <x:row r="2587">
      <x:c r="A2587"/>
      <x:c r="B2587"/>
      <x:c r="C2587"/>
      <x:c r="D2587"/>
      <x:c r="E2587"/>
      <x:c r="F2587"/>
      <x:c r="G2587"/>
    </x:row>
    <x:row r="2588">
      <x:c r="A2588"/>
      <x:c r="B2588"/>
      <x:c r="C2588"/>
      <x:c r="D2588"/>
      <x:c r="E2588"/>
      <x:c r="F2588"/>
      <x:c r="G2588"/>
    </x:row>
    <x:row r="2589">
      <x:c r="A2589"/>
      <x:c r="B2589"/>
      <x:c r="C2589"/>
      <x:c r="D2589"/>
      <x:c r="E2589"/>
      <x:c r="F2589"/>
      <x:c r="G2589"/>
    </x:row>
    <x:row r="2590">
      <x:c r="A2590"/>
      <x:c r="B2590"/>
      <x:c r="C2590"/>
      <x:c r="D2590"/>
      <x:c r="E2590"/>
      <x:c r="F2590"/>
      <x:c r="G2590"/>
    </x:row>
    <x:row r="2591">
      <x:c r="A2591"/>
      <x:c r="B2591"/>
      <x:c r="C2591"/>
      <x:c r="D2591"/>
      <x:c r="E2591"/>
      <x:c r="F2591"/>
      <x:c r="G2591"/>
    </x:row>
    <x:row r="2592">
      <x:c r="A2592"/>
      <x:c r="B2592"/>
      <x:c r="C2592"/>
      <x:c r="D2592"/>
      <x:c r="E2592"/>
      <x:c r="F2592"/>
      <x:c r="G2592"/>
    </x:row>
    <x:row r="2593">
      <x:c r="A2593"/>
      <x:c r="B2593"/>
      <x:c r="C2593"/>
      <x:c r="D2593"/>
      <x:c r="E2593"/>
      <x:c r="F2593"/>
      <x:c r="G2593"/>
    </x:row>
    <x:row r="2594">
      <x:c r="A2594"/>
      <x:c r="B2594"/>
      <x:c r="C2594"/>
      <x:c r="D2594"/>
      <x:c r="E2594"/>
      <x:c r="F2594"/>
      <x:c r="G2594"/>
    </x:row>
    <x:row r="2595">
      <x:c r="A2595"/>
      <x:c r="B2595"/>
      <x:c r="C2595"/>
      <x:c r="D2595"/>
      <x:c r="E2595"/>
      <x:c r="F2595"/>
      <x:c r="G2595"/>
    </x:row>
    <x:row r="2596">
      <x:c r="A2596"/>
      <x:c r="B2596"/>
      <x:c r="C2596"/>
      <x:c r="D2596"/>
      <x:c r="E2596"/>
      <x:c r="F2596"/>
      <x:c r="G2596"/>
    </x:row>
    <x:row r="2597">
      <x:c r="A2597"/>
      <x:c r="B2597"/>
      <x:c r="C2597"/>
      <x:c r="D2597"/>
      <x:c r="E2597"/>
      <x:c r="F2597"/>
      <x:c r="G2597"/>
    </x:row>
    <x:row r="2598">
      <x:c r="A2598"/>
      <x:c r="B2598"/>
      <x:c r="C2598"/>
      <x:c r="D2598"/>
      <x:c r="E2598"/>
      <x:c r="F2598"/>
      <x:c r="G2598"/>
    </x:row>
    <x:row r="2599">
      <x:c r="A2599"/>
      <x:c r="B2599"/>
      <x:c r="C2599"/>
      <x:c r="D2599"/>
      <x:c r="E2599"/>
      <x:c r="F2599"/>
      <x:c r="G2599"/>
    </x:row>
    <x:row r="2600">
      <x:c r="A2600"/>
      <x:c r="B2600"/>
      <x:c r="C2600"/>
      <x:c r="D2600"/>
      <x:c r="E2600"/>
      <x:c r="F2600"/>
      <x:c r="G2600"/>
    </x:row>
    <x:row r="2601">
      <x:c r="A2601"/>
      <x:c r="B2601"/>
      <x:c r="C2601"/>
      <x:c r="D2601"/>
      <x:c r="E2601"/>
      <x:c r="F2601"/>
      <x:c r="G2601"/>
    </x:row>
    <x:row r="2602">
      <x:c r="A2602"/>
      <x:c r="B2602"/>
      <x:c r="C2602"/>
      <x:c r="D2602"/>
      <x:c r="E2602"/>
      <x:c r="F2602"/>
      <x:c r="G2602"/>
    </x:row>
    <x:row r="2603">
      <x:c r="A2603"/>
      <x:c r="B2603"/>
      <x:c r="C2603"/>
      <x:c r="D2603"/>
      <x:c r="E2603"/>
      <x:c r="F2603"/>
      <x:c r="G2603"/>
    </x:row>
    <x:row r="2604">
      <x:c r="A2604"/>
      <x:c r="B2604"/>
      <x:c r="C2604"/>
      <x:c r="D2604"/>
      <x:c r="E2604"/>
      <x:c r="F2604"/>
      <x:c r="G2604"/>
    </x:row>
    <x:row r="2605">
      <x:c r="A2605"/>
      <x:c r="B2605"/>
      <x:c r="C2605"/>
      <x:c r="D2605"/>
      <x:c r="E2605"/>
      <x:c r="F2605"/>
      <x:c r="G2605"/>
    </x:row>
    <x:row r="2606">
      <x:c r="A2606"/>
      <x:c r="B2606"/>
      <x:c r="C2606"/>
      <x:c r="D2606"/>
      <x:c r="E2606"/>
      <x:c r="F2606"/>
      <x:c r="G2606"/>
    </x:row>
    <x:row r="2607">
      <x:c r="A2607"/>
      <x:c r="B2607"/>
      <x:c r="C2607"/>
      <x:c r="D2607"/>
      <x:c r="E2607"/>
      <x:c r="F2607"/>
      <x:c r="G2607"/>
    </x:row>
    <x:row r="2608">
      <x:c r="A2608"/>
      <x:c r="B2608"/>
      <x:c r="C2608"/>
      <x:c r="D2608"/>
      <x:c r="E2608"/>
      <x:c r="F2608"/>
      <x:c r="G2608"/>
    </x:row>
    <x:row r="2609">
      <x:c r="A2609"/>
      <x:c r="B2609"/>
      <x:c r="C2609"/>
      <x:c r="D2609"/>
      <x:c r="E2609"/>
      <x:c r="F2609"/>
      <x:c r="G2609"/>
    </x:row>
    <x:row r="2610">
      <x:c r="A2610"/>
      <x:c r="B2610"/>
      <x:c r="C2610"/>
      <x:c r="D2610"/>
      <x:c r="E2610"/>
      <x:c r="F2610"/>
      <x:c r="G2610"/>
    </x:row>
    <x:row r="2611">
      <x:c r="A2611"/>
      <x:c r="B2611"/>
      <x:c r="C2611"/>
      <x:c r="D2611"/>
      <x:c r="E2611"/>
      <x:c r="F2611"/>
      <x:c r="G2611"/>
    </x:row>
    <x:row r="2612">
      <x:c r="A2612"/>
      <x:c r="B2612"/>
      <x:c r="C2612"/>
      <x:c r="D2612"/>
      <x:c r="E2612"/>
      <x:c r="F2612"/>
      <x:c r="G2612"/>
    </x:row>
    <x:row r="2613">
      <x:c r="A2613"/>
      <x:c r="B2613"/>
      <x:c r="C2613"/>
      <x:c r="D2613"/>
      <x:c r="E2613"/>
      <x:c r="F2613"/>
      <x:c r="G2613"/>
    </x:row>
    <x:row r="2614">
      <x:c r="A2614"/>
      <x:c r="B2614"/>
      <x:c r="C2614"/>
      <x:c r="D2614"/>
      <x:c r="E2614"/>
      <x:c r="F2614"/>
      <x:c r="G2614"/>
    </x:row>
    <x:row r="2615">
      <x:c r="A2615"/>
      <x:c r="B2615"/>
      <x:c r="C2615"/>
      <x:c r="D2615"/>
      <x:c r="E2615"/>
      <x:c r="F2615"/>
      <x:c r="G2615"/>
    </x:row>
    <x:row r="2616">
      <x:c r="A2616"/>
      <x:c r="B2616"/>
      <x:c r="C2616"/>
      <x:c r="D2616"/>
      <x:c r="E2616"/>
      <x:c r="F2616"/>
      <x:c r="G2616"/>
    </x:row>
    <x:row r="2617">
      <x:c r="A2617"/>
      <x:c r="B2617"/>
      <x:c r="C2617"/>
      <x:c r="D2617"/>
      <x:c r="E2617"/>
      <x:c r="F2617"/>
      <x:c r="G2617"/>
    </x:row>
    <x:row r="2618">
      <x:c r="A2618"/>
      <x:c r="B2618"/>
      <x:c r="C2618"/>
      <x:c r="D2618"/>
      <x:c r="E2618"/>
      <x:c r="F2618"/>
      <x:c r="G2618"/>
    </x:row>
    <x:row r="2619">
      <x:c r="A2619"/>
      <x:c r="B2619"/>
      <x:c r="C2619"/>
      <x:c r="D2619"/>
      <x:c r="E2619"/>
      <x:c r="F2619"/>
      <x:c r="G2619"/>
    </x:row>
    <x:row r="2620">
      <x:c r="A2620"/>
      <x:c r="B2620"/>
      <x:c r="C2620"/>
      <x:c r="D2620"/>
      <x:c r="E2620"/>
      <x:c r="F2620"/>
      <x:c r="G2620"/>
    </x:row>
    <x:row r="2621">
      <x:c r="A2621"/>
      <x:c r="B2621"/>
      <x:c r="C2621"/>
      <x:c r="D2621"/>
      <x:c r="E2621"/>
      <x:c r="F2621"/>
      <x:c r="G2621"/>
    </x:row>
    <x:row r="2622">
      <x:c r="A2622"/>
      <x:c r="B2622"/>
      <x:c r="C2622"/>
      <x:c r="D2622"/>
      <x:c r="E2622"/>
      <x:c r="F2622"/>
      <x:c r="G2622"/>
    </x:row>
    <x:row r="2623">
      <x:c r="A2623"/>
      <x:c r="B2623"/>
      <x:c r="C2623"/>
      <x:c r="D2623"/>
      <x:c r="E2623"/>
      <x:c r="F2623"/>
      <x:c r="G2623"/>
    </x:row>
    <x:row r="2624">
      <x:c r="A2624"/>
      <x:c r="B2624"/>
      <x:c r="C2624"/>
      <x:c r="D2624"/>
      <x:c r="E2624"/>
      <x:c r="F2624"/>
      <x:c r="G2624"/>
    </x:row>
    <x:row r="2625">
      <x:c r="A2625"/>
      <x:c r="B2625"/>
      <x:c r="C2625"/>
      <x:c r="D2625"/>
      <x:c r="E2625"/>
      <x:c r="F2625"/>
      <x:c r="G2625"/>
    </x:row>
    <x:row r="2626">
      <x:c r="A2626"/>
      <x:c r="B2626"/>
      <x:c r="C2626"/>
      <x:c r="D2626"/>
      <x:c r="E2626"/>
      <x:c r="F2626"/>
      <x:c r="G2626"/>
    </x:row>
    <x:row r="2627">
      <x:c r="A2627"/>
      <x:c r="B2627"/>
      <x:c r="C2627"/>
      <x:c r="D2627"/>
      <x:c r="E2627"/>
      <x:c r="F2627"/>
      <x:c r="G2627"/>
    </x:row>
    <x:row r="2628">
      <x:c r="A2628"/>
      <x:c r="B2628"/>
      <x:c r="C2628"/>
      <x:c r="D2628"/>
      <x:c r="E2628"/>
      <x:c r="F2628"/>
      <x:c r="G2628"/>
    </x:row>
    <x:row r="2629">
      <x:c r="A2629"/>
      <x:c r="B2629"/>
      <x:c r="C2629"/>
      <x:c r="D2629"/>
      <x:c r="E2629"/>
      <x:c r="F2629"/>
      <x:c r="G2629"/>
    </x:row>
    <x:row r="2630">
      <x:c r="A2630"/>
      <x:c r="B2630"/>
      <x:c r="C2630"/>
      <x:c r="D2630"/>
      <x:c r="E2630"/>
      <x:c r="F2630"/>
      <x:c r="G2630"/>
    </x:row>
    <x:row r="2631">
      <x:c r="A2631"/>
      <x:c r="B2631"/>
      <x:c r="C2631"/>
      <x:c r="D2631"/>
      <x:c r="E2631"/>
      <x:c r="F2631"/>
      <x:c r="G2631"/>
    </x:row>
    <x:row r="2632">
      <x:c r="A2632"/>
      <x:c r="B2632"/>
      <x:c r="C2632"/>
      <x:c r="D2632"/>
      <x:c r="E2632"/>
      <x:c r="F2632"/>
      <x:c r="G2632"/>
    </x:row>
    <x:row r="2633">
      <x:c r="A2633"/>
      <x:c r="B2633"/>
      <x:c r="C2633"/>
      <x:c r="D2633"/>
      <x:c r="E2633"/>
      <x:c r="F2633"/>
      <x:c r="G2633"/>
    </x:row>
    <x:row r="2634">
      <x:c r="A2634"/>
      <x:c r="B2634"/>
      <x:c r="C2634"/>
      <x:c r="D2634"/>
      <x:c r="E2634"/>
      <x:c r="F2634"/>
      <x:c r="G2634"/>
    </x:row>
    <x:row r="2635">
      <x:c r="A2635"/>
      <x:c r="B2635"/>
      <x:c r="C2635"/>
      <x:c r="D2635"/>
      <x:c r="E2635"/>
      <x:c r="F2635"/>
      <x:c r="G2635"/>
    </x:row>
    <x:row r="2636">
      <x:c r="A2636"/>
      <x:c r="B2636"/>
      <x:c r="C2636"/>
      <x:c r="D2636"/>
      <x:c r="E2636"/>
      <x:c r="F2636"/>
      <x:c r="G2636"/>
    </x:row>
    <x:row r="2637">
      <x:c r="A2637"/>
      <x:c r="B2637"/>
      <x:c r="C2637"/>
      <x:c r="D2637"/>
      <x:c r="E2637"/>
      <x:c r="F2637"/>
      <x:c r="G2637"/>
    </x:row>
    <x:row r="2638">
      <x:c r="A2638"/>
      <x:c r="B2638"/>
      <x:c r="C2638"/>
      <x:c r="D2638"/>
      <x:c r="E2638"/>
      <x:c r="F2638"/>
      <x:c r="G2638"/>
    </x:row>
    <x:row r="2639">
      <x:c r="A2639"/>
      <x:c r="B2639"/>
      <x:c r="C2639"/>
      <x:c r="D2639"/>
      <x:c r="E2639"/>
      <x:c r="F2639"/>
      <x:c r="G2639"/>
    </x:row>
    <x:row r="2640">
      <x:c r="A2640"/>
      <x:c r="B2640"/>
      <x:c r="C2640"/>
      <x:c r="D2640"/>
      <x:c r="E2640"/>
      <x:c r="F2640"/>
      <x:c r="G2640"/>
    </x:row>
    <x:row r="2641">
      <x:c r="A2641"/>
      <x:c r="B2641"/>
      <x:c r="C2641"/>
      <x:c r="D2641"/>
      <x:c r="E2641"/>
      <x:c r="F2641"/>
      <x:c r="G2641"/>
    </x:row>
    <x:row r="2642">
      <x:c r="A2642"/>
      <x:c r="B2642"/>
      <x:c r="C2642"/>
      <x:c r="D2642"/>
      <x:c r="E2642"/>
      <x:c r="F2642"/>
      <x:c r="G2642"/>
    </x:row>
    <x:row r="2643">
      <x:c r="A2643"/>
      <x:c r="B2643"/>
      <x:c r="C2643"/>
      <x:c r="D2643"/>
      <x:c r="E2643"/>
      <x:c r="F2643"/>
      <x:c r="G2643"/>
    </x:row>
    <x:row r="2644">
      <x:c r="A2644"/>
      <x:c r="B2644"/>
      <x:c r="C2644"/>
      <x:c r="D2644"/>
      <x:c r="E2644"/>
      <x:c r="F2644"/>
      <x:c r="G2644"/>
    </x:row>
    <x:row r="2645">
      <x:c r="A2645"/>
      <x:c r="B2645"/>
      <x:c r="C2645"/>
      <x:c r="D2645"/>
      <x:c r="E2645"/>
      <x:c r="F2645"/>
      <x:c r="G2645"/>
    </x:row>
    <x:row r="2646">
      <x:c r="A2646"/>
      <x:c r="B2646"/>
      <x:c r="C2646"/>
      <x:c r="D2646"/>
      <x:c r="E2646"/>
      <x:c r="F2646"/>
      <x:c r="G2646"/>
    </x:row>
    <x:row r="2647">
      <x:c r="A2647"/>
      <x:c r="B2647"/>
      <x:c r="C2647"/>
      <x:c r="D2647"/>
      <x:c r="E2647"/>
      <x:c r="F2647"/>
      <x:c r="G2647"/>
    </x:row>
    <x:row r="2648">
      <x:c r="A2648"/>
      <x:c r="B2648"/>
      <x:c r="C2648"/>
      <x:c r="D2648"/>
      <x:c r="E2648"/>
      <x:c r="F2648"/>
      <x:c r="G2648"/>
    </x:row>
    <x:row r="2649">
      <x:c r="A2649"/>
      <x:c r="B2649"/>
      <x:c r="C2649"/>
      <x:c r="D2649"/>
      <x:c r="E2649"/>
      <x:c r="F2649"/>
      <x:c r="G2649"/>
    </x:row>
    <x:row r="2650">
      <x:c r="A2650"/>
      <x:c r="B2650"/>
      <x:c r="C2650"/>
      <x:c r="D2650"/>
      <x:c r="E2650"/>
      <x:c r="F2650"/>
      <x:c r="G2650"/>
    </x:row>
    <x:row r="2651">
      <x:c r="A2651"/>
      <x:c r="B2651"/>
      <x:c r="C2651"/>
      <x:c r="D2651"/>
      <x:c r="E2651"/>
      <x:c r="F2651"/>
      <x:c r="G2651"/>
    </x:row>
    <x:row r="2652">
      <x:c r="A2652"/>
      <x:c r="B2652"/>
      <x:c r="C2652"/>
      <x:c r="D2652"/>
      <x:c r="E2652"/>
      <x:c r="F2652"/>
      <x:c r="G2652"/>
    </x:row>
    <x:row r="2653">
      <x:c r="A2653"/>
      <x:c r="B2653"/>
      <x:c r="C2653"/>
      <x:c r="D2653"/>
      <x:c r="E2653"/>
      <x:c r="F2653"/>
      <x:c r="G2653"/>
    </x:row>
    <x:row r="2654">
      <x:c r="A2654"/>
      <x:c r="B2654"/>
      <x:c r="C2654"/>
      <x:c r="D2654"/>
      <x:c r="E2654"/>
      <x:c r="F2654"/>
      <x:c r="G2654"/>
    </x:row>
    <x:row r="2655">
      <x:c r="A2655"/>
      <x:c r="B2655"/>
      <x:c r="C2655"/>
      <x:c r="D2655"/>
      <x:c r="E2655"/>
      <x:c r="F2655"/>
      <x:c r="G2655"/>
    </x:row>
    <x:row r="2656">
      <x:c r="A2656"/>
      <x:c r="B2656"/>
      <x:c r="C2656"/>
      <x:c r="D2656"/>
      <x:c r="E2656"/>
      <x:c r="F2656"/>
      <x:c r="G2656"/>
    </x:row>
    <x:row r="2657">
      <x:c r="A2657"/>
      <x:c r="B2657"/>
      <x:c r="C2657"/>
      <x:c r="D2657"/>
      <x:c r="E2657"/>
      <x:c r="F2657"/>
      <x:c r="G2657"/>
    </x:row>
    <x:row r="2658">
      <x:c r="A2658"/>
      <x:c r="B2658"/>
      <x:c r="C2658"/>
      <x:c r="D2658"/>
      <x:c r="E2658"/>
      <x:c r="F2658"/>
      <x:c r="G2658"/>
    </x:row>
    <x:row r="2659">
      <x:c r="A2659"/>
      <x:c r="B2659"/>
      <x:c r="C2659"/>
      <x:c r="D2659"/>
      <x:c r="E2659"/>
      <x:c r="F2659"/>
      <x:c r="G2659"/>
    </x:row>
    <x:row r="2660">
      <x:c r="A2660"/>
      <x:c r="B2660"/>
      <x:c r="C2660"/>
      <x:c r="D2660"/>
      <x:c r="E2660"/>
      <x:c r="F2660"/>
      <x:c r="G2660"/>
    </x:row>
    <x:row r="2661">
      <x:c r="A2661"/>
      <x:c r="B2661"/>
      <x:c r="C2661"/>
      <x:c r="D2661"/>
      <x:c r="E2661"/>
      <x:c r="F2661"/>
      <x:c r="G2661"/>
    </x:row>
    <x:row r="2662">
      <x:c r="A2662"/>
      <x:c r="B2662"/>
      <x:c r="C2662"/>
      <x:c r="D2662"/>
      <x:c r="E2662"/>
      <x:c r="F2662"/>
      <x:c r="G2662"/>
    </x:row>
    <x:row r="2663">
      <x:c r="A2663"/>
      <x:c r="B2663"/>
      <x:c r="C2663"/>
      <x:c r="D2663"/>
      <x:c r="E2663"/>
      <x:c r="F2663"/>
      <x:c r="G2663"/>
    </x:row>
    <x:row r="2664">
      <x:c r="A2664"/>
      <x:c r="B2664"/>
      <x:c r="C2664"/>
      <x:c r="D2664"/>
      <x:c r="E2664"/>
      <x:c r="F2664"/>
      <x:c r="G2664"/>
    </x:row>
    <x:row r="2665">
      <x:c r="A2665"/>
      <x:c r="B2665"/>
      <x:c r="C2665"/>
      <x:c r="D2665"/>
      <x:c r="E2665"/>
      <x:c r="F2665"/>
      <x:c r="G2665"/>
    </x:row>
    <x:row r="2666">
      <x:c r="A2666"/>
      <x:c r="B2666"/>
      <x:c r="C2666"/>
      <x:c r="D2666"/>
      <x:c r="E2666"/>
      <x:c r="F2666"/>
      <x:c r="G2666"/>
    </x:row>
    <x:row r="2667">
      <x:c r="A2667"/>
      <x:c r="B2667"/>
      <x:c r="C2667"/>
      <x:c r="D2667"/>
      <x:c r="E2667"/>
      <x:c r="F2667"/>
      <x:c r="G2667"/>
    </x:row>
    <x:row r="2668">
      <x:c r="A2668"/>
      <x:c r="B2668"/>
      <x:c r="C2668"/>
      <x:c r="D2668"/>
      <x:c r="E2668"/>
      <x:c r="F2668"/>
      <x:c r="G2668"/>
    </x:row>
    <x:row r="2669">
      <x:c r="A2669"/>
      <x:c r="B2669"/>
      <x:c r="C2669"/>
      <x:c r="D2669"/>
      <x:c r="E2669"/>
      <x:c r="F2669"/>
      <x:c r="G2669"/>
    </x:row>
    <x:row r="2670">
      <x:c r="A2670"/>
      <x:c r="B2670"/>
      <x:c r="C2670"/>
      <x:c r="D2670"/>
      <x:c r="E2670"/>
      <x:c r="F2670"/>
      <x:c r="G2670"/>
    </x:row>
    <x:row r="2671">
      <x:c r="A2671"/>
      <x:c r="B2671"/>
      <x:c r="C2671"/>
      <x:c r="D2671"/>
      <x:c r="E2671"/>
      <x:c r="F2671"/>
      <x:c r="G2671"/>
    </x:row>
    <x:row r="2672">
      <x:c r="A2672"/>
      <x:c r="B2672"/>
      <x:c r="C2672"/>
      <x:c r="D2672"/>
      <x:c r="E2672"/>
      <x:c r="F2672"/>
      <x:c r="G2672"/>
    </x:row>
    <x:row r="2673">
      <x:c r="A2673"/>
      <x:c r="B2673"/>
      <x:c r="C2673"/>
      <x:c r="D2673"/>
      <x:c r="E2673"/>
      <x:c r="F2673"/>
      <x:c r="G2673"/>
    </x:row>
    <x:row r="2674">
      <x:c r="A2674"/>
      <x:c r="B2674"/>
      <x:c r="C2674"/>
      <x:c r="D2674"/>
      <x:c r="E2674"/>
      <x:c r="F2674"/>
      <x:c r="G2674"/>
    </x:row>
    <x:row r="2675">
      <x:c r="A2675"/>
      <x:c r="B2675"/>
      <x:c r="C2675"/>
      <x:c r="D2675"/>
      <x:c r="E2675"/>
      <x:c r="F2675"/>
      <x:c r="G2675"/>
    </x:row>
    <x:row r="2676">
      <x:c r="A2676"/>
      <x:c r="B2676"/>
      <x:c r="C2676"/>
      <x:c r="D2676"/>
      <x:c r="E2676"/>
      <x:c r="F2676"/>
      <x:c r="G2676"/>
    </x:row>
    <x:row r="2677">
      <x:c r="A2677"/>
      <x:c r="B2677"/>
      <x:c r="C2677"/>
      <x:c r="D2677"/>
      <x:c r="E2677"/>
      <x:c r="F2677"/>
      <x:c r="G2677"/>
    </x:row>
    <x:row r="2678">
      <x:c r="A2678"/>
      <x:c r="B2678"/>
      <x:c r="C2678"/>
      <x:c r="D2678"/>
      <x:c r="E2678"/>
      <x:c r="F2678"/>
      <x:c r="G2678"/>
    </x:row>
    <x:row r="2679">
      <x:c r="A2679"/>
      <x:c r="B2679"/>
      <x:c r="C2679"/>
      <x:c r="D2679"/>
      <x:c r="E2679"/>
      <x:c r="F2679"/>
      <x:c r="G2679"/>
    </x:row>
    <x:row r="2680">
      <x:c r="A2680"/>
      <x:c r="B2680"/>
      <x:c r="C2680"/>
      <x:c r="D2680"/>
      <x:c r="E2680"/>
      <x:c r="F2680"/>
      <x:c r="G2680"/>
    </x:row>
    <x:row r="2681">
      <x:c r="A2681"/>
      <x:c r="B2681"/>
      <x:c r="C2681"/>
      <x:c r="D2681"/>
      <x:c r="E2681"/>
      <x:c r="F2681"/>
      <x:c r="G2681"/>
    </x:row>
    <x:row r="2682">
      <x:c r="A2682"/>
      <x:c r="B2682"/>
      <x:c r="C2682"/>
      <x:c r="D2682"/>
      <x:c r="E2682"/>
      <x:c r="F2682"/>
      <x:c r="G2682"/>
    </x:row>
    <x:row r="2683">
      <x:c r="A2683"/>
      <x:c r="B2683"/>
      <x:c r="C2683"/>
      <x:c r="D2683"/>
      <x:c r="E2683"/>
      <x:c r="F2683"/>
      <x:c r="G2683"/>
    </x:row>
    <x:row r="2684">
      <x:c r="A2684"/>
      <x:c r="B2684"/>
      <x:c r="C2684"/>
      <x:c r="D2684"/>
      <x:c r="E2684"/>
      <x:c r="F2684"/>
      <x:c r="G2684"/>
    </x:row>
    <x:row r="2685">
      <x:c r="A2685"/>
      <x:c r="B2685"/>
      <x:c r="C2685"/>
      <x:c r="D2685"/>
      <x:c r="E2685"/>
      <x:c r="F2685"/>
      <x:c r="G2685"/>
    </x:row>
    <x:row r="2686">
      <x:c r="A2686"/>
      <x:c r="B2686"/>
      <x:c r="C2686"/>
      <x:c r="D2686"/>
      <x:c r="E2686"/>
      <x:c r="F2686"/>
      <x:c r="G2686"/>
    </x:row>
    <x:row r="2687">
      <x:c r="A2687"/>
      <x:c r="B2687"/>
      <x:c r="C2687"/>
      <x:c r="D2687"/>
      <x:c r="E2687"/>
      <x:c r="F2687"/>
      <x:c r="G2687"/>
    </x:row>
    <x:row r="2688">
      <x:c r="A2688"/>
      <x:c r="B2688"/>
      <x:c r="C2688"/>
      <x:c r="D2688"/>
      <x:c r="E2688"/>
      <x:c r="F2688"/>
      <x:c r="G2688"/>
    </x:row>
    <x:row r="2689">
      <x:c r="A2689"/>
      <x:c r="B2689"/>
      <x:c r="C2689"/>
      <x:c r="D2689"/>
      <x:c r="E2689"/>
      <x:c r="F2689"/>
      <x:c r="G2689"/>
    </x:row>
    <x:row r="2690">
      <x:c r="A2690"/>
      <x:c r="B2690"/>
      <x:c r="C2690"/>
      <x:c r="D2690"/>
      <x:c r="E2690"/>
      <x:c r="F2690"/>
      <x:c r="G2690"/>
    </x:row>
    <x:row r="2691">
      <x:c r="A2691"/>
      <x:c r="B2691"/>
      <x:c r="C2691"/>
      <x:c r="D2691"/>
      <x:c r="E2691"/>
      <x:c r="F2691"/>
      <x:c r="G2691"/>
    </x:row>
    <x:row r="2692">
      <x:c r="A2692"/>
      <x:c r="B2692"/>
      <x:c r="C2692"/>
      <x:c r="D2692"/>
      <x:c r="E2692"/>
      <x:c r="F2692"/>
      <x:c r="G2692"/>
    </x:row>
    <x:row r="2693">
      <x:c r="A2693"/>
      <x:c r="B2693"/>
      <x:c r="C2693"/>
      <x:c r="D2693"/>
      <x:c r="E2693"/>
      <x:c r="F2693"/>
      <x:c r="G2693"/>
    </x:row>
    <x:row r="2694">
      <x:c r="A2694"/>
      <x:c r="B2694"/>
      <x:c r="C2694"/>
      <x:c r="D2694"/>
      <x:c r="E2694"/>
      <x:c r="F2694"/>
      <x:c r="G2694"/>
    </x:row>
    <x:row r="2695">
      <x:c r="A2695"/>
      <x:c r="B2695"/>
      <x:c r="C2695"/>
      <x:c r="D2695"/>
      <x:c r="E2695"/>
      <x:c r="F2695"/>
      <x:c r="G2695"/>
    </x:row>
    <x:row r="2696">
      <x:c r="A2696"/>
      <x:c r="B2696"/>
      <x:c r="C2696"/>
      <x:c r="D2696"/>
      <x:c r="E2696"/>
      <x:c r="F2696"/>
      <x:c r="G2696"/>
    </x:row>
    <x:row r="2697">
      <x:c r="A2697"/>
      <x:c r="B2697"/>
      <x:c r="C2697"/>
      <x:c r="D2697"/>
      <x:c r="E2697"/>
      <x:c r="F2697"/>
      <x:c r="G2697"/>
    </x:row>
    <x:row r="2698">
      <x:c r="A2698"/>
      <x:c r="B2698"/>
      <x:c r="C2698"/>
      <x:c r="D2698"/>
      <x:c r="E2698"/>
      <x:c r="F2698"/>
      <x:c r="G2698"/>
    </x:row>
    <x:row r="2699">
      <x:c r="A2699"/>
      <x:c r="B2699"/>
      <x:c r="C2699"/>
      <x:c r="D2699"/>
      <x:c r="E2699"/>
      <x:c r="F2699"/>
      <x:c r="G2699"/>
    </x:row>
    <x:row r="2700">
      <x:c r="A2700"/>
      <x:c r="B2700"/>
      <x:c r="C2700"/>
      <x:c r="D2700"/>
      <x:c r="E2700"/>
      <x:c r="F2700"/>
      <x:c r="G2700"/>
    </x:row>
    <x:row r="2701">
      <x:c r="A2701"/>
      <x:c r="B2701"/>
      <x:c r="C2701"/>
      <x:c r="D2701"/>
      <x:c r="E2701"/>
      <x:c r="F2701"/>
      <x:c r="G2701"/>
    </x:row>
    <x:row r="2702">
      <x:c r="A2702"/>
      <x:c r="B2702"/>
      <x:c r="C2702"/>
      <x:c r="D2702"/>
      <x:c r="E2702"/>
      <x:c r="F2702"/>
      <x:c r="G2702"/>
    </x:row>
    <x:row r="2703">
      <x:c r="A2703"/>
      <x:c r="B2703"/>
      <x:c r="C2703"/>
      <x:c r="D2703"/>
      <x:c r="E2703"/>
      <x:c r="F2703"/>
      <x:c r="G2703"/>
    </x:row>
    <x:row r="2704">
      <x:c r="A2704"/>
      <x:c r="B2704"/>
      <x:c r="C2704"/>
      <x:c r="D2704"/>
      <x:c r="E2704"/>
      <x:c r="F2704"/>
      <x:c r="G2704"/>
    </x:row>
    <x:row r="2705">
      <x:c r="A2705"/>
      <x:c r="B2705"/>
      <x:c r="C2705"/>
      <x:c r="D2705"/>
      <x:c r="E2705"/>
      <x:c r="F2705"/>
      <x:c r="G2705"/>
    </x:row>
    <x:row r="2706">
      <x:c r="A2706"/>
      <x:c r="B2706"/>
      <x:c r="C2706"/>
      <x:c r="D2706"/>
      <x:c r="E2706"/>
      <x:c r="F2706"/>
      <x:c r="G2706"/>
    </x:row>
    <x:row r="2707">
      <x:c r="A2707"/>
      <x:c r="B2707"/>
      <x:c r="C2707"/>
      <x:c r="D2707"/>
      <x:c r="E2707"/>
      <x:c r="F2707"/>
      <x:c r="G2707"/>
    </x:row>
    <x:row r="2708">
      <x:c r="A2708"/>
      <x:c r="B2708"/>
      <x:c r="C2708"/>
      <x:c r="D2708"/>
      <x:c r="E2708"/>
      <x:c r="F2708"/>
      <x:c r="G2708"/>
    </x:row>
    <x:row r="2709">
      <x:c r="A2709"/>
      <x:c r="B2709"/>
      <x:c r="C2709"/>
      <x:c r="D2709"/>
      <x:c r="E2709"/>
      <x:c r="F2709"/>
      <x:c r="G2709"/>
    </x:row>
    <x:row r="2710">
      <x:c r="A2710"/>
      <x:c r="B2710"/>
      <x:c r="C2710"/>
      <x:c r="D2710"/>
      <x:c r="E2710"/>
      <x:c r="F2710"/>
      <x:c r="G2710"/>
    </x:row>
    <x:row r="2711">
      <x:c r="A2711"/>
      <x:c r="B2711"/>
      <x:c r="C2711"/>
      <x:c r="D2711"/>
      <x:c r="E2711"/>
      <x:c r="F2711"/>
      <x:c r="G2711"/>
    </x:row>
    <x:row r="2712">
      <x:c r="A2712"/>
      <x:c r="B2712"/>
      <x:c r="C2712"/>
      <x:c r="D2712"/>
      <x:c r="E2712"/>
      <x:c r="F2712"/>
      <x:c r="G2712"/>
    </x:row>
    <x:row r="2713">
      <x:c r="A2713"/>
      <x:c r="B2713"/>
      <x:c r="C2713"/>
      <x:c r="D2713"/>
      <x:c r="E2713"/>
      <x:c r="F2713"/>
      <x:c r="G2713"/>
    </x:row>
    <x:row r="2714">
      <x:c r="A2714"/>
      <x:c r="B2714"/>
      <x:c r="C2714"/>
      <x:c r="D2714"/>
      <x:c r="E2714"/>
      <x:c r="F2714"/>
      <x:c r="G2714"/>
    </x:row>
    <x:row r="2715">
      <x:c r="A2715"/>
      <x:c r="B2715"/>
      <x:c r="C2715"/>
      <x:c r="D2715"/>
      <x:c r="E2715"/>
      <x:c r="F2715"/>
      <x:c r="G2715"/>
    </x:row>
    <x:row r="2716">
      <x:c r="A2716"/>
      <x:c r="B2716"/>
      <x:c r="C2716"/>
      <x:c r="D2716"/>
      <x:c r="E2716"/>
      <x:c r="F2716"/>
      <x:c r="G2716"/>
    </x:row>
    <x:row r="2717">
      <x:c r="A2717"/>
      <x:c r="B2717"/>
      <x:c r="C2717"/>
      <x:c r="D2717"/>
      <x:c r="E2717"/>
      <x:c r="F2717"/>
      <x:c r="G2717"/>
    </x:row>
    <x:row r="2718">
      <x:c r="A2718"/>
      <x:c r="B2718"/>
      <x:c r="C2718"/>
      <x:c r="D2718"/>
      <x:c r="E2718"/>
      <x:c r="F2718"/>
      <x:c r="G2718"/>
    </x:row>
    <x:row r="2719">
      <x:c r="A2719"/>
      <x:c r="B2719"/>
      <x:c r="C2719"/>
      <x:c r="D2719"/>
      <x:c r="E2719"/>
      <x:c r="F2719"/>
      <x:c r="G2719"/>
    </x:row>
    <x:row r="2720">
      <x:c r="A2720"/>
      <x:c r="B2720"/>
      <x:c r="C2720"/>
      <x:c r="D2720"/>
      <x:c r="E2720"/>
      <x:c r="F2720"/>
      <x:c r="G2720"/>
    </x:row>
    <x:row r="2721">
      <x:c r="A2721"/>
      <x:c r="B2721"/>
      <x:c r="C2721"/>
      <x:c r="D2721"/>
      <x:c r="E2721"/>
      <x:c r="F2721"/>
      <x:c r="G2721"/>
    </x:row>
    <x:row r="2722">
      <x:c r="A2722"/>
      <x:c r="B2722"/>
      <x:c r="C2722"/>
      <x:c r="D2722"/>
      <x:c r="E2722"/>
      <x:c r="F2722"/>
      <x:c r="G2722"/>
    </x:row>
    <x:row r="2723">
      <x:c r="A2723"/>
      <x:c r="B2723"/>
      <x:c r="C2723"/>
      <x:c r="D2723"/>
      <x:c r="E2723"/>
      <x:c r="F2723"/>
      <x:c r="G2723"/>
    </x:row>
    <x:row r="2724">
      <x:c r="A2724"/>
      <x:c r="B2724"/>
      <x:c r="C2724"/>
      <x:c r="D2724"/>
      <x:c r="E2724"/>
      <x:c r="F2724"/>
      <x:c r="G2724"/>
    </x:row>
    <x:row r="2725">
      <x:c r="A2725"/>
      <x:c r="B2725"/>
      <x:c r="C2725"/>
      <x:c r="D2725"/>
      <x:c r="E2725"/>
      <x:c r="F2725"/>
      <x:c r="G2725"/>
    </x:row>
    <x:row r="2726">
      <x:c r="A2726"/>
      <x:c r="B2726"/>
      <x:c r="C2726"/>
      <x:c r="D2726"/>
      <x:c r="E2726"/>
      <x:c r="F2726"/>
      <x:c r="G2726"/>
    </x:row>
    <x:row r="2727">
      <x:c r="A2727"/>
      <x:c r="B2727"/>
      <x:c r="C2727"/>
      <x:c r="D2727"/>
      <x:c r="E2727"/>
      <x:c r="F2727"/>
      <x:c r="G2727"/>
    </x:row>
    <x:row r="2728">
      <x:c r="A2728"/>
      <x:c r="B2728"/>
      <x:c r="C2728"/>
      <x:c r="D2728"/>
      <x:c r="E2728"/>
      <x:c r="F2728"/>
      <x:c r="G2728"/>
    </x:row>
    <x:row r="2729">
      <x:c r="A2729"/>
      <x:c r="B2729"/>
      <x:c r="C2729"/>
      <x:c r="D2729"/>
      <x:c r="E2729"/>
      <x:c r="F2729"/>
      <x:c r="G2729"/>
    </x:row>
    <x:row r="2730">
      <x:c r="A2730"/>
      <x:c r="B2730"/>
      <x:c r="C2730"/>
      <x:c r="D2730"/>
      <x:c r="E2730"/>
      <x:c r="F2730"/>
      <x:c r="G2730"/>
    </x:row>
    <x:row r="2731">
      <x:c r="A2731"/>
      <x:c r="B2731"/>
      <x:c r="C2731"/>
      <x:c r="D2731"/>
      <x:c r="E2731"/>
      <x:c r="F2731"/>
      <x:c r="G2731"/>
    </x:row>
    <x:row r="2732">
      <x:c r="A2732"/>
      <x:c r="B2732"/>
      <x:c r="C2732"/>
      <x:c r="D2732"/>
      <x:c r="E2732"/>
      <x:c r="F2732"/>
      <x:c r="G2732"/>
    </x:row>
    <x:row r="2733">
      <x:c r="A2733"/>
      <x:c r="B2733"/>
      <x:c r="C2733"/>
      <x:c r="D2733"/>
      <x:c r="E2733"/>
      <x:c r="F2733"/>
      <x:c r="G2733"/>
    </x:row>
    <x:row r="2734">
      <x:c r="A2734"/>
      <x:c r="B2734"/>
      <x:c r="C2734"/>
      <x:c r="D2734"/>
      <x:c r="E2734"/>
      <x:c r="F2734"/>
      <x:c r="G2734"/>
    </x:row>
    <x:row r="2735">
      <x:c r="A2735"/>
      <x:c r="B2735"/>
      <x:c r="C2735"/>
      <x:c r="D2735"/>
      <x:c r="E2735"/>
      <x:c r="F2735"/>
      <x:c r="G2735"/>
    </x:row>
    <x:row r="2736">
      <x:c r="A2736"/>
      <x:c r="B2736"/>
      <x:c r="C2736"/>
      <x:c r="D2736"/>
      <x:c r="E2736"/>
      <x:c r="F2736"/>
      <x:c r="G2736"/>
    </x:row>
    <x:row r="2737">
      <x:c r="A2737"/>
      <x:c r="B2737"/>
      <x:c r="C2737"/>
      <x:c r="D2737"/>
      <x:c r="E2737"/>
      <x:c r="F2737"/>
      <x:c r="G2737"/>
    </x:row>
    <x:row r="2738">
      <x:c r="A2738"/>
      <x:c r="B2738"/>
      <x:c r="C2738"/>
      <x:c r="D2738"/>
      <x:c r="E2738"/>
      <x:c r="F2738"/>
      <x:c r="G2738"/>
    </x:row>
    <x:row r="2739">
      <x:c r="A2739"/>
      <x:c r="B2739"/>
      <x:c r="C2739"/>
      <x:c r="D2739"/>
      <x:c r="E2739"/>
      <x:c r="F2739"/>
      <x:c r="G2739"/>
    </x:row>
    <x:row r="2740">
      <x:c r="A2740"/>
      <x:c r="B2740"/>
      <x:c r="C2740"/>
      <x:c r="D2740"/>
      <x:c r="E2740"/>
      <x:c r="F2740"/>
      <x:c r="G2740"/>
    </x:row>
    <x:row r="2741">
      <x:c r="A2741"/>
      <x:c r="B2741"/>
      <x:c r="C2741"/>
      <x:c r="D2741"/>
      <x:c r="E2741"/>
      <x:c r="F2741"/>
      <x:c r="G2741"/>
    </x:row>
    <x:row r="2742">
      <x:c r="A2742"/>
      <x:c r="B2742"/>
      <x:c r="C2742"/>
      <x:c r="D2742"/>
      <x:c r="E2742"/>
      <x:c r="F2742"/>
      <x:c r="G2742"/>
    </x:row>
    <x:row r="2743">
      <x:c r="A2743"/>
      <x:c r="B2743"/>
      <x:c r="C2743"/>
      <x:c r="D2743"/>
      <x:c r="E2743"/>
      <x:c r="F2743"/>
      <x:c r="G2743"/>
    </x:row>
    <x:row r="2744">
      <x:c r="A2744"/>
      <x:c r="B2744"/>
      <x:c r="C2744"/>
      <x:c r="D2744"/>
      <x:c r="E2744"/>
      <x:c r="F2744"/>
      <x:c r="G2744"/>
    </x:row>
    <x:row r="2745">
      <x:c r="A2745"/>
      <x:c r="B2745"/>
      <x:c r="C2745"/>
      <x:c r="D2745"/>
      <x:c r="E2745"/>
      <x:c r="F2745"/>
      <x:c r="G2745"/>
    </x:row>
    <x:row r="2746">
      <x:c r="A2746"/>
      <x:c r="B2746"/>
      <x:c r="C2746"/>
      <x:c r="D2746"/>
      <x:c r="E2746"/>
      <x:c r="F2746"/>
      <x:c r="G2746"/>
    </x:row>
    <x:row r="2747">
      <x:c r="A2747"/>
      <x:c r="B2747"/>
      <x:c r="C2747"/>
      <x:c r="D2747"/>
      <x:c r="E2747"/>
      <x:c r="F2747"/>
      <x:c r="G2747"/>
    </x:row>
    <x:row r="2748">
      <x:c r="A2748"/>
      <x:c r="B2748"/>
      <x:c r="C2748"/>
      <x:c r="D2748"/>
      <x:c r="E2748"/>
      <x:c r="F2748"/>
      <x:c r="G2748"/>
    </x:row>
    <x:row r="2749">
      <x:c r="A2749"/>
      <x:c r="B2749"/>
      <x:c r="C2749"/>
      <x:c r="D2749"/>
      <x:c r="E2749"/>
      <x:c r="F2749"/>
      <x:c r="G2749"/>
    </x:row>
    <x:row r="2750">
      <x:c r="A2750"/>
      <x:c r="B2750"/>
      <x:c r="C2750"/>
      <x:c r="D2750"/>
      <x:c r="E2750"/>
      <x:c r="F2750"/>
      <x:c r="G2750"/>
    </x:row>
    <x:row r="2751">
      <x:c r="A2751"/>
      <x:c r="B2751"/>
      <x:c r="C2751"/>
      <x:c r="D2751"/>
      <x:c r="E2751"/>
      <x:c r="F2751"/>
      <x:c r="G2751"/>
    </x:row>
    <x:row r="2752">
      <x:c r="A2752"/>
      <x:c r="B2752"/>
      <x:c r="C2752"/>
      <x:c r="D2752"/>
      <x:c r="E2752"/>
      <x:c r="F2752"/>
      <x:c r="G2752"/>
    </x:row>
    <x:row r="2753">
      <x:c r="A2753"/>
      <x:c r="B2753"/>
      <x:c r="C2753"/>
      <x:c r="D2753"/>
      <x:c r="E2753"/>
      <x:c r="F2753"/>
      <x:c r="G2753"/>
    </x:row>
    <x:row r="2754">
      <x:c r="A2754"/>
      <x:c r="B2754"/>
      <x:c r="C2754"/>
      <x:c r="D2754"/>
      <x:c r="E2754"/>
      <x:c r="F2754"/>
      <x:c r="G2754"/>
    </x:row>
    <x:row r="2755">
      <x:c r="A2755"/>
      <x:c r="B2755"/>
      <x:c r="C2755"/>
      <x:c r="D2755"/>
      <x:c r="E2755"/>
      <x:c r="F2755"/>
      <x:c r="G2755"/>
    </x:row>
    <x:row r="2756">
      <x:c r="A2756"/>
      <x:c r="B2756"/>
      <x:c r="C2756"/>
      <x:c r="D2756"/>
      <x:c r="E2756"/>
      <x:c r="F2756"/>
      <x:c r="G2756"/>
    </x:row>
    <x:row r="2757">
      <x:c r="A2757"/>
      <x:c r="B2757"/>
      <x:c r="C2757"/>
      <x:c r="D2757"/>
      <x:c r="E2757"/>
      <x:c r="F2757"/>
      <x:c r="G2757"/>
    </x:row>
    <x:row r="2758">
      <x:c r="A2758"/>
      <x:c r="B2758"/>
      <x:c r="C2758"/>
      <x:c r="D2758"/>
      <x:c r="E2758"/>
      <x:c r="F2758"/>
      <x:c r="G2758"/>
    </x:row>
    <x:row r="2759">
      <x:c r="A2759"/>
      <x:c r="B2759"/>
      <x:c r="C2759"/>
      <x:c r="D2759"/>
      <x:c r="E2759"/>
      <x:c r="F2759"/>
      <x:c r="G2759"/>
    </x:row>
    <x:row r="2760">
      <x:c r="A2760"/>
      <x:c r="B2760"/>
      <x:c r="C2760"/>
      <x:c r="D2760"/>
      <x:c r="E2760"/>
      <x:c r="F2760"/>
      <x:c r="G2760"/>
    </x:row>
    <x:row r="2761">
      <x:c r="A2761"/>
      <x:c r="B2761"/>
      <x:c r="C2761"/>
      <x:c r="D2761"/>
      <x:c r="E2761"/>
      <x:c r="F2761"/>
      <x:c r="G2761"/>
    </x:row>
    <x:row r="2762">
      <x:c r="A2762"/>
      <x:c r="B2762"/>
      <x:c r="C2762"/>
      <x:c r="D2762"/>
      <x:c r="E2762"/>
      <x:c r="F2762"/>
      <x:c r="G2762"/>
    </x:row>
    <x:row r="2763">
      <x:c r="A2763"/>
      <x:c r="B2763"/>
      <x:c r="C2763"/>
      <x:c r="D2763"/>
      <x:c r="E2763"/>
      <x:c r="F2763"/>
      <x:c r="G2763"/>
    </x:row>
    <x:row r="2764">
      <x:c r="A2764"/>
      <x:c r="B2764"/>
      <x:c r="C2764"/>
      <x:c r="D2764"/>
      <x:c r="E2764"/>
      <x:c r="F2764"/>
      <x:c r="G2764"/>
    </x:row>
    <x:row r="2765">
      <x:c r="A2765"/>
      <x:c r="B2765"/>
      <x:c r="C2765"/>
      <x:c r="D2765"/>
      <x:c r="E2765"/>
      <x:c r="F2765"/>
      <x:c r="G2765"/>
    </x:row>
    <x:row r="2766">
      <x:c r="A2766"/>
      <x:c r="B2766"/>
      <x:c r="C2766"/>
      <x:c r="D2766"/>
      <x:c r="E2766"/>
      <x:c r="F2766"/>
      <x:c r="G2766"/>
    </x:row>
    <x:row r="2767">
      <x:c r="A2767"/>
      <x:c r="B2767"/>
      <x:c r="C2767"/>
      <x:c r="D2767"/>
      <x:c r="E2767"/>
      <x:c r="F2767"/>
      <x:c r="G2767"/>
    </x:row>
    <x:row r="2768">
      <x:c r="A2768"/>
      <x:c r="B2768"/>
      <x:c r="C2768"/>
      <x:c r="D2768"/>
      <x:c r="E2768"/>
      <x:c r="F2768"/>
      <x:c r="G2768"/>
    </x:row>
    <x:row r="2769">
      <x:c r="A2769"/>
      <x:c r="B2769"/>
      <x:c r="C2769"/>
      <x:c r="D2769"/>
      <x:c r="E2769"/>
      <x:c r="F2769"/>
      <x:c r="G2769"/>
    </x:row>
    <x:row r="2770">
      <x:c r="A2770"/>
      <x:c r="B2770"/>
      <x:c r="C2770"/>
      <x:c r="D2770"/>
      <x:c r="E2770"/>
      <x:c r="F2770"/>
      <x:c r="G2770"/>
    </x:row>
    <x:row r="2771">
      <x:c r="A2771"/>
      <x:c r="B2771"/>
      <x:c r="C2771"/>
      <x:c r="D2771"/>
      <x:c r="E2771"/>
      <x:c r="F2771"/>
      <x:c r="G2771"/>
    </x:row>
    <x:row r="2772">
      <x:c r="A2772"/>
      <x:c r="B2772"/>
      <x:c r="C2772"/>
      <x:c r="D2772"/>
      <x:c r="E2772"/>
      <x:c r="F2772"/>
      <x:c r="G2772"/>
    </x:row>
    <x:row r="2773">
      <x:c r="A2773"/>
      <x:c r="B2773"/>
      <x:c r="C2773"/>
      <x:c r="D2773"/>
      <x:c r="E2773"/>
      <x:c r="F2773"/>
      <x:c r="G2773"/>
    </x:row>
    <x:row r="2774">
      <x:c r="A2774"/>
      <x:c r="B2774"/>
      <x:c r="C2774"/>
      <x:c r="D2774"/>
      <x:c r="E2774"/>
      <x:c r="F2774"/>
      <x:c r="G2774"/>
    </x:row>
    <x:row r="2775">
      <x:c r="A2775"/>
      <x:c r="B2775"/>
      <x:c r="C2775"/>
      <x:c r="D2775"/>
      <x:c r="E2775"/>
      <x:c r="F2775"/>
      <x:c r="G2775"/>
    </x:row>
    <x:row r="2776">
      <x:c r="A2776"/>
      <x:c r="B2776"/>
      <x:c r="C2776"/>
      <x:c r="D2776"/>
      <x:c r="E2776"/>
      <x:c r="F2776"/>
      <x:c r="G2776"/>
    </x:row>
    <x:row r="2777">
      <x:c r="A2777"/>
      <x:c r="B2777"/>
      <x:c r="C2777"/>
      <x:c r="D2777"/>
      <x:c r="E2777"/>
      <x:c r="F2777"/>
      <x:c r="G2777"/>
    </x:row>
    <x:row r="2778">
      <x:c r="A2778"/>
      <x:c r="B2778"/>
      <x:c r="C2778"/>
      <x:c r="D2778"/>
      <x:c r="E2778"/>
      <x:c r="F2778"/>
      <x:c r="G2778"/>
    </x:row>
    <x:row r="2779">
      <x:c r="A2779"/>
      <x:c r="B2779"/>
      <x:c r="C2779"/>
      <x:c r="D2779"/>
      <x:c r="E2779"/>
      <x:c r="F2779"/>
      <x:c r="G2779"/>
    </x:row>
    <x:row r="2780">
      <x:c r="A2780"/>
      <x:c r="B2780"/>
      <x:c r="C2780"/>
      <x:c r="D2780"/>
      <x:c r="E2780"/>
      <x:c r="F2780"/>
      <x:c r="G2780"/>
    </x:row>
    <x:row r="2781">
      <x:c r="A2781"/>
      <x:c r="B2781"/>
      <x:c r="C2781"/>
      <x:c r="D2781"/>
      <x:c r="E2781"/>
      <x:c r="F2781"/>
      <x:c r="G2781"/>
    </x:row>
    <x:row r="2782">
      <x:c r="A2782"/>
      <x:c r="B2782"/>
      <x:c r="C2782"/>
      <x:c r="D2782"/>
      <x:c r="E2782"/>
      <x:c r="F2782"/>
      <x:c r="G2782"/>
    </x:row>
    <x:row r="2783">
      <x:c r="A2783"/>
      <x:c r="B2783"/>
      <x:c r="C2783"/>
      <x:c r="D2783"/>
      <x:c r="E2783"/>
      <x:c r="F2783"/>
      <x:c r="G2783"/>
    </x:row>
    <x:row r="2784">
      <x:c r="A2784"/>
      <x:c r="B2784"/>
      <x:c r="C2784"/>
      <x:c r="D2784"/>
      <x:c r="E2784"/>
      <x:c r="F2784"/>
      <x:c r="G2784"/>
    </x:row>
    <x:row r="2785">
      <x:c r="A2785"/>
      <x:c r="B2785"/>
      <x:c r="C2785"/>
      <x:c r="D2785"/>
      <x:c r="E2785"/>
      <x:c r="F2785"/>
      <x:c r="G2785"/>
    </x:row>
    <x:row r="2786">
      <x:c r="A2786"/>
      <x:c r="B2786"/>
      <x:c r="C2786"/>
      <x:c r="D2786"/>
      <x:c r="E2786"/>
      <x:c r="F2786"/>
      <x:c r="G2786"/>
    </x:row>
    <x:row r="2787">
      <x:c r="A2787"/>
      <x:c r="B2787"/>
      <x:c r="C2787"/>
      <x:c r="D2787"/>
      <x:c r="E2787"/>
      <x:c r="F2787"/>
      <x:c r="G2787"/>
    </x:row>
    <x:row r="2788">
      <x:c r="A2788"/>
      <x:c r="B2788"/>
      <x:c r="C2788"/>
      <x:c r="D2788"/>
      <x:c r="E2788"/>
      <x:c r="F2788"/>
      <x:c r="G2788"/>
    </x:row>
    <x:row r="2789">
      <x:c r="A2789"/>
      <x:c r="B2789"/>
      <x:c r="C2789"/>
      <x:c r="D2789"/>
      <x:c r="E2789"/>
      <x:c r="F2789"/>
      <x:c r="G2789"/>
    </x:row>
    <x:row r="2790">
      <x:c r="A2790"/>
      <x:c r="B2790"/>
      <x:c r="C2790"/>
      <x:c r="D2790"/>
      <x:c r="E2790"/>
      <x:c r="F2790"/>
      <x:c r="G2790"/>
    </x:row>
    <x:row r="2791">
      <x:c r="A2791"/>
      <x:c r="B2791"/>
      <x:c r="C2791"/>
      <x:c r="D2791"/>
      <x:c r="E2791"/>
      <x:c r="F2791"/>
      <x:c r="G2791"/>
    </x:row>
    <x:row r="2792">
      <x:c r="A2792"/>
      <x:c r="B2792"/>
      <x:c r="C2792"/>
      <x:c r="D2792"/>
      <x:c r="E2792"/>
      <x:c r="F2792"/>
      <x:c r="G2792"/>
    </x:row>
    <x:row r="2793">
      <x:c r="A2793"/>
      <x:c r="B2793"/>
      <x:c r="C2793"/>
      <x:c r="D2793"/>
      <x:c r="E2793"/>
      <x:c r="F2793"/>
      <x:c r="G2793"/>
    </x:row>
    <x:row r="2794">
      <x:c r="A2794"/>
      <x:c r="B2794"/>
      <x:c r="C2794"/>
      <x:c r="D2794"/>
      <x:c r="E2794"/>
      <x:c r="F2794"/>
      <x:c r="G2794"/>
    </x:row>
    <x:row r="2795">
      <x:c r="A2795"/>
      <x:c r="B2795"/>
      <x:c r="C2795"/>
      <x:c r="D2795"/>
      <x:c r="E2795"/>
      <x:c r="F2795"/>
      <x:c r="G2795"/>
    </x:row>
    <x:row r="2796">
      <x:c r="A2796"/>
      <x:c r="B2796"/>
      <x:c r="C2796"/>
      <x:c r="D2796"/>
      <x:c r="E2796"/>
      <x:c r="F2796"/>
      <x:c r="G2796"/>
    </x:row>
    <x:row r="2797">
      <x:c r="A2797"/>
      <x:c r="B2797"/>
      <x:c r="C2797"/>
      <x:c r="D2797"/>
      <x:c r="E2797"/>
      <x:c r="F2797"/>
      <x:c r="G2797"/>
    </x:row>
    <x:row r="2798">
      <x:c r="A2798"/>
      <x:c r="B2798"/>
      <x:c r="C2798"/>
      <x:c r="D2798"/>
      <x:c r="E2798"/>
      <x:c r="F2798"/>
      <x:c r="G2798"/>
    </x:row>
    <x:row r="2799">
      <x:c r="A2799"/>
      <x:c r="B2799"/>
      <x:c r="C2799"/>
      <x:c r="D2799"/>
      <x:c r="E2799"/>
      <x:c r="F2799"/>
      <x:c r="G2799"/>
    </x:row>
    <x:row r="2800">
      <x:c r="A2800"/>
      <x:c r="B2800"/>
      <x:c r="C2800"/>
      <x:c r="D2800"/>
      <x:c r="E2800"/>
      <x:c r="F2800"/>
      <x:c r="G2800"/>
    </x:row>
    <x:row r="2801">
      <x:c r="A2801"/>
      <x:c r="B2801"/>
      <x:c r="C2801"/>
      <x:c r="D2801"/>
      <x:c r="E2801"/>
      <x:c r="F2801"/>
      <x:c r="G2801"/>
    </x:row>
    <x:row r="2802">
      <x:c r="A2802"/>
      <x:c r="B2802"/>
      <x:c r="C2802"/>
      <x:c r="D2802"/>
      <x:c r="E2802"/>
      <x:c r="F2802"/>
      <x:c r="G2802"/>
    </x:row>
    <x:row r="2803">
      <x:c r="A2803"/>
      <x:c r="B2803"/>
      <x:c r="C2803"/>
      <x:c r="D2803"/>
      <x:c r="E2803"/>
      <x:c r="F2803"/>
      <x:c r="G2803"/>
    </x:row>
    <x:row r="2804">
      <x:c r="A2804"/>
      <x:c r="B2804"/>
      <x:c r="C2804"/>
      <x:c r="D2804"/>
      <x:c r="E2804"/>
      <x:c r="F2804"/>
      <x:c r="G2804"/>
    </x:row>
    <x:row r="2805">
      <x:c r="A2805"/>
      <x:c r="B2805"/>
      <x:c r="C2805"/>
      <x:c r="D2805"/>
      <x:c r="E2805"/>
      <x:c r="F2805"/>
      <x:c r="G2805"/>
    </x:row>
    <x:row r="2806">
      <x:c r="A2806"/>
      <x:c r="B2806"/>
      <x:c r="C2806"/>
      <x:c r="D2806"/>
      <x:c r="E2806"/>
      <x:c r="F2806"/>
      <x:c r="G2806"/>
    </x:row>
    <x:row r="2807">
      <x:c r="A2807"/>
      <x:c r="B2807"/>
      <x:c r="C2807"/>
      <x:c r="D2807"/>
      <x:c r="E2807"/>
      <x:c r="F2807"/>
      <x:c r="G2807"/>
    </x:row>
    <x:row r="2808">
      <x:c r="A2808"/>
      <x:c r="B2808"/>
      <x:c r="C2808"/>
      <x:c r="D2808"/>
      <x:c r="E2808"/>
      <x:c r="F2808"/>
      <x:c r="G2808"/>
    </x:row>
    <x:row r="2809">
      <x:c r="A2809"/>
      <x:c r="B2809"/>
      <x:c r="C2809"/>
      <x:c r="D2809"/>
      <x:c r="E2809"/>
      <x:c r="F2809"/>
      <x:c r="G2809"/>
    </x:row>
    <x:row r="2810">
      <x:c r="A2810"/>
      <x:c r="B2810"/>
      <x:c r="C2810"/>
      <x:c r="D2810"/>
      <x:c r="E2810"/>
      <x:c r="F2810"/>
      <x:c r="G2810"/>
    </x:row>
    <x:row r="2811">
      <x:c r="A2811"/>
      <x:c r="B2811"/>
      <x:c r="C2811"/>
      <x:c r="D2811"/>
      <x:c r="E2811"/>
      <x:c r="F2811"/>
      <x:c r="G2811"/>
    </x:row>
    <x:row r="2812">
      <x:c r="A2812"/>
      <x:c r="B2812"/>
      <x:c r="C2812"/>
      <x:c r="D2812"/>
      <x:c r="E2812"/>
      <x:c r="F2812"/>
      <x:c r="G2812"/>
    </x:row>
    <x:row r="2813">
      <x:c r="A2813"/>
      <x:c r="B2813"/>
      <x:c r="C2813"/>
      <x:c r="D2813"/>
      <x:c r="E2813"/>
      <x:c r="F2813"/>
      <x:c r="G2813"/>
    </x:row>
    <x:row r="2814">
      <x:c r="A2814"/>
      <x:c r="B2814"/>
      <x:c r="C2814"/>
      <x:c r="D2814"/>
      <x:c r="E2814"/>
      <x:c r="F2814"/>
      <x:c r="G2814"/>
    </x:row>
    <x:row r="2815">
      <x:c r="A2815"/>
      <x:c r="B2815"/>
      <x:c r="C2815"/>
      <x:c r="D2815"/>
      <x:c r="E2815"/>
      <x:c r="F2815"/>
      <x:c r="G2815"/>
    </x:row>
    <x:row r="2816">
      <x:c r="A2816"/>
      <x:c r="B2816"/>
      <x:c r="C2816"/>
      <x:c r="D2816"/>
      <x:c r="E2816"/>
      <x:c r="F2816"/>
      <x:c r="G2816"/>
    </x:row>
    <x:row r="2817">
      <x:c r="A2817"/>
      <x:c r="B2817"/>
      <x:c r="C2817"/>
      <x:c r="D2817"/>
      <x:c r="E2817"/>
      <x:c r="F2817"/>
      <x:c r="G2817"/>
    </x:row>
    <x:row r="2818">
      <x:c r="A2818"/>
      <x:c r="B2818"/>
      <x:c r="C2818"/>
      <x:c r="D2818"/>
      <x:c r="E2818"/>
      <x:c r="F2818"/>
      <x:c r="G2818"/>
    </x:row>
    <x:row r="2819">
      <x:c r="A2819"/>
      <x:c r="B2819"/>
      <x:c r="C2819"/>
      <x:c r="D2819"/>
      <x:c r="E2819"/>
      <x:c r="F2819"/>
      <x:c r="G2819"/>
    </x:row>
    <x:row r="2820">
      <x:c r="A2820"/>
      <x:c r="B2820"/>
      <x:c r="C2820"/>
      <x:c r="D2820"/>
      <x:c r="E2820"/>
      <x:c r="F2820"/>
      <x:c r="G2820"/>
    </x:row>
    <x:row r="2821">
      <x:c r="A2821"/>
      <x:c r="B2821"/>
      <x:c r="C2821"/>
      <x:c r="D2821"/>
      <x:c r="E2821"/>
      <x:c r="F2821"/>
      <x:c r="G2821"/>
    </x:row>
    <x:row r="2822">
      <x:c r="A2822"/>
      <x:c r="B2822"/>
      <x:c r="C2822"/>
      <x:c r="D2822"/>
      <x:c r="E2822"/>
      <x:c r="F2822"/>
      <x:c r="G2822"/>
    </x:row>
    <x:row r="2823">
      <x:c r="A2823"/>
      <x:c r="B2823"/>
      <x:c r="C2823"/>
      <x:c r="D2823"/>
      <x:c r="E2823"/>
      <x:c r="F2823"/>
      <x:c r="G2823"/>
    </x:row>
    <x:row r="2824">
      <x:c r="A2824"/>
      <x:c r="B2824"/>
      <x:c r="C2824"/>
      <x:c r="D2824"/>
      <x:c r="E2824"/>
      <x:c r="F2824"/>
      <x:c r="G2824"/>
    </x:row>
    <x:row r="2825">
      <x:c r="A2825"/>
      <x:c r="B2825"/>
      <x:c r="C2825"/>
      <x:c r="D2825"/>
      <x:c r="E2825"/>
      <x:c r="F2825"/>
      <x:c r="G2825"/>
    </x:row>
    <x:row r="2826">
      <x:c r="A2826"/>
      <x:c r="B2826"/>
      <x:c r="C2826"/>
      <x:c r="D2826"/>
      <x:c r="E2826"/>
      <x:c r="F2826"/>
      <x:c r="G2826"/>
    </x:row>
    <x:row r="2827">
      <x:c r="A2827"/>
      <x:c r="B2827"/>
      <x:c r="C2827"/>
      <x:c r="D2827"/>
      <x:c r="E2827"/>
      <x:c r="F2827"/>
      <x:c r="G2827"/>
    </x:row>
    <x:row r="2828">
      <x:c r="A2828"/>
      <x:c r="B2828"/>
      <x:c r="C2828"/>
      <x:c r="D2828"/>
      <x:c r="E2828"/>
      <x:c r="F2828"/>
      <x:c r="G2828"/>
    </x:row>
    <x:row r="2829">
      <x:c r="A2829"/>
      <x:c r="B2829"/>
      <x:c r="C2829"/>
      <x:c r="D2829"/>
      <x:c r="E2829"/>
      <x:c r="F2829"/>
      <x:c r="G2829"/>
    </x:row>
    <x:row r="2830">
      <x:c r="A2830"/>
      <x:c r="B2830"/>
      <x:c r="C2830"/>
      <x:c r="D2830"/>
      <x:c r="E2830"/>
      <x:c r="F2830"/>
      <x:c r="G2830"/>
    </x:row>
    <x:row r="2831">
      <x:c r="A2831"/>
      <x:c r="B2831"/>
      <x:c r="C2831"/>
      <x:c r="D2831"/>
      <x:c r="E2831"/>
      <x:c r="F2831"/>
      <x:c r="G2831"/>
    </x:row>
    <x:row r="2832">
      <x:c r="A2832"/>
      <x:c r="B2832"/>
      <x:c r="C2832"/>
      <x:c r="D2832"/>
      <x:c r="E2832"/>
      <x:c r="F2832"/>
      <x:c r="G2832"/>
    </x:row>
    <x:row r="2833">
      <x:c r="A2833"/>
      <x:c r="B2833"/>
      <x:c r="C2833"/>
      <x:c r="D2833"/>
      <x:c r="E2833"/>
      <x:c r="F2833"/>
      <x:c r="G2833"/>
    </x:row>
    <x:row r="2834">
      <x:c r="A2834"/>
      <x:c r="B2834"/>
      <x:c r="C2834"/>
      <x:c r="D2834"/>
      <x:c r="E2834"/>
      <x:c r="F2834"/>
      <x:c r="G2834"/>
    </x:row>
    <x:row r="2835">
      <x:c r="A2835"/>
      <x:c r="B2835"/>
      <x:c r="C2835"/>
      <x:c r="D2835"/>
      <x:c r="E2835"/>
      <x:c r="F2835"/>
      <x:c r="G2835"/>
    </x:row>
    <x:row r="2836">
      <x:c r="A2836"/>
      <x:c r="B2836"/>
      <x:c r="C2836"/>
      <x:c r="D2836"/>
      <x:c r="E2836"/>
      <x:c r="F2836"/>
      <x:c r="G2836"/>
    </x:row>
    <x:row r="2837">
      <x:c r="A2837"/>
      <x:c r="B2837"/>
      <x:c r="C2837"/>
      <x:c r="D2837"/>
      <x:c r="E2837"/>
      <x:c r="F2837"/>
      <x:c r="G2837"/>
    </x:row>
    <x:row r="2838">
      <x:c r="A2838"/>
      <x:c r="B2838"/>
      <x:c r="C2838"/>
      <x:c r="D2838"/>
      <x:c r="E2838"/>
      <x:c r="F2838"/>
      <x:c r="G2838"/>
    </x:row>
    <x:row r="2839">
      <x:c r="A2839"/>
      <x:c r="B2839"/>
      <x:c r="C2839"/>
      <x:c r="D2839"/>
      <x:c r="E2839"/>
      <x:c r="F2839"/>
      <x:c r="G2839"/>
    </x:row>
    <x:row r="2840">
      <x:c r="A2840"/>
      <x:c r="B2840"/>
      <x:c r="C2840"/>
      <x:c r="D2840"/>
      <x:c r="E2840"/>
      <x:c r="F2840"/>
      <x:c r="G2840"/>
    </x:row>
    <x:row r="2841">
      <x:c r="A2841"/>
      <x:c r="B2841"/>
      <x:c r="C2841"/>
      <x:c r="D2841"/>
      <x:c r="E2841"/>
      <x:c r="F2841"/>
      <x:c r="G2841"/>
    </x:row>
    <x:row r="2842">
      <x:c r="A2842"/>
      <x:c r="B2842"/>
      <x:c r="C2842"/>
      <x:c r="D2842"/>
      <x:c r="E2842"/>
      <x:c r="F2842"/>
      <x:c r="G2842"/>
    </x:row>
    <x:row r="2843">
      <x:c r="A2843"/>
      <x:c r="B2843"/>
      <x:c r="C2843"/>
      <x:c r="D2843"/>
      <x:c r="E2843"/>
      <x:c r="F2843"/>
      <x:c r="G2843"/>
    </x:row>
    <x:row r="2844">
      <x:c r="A2844"/>
      <x:c r="B2844"/>
      <x:c r="C2844"/>
      <x:c r="D2844"/>
      <x:c r="E2844"/>
      <x:c r="F2844"/>
      <x:c r="G2844"/>
    </x:row>
    <x:row r="2845">
      <x:c r="A2845"/>
      <x:c r="B2845"/>
      <x:c r="C2845"/>
      <x:c r="D2845"/>
      <x:c r="E2845"/>
      <x:c r="F2845"/>
      <x:c r="G2845"/>
    </x:row>
    <x:row r="2846">
      <x:c r="A2846"/>
      <x:c r="B2846"/>
      <x:c r="C2846"/>
      <x:c r="D2846"/>
      <x:c r="E2846"/>
      <x:c r="F2846"/>
      <x:c r="G2846"/>
    </x:row>
    <x:row r="2847">
      <x:c r="A2847"/>
      <x:c r="B2847"/>
      <x:c r="C2847"/>
      <x:c r="D2847"/>
      <x:c r="E2847"/>
      <x:c r="F2847"/>
      <x:c r="G2847"/>
    </x:row>
    <x:row r="2848">
      <x:c r="A2848"/>
      <x:c r="B2848"/>
      <x:c r="C2848"/>
      <x:c r="D2848"/>
      <x:c r="E2848"/>
      <x:c r="F2848"/>
      <x:c r="G2848"/>
    </x:row>
    <x:row r="2849">
      <x:c r="A2849"/>
      <x:c r="B2849"/>
      <x:c r="C2849"/>
      <x:c r="D2849"/>
      <x:c r="E2849"/>
      <x:c r="F2849"/>
      <x:c r="G2849"/>
    </x:row>
    <x:row r="2850">
      <x:c r="A2850"/>
      <x:c r="B2850"/>
      <x:c r="C2850"/>
      <x:c r="D2850"/>
      <x:c r="E2850"/>
      <x:c r="F2850"/>
      <x:c r="G2850"/>
    </x:row>
    <x:row r="2851">
      <x:c r="A2851"/>
      <x:c r="B2851"/>
      <x:c r="C2851"/>
      <x:c r="D2851"/>
      <x:c r="E2851"/>
      <x:c r="F2851"/>
      <x:c r="G2851"/>
    </x:row>
    <x:row r="2852">
      <x:c r="A2852"/>
      <x:c r="B2852"/>
      <x:c r="C2852"/>
      <x:c r="D2852"/>
      <x:c r="E2852"/>
      <x:c r="F2852"/>
      <x:c r="G2852"/>
    </x:row>
    <x:row r="2853">
      <x:c r="A2853"/>
      <x:c r="B2853"/>
      <x:c r="C2853"/>
      <x:c r="D2853"/>
      <x:c r="E2853"/>
      <x:c r="F2853"/>
      <x:c r="G2853"/>
    </x:row>
    <x:row r="2854">
      <x:c r="A2854"/>
      <x:c r="B2854"/>
      <x:c r="C2854"/>
      <x:c r="D2854"/>
      <x:c r="E2854"/>
      <x:c r="F2854"/>
      <x:c r="G2854"/>
    </x:row>
    <x:row r="2855">
      <x:c r="A2855"/>
      <x:c r="B2855"/>
      <x:c r="C2855"/>
      <x:c r="D2855"/>
      <x:c r="E2855"/>
      <x:c r="F2855"/>
      <x:c r="G2855"/>
    </x:row>
    <x:row r="2856">
      <x:c r="A2856"/>
      <x:c r="B2856"/>
      <x:c r="C2856"/>
      <x:c r="D2856"/>
      <x:c r="E2856"/>
      <x:c r="F2856"/>
      <x:c r="G2856"/>
    </x:row>
    <x:row r="2857">
      <x:c r="A2857"/>
      <x:c r="B2857"/>
      <x:c r="C2857"/>
      <x:c r="D2857"/>
      <x:c r="E2857"/>
      <x:c r="F2857"/>
      <x:c r="G2857"/>
    </x:row>
    <x:row r="2858">
      <x:c r="A2858"/>
      <x:c r="B2858"/>
      <x:c r="C2858"/>
      <x:c r="D2858"/>
      <x:c r="E2858"/>
      <x:c r="F2858"/>
      <x:c r="G2858"/>
    </x:row>
    <x:row r="2859">
      <x:c r="A2859"/>
      <x:c r="B2859"/>
      <x:c r="C2859"/>
      <x:c r="D2859"/>
      <x:c r="E2859"/>
      <x:c r="F2859"/>
      <x:c r="G2859"/>
    </x:row>
    <x:row r="2860">
      <x:c r="A2860"/>
      <x:c r="B2860"/>
      <x:c r="C2860"/>
      <x:c r="D2860"/>
      <x:c r="E2860"/>
      <x:c r="F2860"/>
      <x:c r="G2860"/>
    </x:row>
    <x:row r="2861">
      <x:c r="A2861"/>
      <x:c r="B2861"/>
      <x:c r="C2861"/>
      <x:c r="D2861"/>
      <x:c r="E2861"/>
      <x:c r="F2861"/>
      <x:c r="G2861"/>
    </x:row>
    <x:row r="2862">
      <x:c r="A2862"/>
      <x:c r="B2862"/>
      <x:c r="C2862"/>
      <x:c r="D2862"/>
      <x:c r="E2862"/>
      <x:c r="F2862"/>
      <x:c r="G2862"/>
    </x:row>
    <x:row r="2863">
      <x:c r="A2863"/>
      <x:c r="B2863"/>
      <x:c r="C2863"/>
      <x:c r="D2863"/>
      <x:c r="E2863"/>
      <x:c r="F2863"/>
      <x:c r="G2863"/>
    </x:row>
    <x:row r="2864">
      <x:c r="A2864"/>
      <x:c r="B2864"/>
      <x:c r="C2864"/>
      <x:c r="D2864"/>
      <x:c r="E2864"/>
      <x:c r="F2864"/>
      <x:c r="G2864"/>
    </x:row>
    <x:row r="2865">
      <x:c r="A2865"/>
      <x:c r="B2865"/>
      <x:c r="C2865"/>
      <x:c r="D2865"/>
      <x:c r="E2865"/>
      <x:c r="F2865"/>
      <x:c r="G2865"/>
    </x:row>
    <x:row r="2866">
      <x:c r="A2866"/>
      <x:c r="B2866"/>
      <x:c r="C2866"/>
      <x:c r="D2866"/>
      <x:c r="E2866"/>
      <x:c r="F2866"/>
      <x:c r="G2866"/>
    </x:row>
    <x:row r="2867">
      <x:c r="A2867"/>
      <x:c r="B2867"/>
      <x:c r="C2867"/>
      <x:c r="D2867"/>
      <x:c r="E2867"/>
      <x:c r="F2867"/>
      <x:c r="G2867"/>
    </x:row>
    <x:row r="2868">
      <x:c r="A2868"/>
      <x:c r="B2868"/>
      <x:c r="C2868"/>
      <x:c r="D2868"/>
      <x:c r="E2868"/>
      <x:c r="F2868"/>
      <x:c r="G2868"/>
    </x:row>
    <x:row r="2869">
      <x:c r="A2869"/>
      <x:c r="B2869"/>
      <x:c r="C2869"/>
      <x:c r="D2869"/>
      <x:c r="E2869"/>
      <x:c r="F2869"/>
      <x:c r="G2869"/>
    </x:row>
    <x:row r="2870">
      <x:c r="A2870"/>
      <x:c r="B2870"/>
      <x:c r="C2870"/>
      <x:c r="D2870"/>
      <x:c r="E2870"/>
      <x:c r="F2870"/>
      <x:c r="G2870"/>
    </x:row>
    <x:row r="2871">
      <x:c r="A2871"/>
      <x:c r="B2871"/>
      <x:c r="C2871"/>
      <x:c r="D2871"/>
      <x:c r="E2871"/>
      <x:c r="F2871"/>
      <x:c r="G2871"/>
    </x:row>
    <x:row r="2872">
      <x:c r="A2872"/>
      <x:c r="B2872"/>
      <x:c r="C2872"/>
      <x:c r="D2872"/>
      <x:c r="E2872"/>
      <x:c r="F2872"/>
      <x:c r="G2872"/>
    </x:row>
    <x:row r="2873">
      <x:c r="A2873"/>
      <x:c r="B2873"/>
      <x:c r="C2873"/>
      <x:c r="D2873"/>
      <x:c r="E2873"/>
      <x:c r="F2873"/>
      <x:c r="G2873"/>
    </x:row>
    <x:row r="2874">
      <x:c r="A2874"/>
      <x:c r="B2874"/>
      <x:c r="C2874"/>
      <x:c r="D2874"/>
      <x:c r="E2874"/>
      <x:c r="F2874"/>
      <x:c r="G2874"/>
    </x:row>
    <x:row r="2875">
      <x:c r="A2875"/>
      <x:c r="B2875"/>
      <x:c r="C2875"/>
      <x:c r="D2875"/>
      <x:c r="E2875"/>
      <x:c r="F2875"/>
      <x:c r="G2875"/>
    </x:row>
    <x:row r="2876">
      <x:c r="A2876"/>
      <x:c r="B2876"/>
      <x:c r="C2876"/>
      <x:c r="D2876"/>
      <x:c r="E2876"/>
      <x:c r="F2876"/>
      <x:c r="G2876"/>
    </x:row>
    <x:row r="2877">
      <x:c r="A2877"/>
      <x:c r="B2877"/>
      <x:c r="C2877"/>
      <x:c r="D2877"/>
      <x:c r="E2877"/>
      <x:c r="F2877"/>
      <x:c r="G2877"/>
    </x:row>
    <x:row r="2878">
      <x:c r="A2878"/>
      <x:c r="B2878"/>
      <x:c r="C2878"/>
      <x:c r="D2878"/>
      <x:c r="E2878"/>
      <x:c r="F2878"/>
      <x:c r="G2878"/>
    </x:row>
    <x:row r="2879">
      <x:c r="A2879"/>
      <x:c r="B2879"/>
      <x:c r="C2879"/>
      <x:c r="D2879"/>
      <x:c r="E2879"/>
      <x:c r="F2879"/>
      <x:c r="G2879"/>
    </x:row>
    <x:row r="2880">
      <x:c r="A2880"/>
      <x:c r="B2880"/>
      <x:c r="C2880"/>
      <x:c r="D2880"/>
      <x:c r="E2880"/>
      <x:c r="F2880"/>
      <x:c r="G2880"/>
    </x:row>
    <x:row r="2881">
      <x:c r="A2881"/>
      <x:c r="B2881"/>
      <x:c r="C2881"/>
      <x:c r="D2881"/>
      <x:c r="E2881"/>
      <x:c r="F2881"/>
      <x:c r="G2881"/>
    </x:row>
    <x:row r="2882">
      <x:c r="A2882"/>
      <x:c r="B2882"/>
      <x:c r="C2882"/>
      <x:c r="D2882"/>
      <x:c r="E2882"/>
      <x:c r="F2882"/>
      <x:c r="G2882"/>
    </x:row>
    <x:row r="2883">
      <x:c r="A2883"/>
      <x:c r="B2883"/>
      <x:c r="C2883"/>
      <x:c r="D2883"/>
      <x:c r="E2883"/>
      <x:c r="F2883"/>
      <x:c r="G2883"/>
    </x:row>
    <x:row r="2884">
      <x:c r="A2884"/>
      <x:c r="B2884"/>
      <x:c r="C2884"/>
      <x:c r="D2884"/>
      <x:c r="E2884"/>
      <x:c r="F2884"/>
      <x:c r="G2884"/>
    </x:row>
    <x:row r="2885">
      <x:c r="A2885"/>
      <x:c r="B2885"/>
      <x:c r="C2885"/>
      <x:c r="D2885"/>
      <x:c r="E2885"/>
      <x:c r="F2885"/>
      <x:c r="G2885"/>
    </x:row>
    <x:row r="2886">
      <x:c r="A2886"/>
      <x:c r="B2886"/>
      <x:c r="C2886"/>
      <x:c r="D2886"/>
      <x:c r="E2886"/>
      <x:c r="F2886"/>
      <x:c r="G2886"/>
    </x:row>
    <x:row r="2887">
      <x:c r="A2887"/>
      <x:c r="B2887"/>
      <x:c r="C2887"/>
      <x:c r="D2887"/>
      <x:c r="E2887"/>
      <x:c r="F2887"/>
      <x:c r="G2887"/>
    </x:row>
    <x:row r="2888">
      <x:c r="A2888"/>
      <x:c r="B2888"/>
      <x:c r="C2888"/>
      <x:c r="D2888"/>
      <x:c r="E2888"/>
      <x:c r="F2888"/>
      <x:c r="G2888"/>
    </x:row>
    <x:row r="2889">
      <x:c r="A2889"/>
      <x:c r="B2889"/>
      <x:c r="C2889"/>
      <x:c r="D2889"/>
      <x:c r="E2889"/>
      <x:c r="F2889"/>
      <x:c r="G2889"/>
    </x:row>
    <x:row r="2890">
      <x:c r="A2890"/>
      <x:c r="B2890"/>
      <x:c r="C2890"/>
      <x:c r="D2890"/>
      <x:c r="E2890"/>
      <x:c r="F2890"/>
      <x:c r="G2890"/>
    </x:row>
    <x:row r="2891">
      <x:c r="A2891"/>
      <x:c r="B2891"/>
      <x:c r="C2891"/>
      <x:c r="D2891"/>
      <x:c r="E2891"/>
      <x:c r="F2891"/>
      <x:c r="G2891"/>
    </x:row>
    <x:row r="2892">
      <x:c r="A2892"/>
      <x:c r="B2892"/>
      <x:c r="C2892"/>
      <x:c r="D2892"/>
      <x:c r="E2892"/>
      <x:c r="F2892"/>
      <x:c r="G2892"/>
    </x:row>
    <x:row r="2893">
      <x:c r="A2893"/>
      <x:c r="B2893"/>
      <x:c r="C2893"/>
      <x:c r="D2893"/>
      <x:c r="E2893"/>
      <x:c r="F2893"/>
      <x:c r="G2893"/>
    </x:row>
    <x:row r="2894">
      <x:c r="A2894"/>
      <x:c r="B2894"/>
      <x:c r="C2894"/>
      <x:c r="D2894"/>
      <x:c r="E2894"/>
      <x:c r="F2894"/>
      <x:c r="G2894"/>
    </x:row>
    <x:row r="2895">
      <x:c r="A2895"/>
      <x:c r="B2895"/>
      <x:c r="C2895"/>
      <x:c r="D2895"/>
      <x:c r="E2895"/>
      <x:c r="F2895"/>
      <x:c r="G2895"/>
    </x:row>
    <x:row r="2896">
      <x:c r="A2896"/>
      <x:c r="B2896"/>
      <x:c r="C2896"/>
      <x:c r="D2896"/>
      <x:c r="E2896"/>
      <x:c r="F2896"/>
      <x:c r="G2896"/>
    </x:row>
    <x:row r="2897">
      <x:c r="A2897"/>
      <x:c r="B2897"/>
      <x:c r="C2897"/>
      <x:c r="D2897"/>
      <x:c r="E2897"/>
      <x:c r="F2897"/>
      <x:c r="G2897"/>
    </x:row>
    <x:row r="2898">
      <x:c r="A2898"/>
      <x:c r="B2898"/>
      <x:c r="C2898"/>
      <x:c r="D2898"/>
      <x:c r="E2898"/>
      <x:c r="F2898"/>
      <x:c r="G2898"/>
    </x:row>
    <x:row r="2899">
      <x:c r="A2899"/>
      <x:c r="B2899"/>
      <x:c r="C2899"/>
      <x:c r="D2899"/>
      <x:c r="E2899"/>
      <x:c r="F2899"/>
      <x:c r="G2899"/>
    </x:row>
    <x:row r="2900">
      <x:c r="A2900"/>
      <x:c r="B2900"/>
      <x:c r="C2900"/>
      <x:c r="D2900"/>
      <x:c r="E2900"/>
      <x:c r="F2900"/>
      <x:c r="G2900"/>
    </x:row>
    <x:row r="2901">
      <x:c r="A2901"/>
      <x:c r="B2901"/>
      <x:c r="C2901"/>
      <x:c r="D2901"/>
      <x:c r="E2901"/>
      <x:c r="F2901"/>
      <x:c r="G2901"/>
    </x:row>
    <x:row r="2902">
      <x:c r="A2902"/>
      <x:c r="B2902"/>
      <x:c r="C2902"/>
      <x:c r="D2902"/>
      <x:c r="E2902"/>
      <x:c r="F2902"/>
      <x:c r="G2902"/>
    </x:row>
    <x:row r="2903">
      <x:c r="A2903"/>
      <x:c r="B2903"/>
      <x:c r="C2903"/>
      <x:c r="D2903"/>
      <x:c r="E2903"/>
      <x:c r="F2903"/>
      <x:c r="G2903"/>
    </x:row>
    <x:row r="2904">
      <x:c r="A2904"/>
      <x:c r="B2904"/>
      <x:c r="C2904"/>
      <x:c r="D2904"/>
      <x:c r="E2904"/>
      <x:c r="F2904"/>
      <x:c r="G2904"/>
    </x:row>
    <x:row r="2905">
      <x:c r="A2905"/>
      <x:c r="B2905"/>
      <x:c r="C2905"/>
      <x:c r="D2905"/>
      <x:c r="E2905"/>
      <x:c r="F2905"/>
      <x:c r="G2905"/>
    </x:row>
    <x:row r="2906">
      <x:c r="A2906"/>
      <x:c r="B2906"/>
      <x:c r="C2906"/>
      <x:c r="D2906"/>
      <x:c r="E2906"/>
      <x:c r="F2906"/>
      <x:c r="G2906"/>
    </x:row>
    <x:row r="2907">
      <x:c r="A2907"/>
      <x:c r="B2907"/>
      <x:c r="C2907"/>
      <x:c r="D2907"/>
      <x:c r="E2907"/>
      <x:c r="F2907"/>
      <x:c r="G2907"/>
    </x:row>
    <x:row r="2908">
      <x:c r="A2908"/>
      <x:c r="B2908"/>
      <x:c r="C2908"/>
      <x:c r="D2908"/>
      <x:c r="E2908"/>
      <x:c r="F2908"/>
      <x:c r="G2908"/>
    </x:row>
    <x:row r="2909">
      <x:c r="A2909"/>
      <x:c r="B2909"/>
      <x:c r="C2909"/>
      <x:c r="D2909"/>
      <x:c r="E2909"/>
      <x:c r="F2909"/>
      <x:c r="G2909"/>
    </x:row>
    <x:row r="2910">
      <x:c r="A2910"/>
      <x:c r="B2910"/>
      <x:c r="C2910"/>
      <x:c r="D2910"/>
      <x:c r="E2910"/>
      <x:c r="F2910"/>
      <x:c r="G2910"/>
    </x:row>
    <x:row r="2911">
      <x:c r="A2911"/>
      <x:c r="B2911"/>
      <x:c r="C2911"/>
      <x:c r="D2911"/>
      <x:c r="E2911"/>
      <x:c r="F2911"/>
      <x:c r="G2911"/>
    </x:row>
    <x:row r="2912">
      <x:c r="A2912"/>
      <x:c r="B2912"/>
      <x:c r="C2912"/>
      <x:c r="D2912"/>
      <x:c r="E2912"/>
      <x:c r="F2912"/>
      <x:c r="G2912"/>
    </x:row>
    <x:row r="2913">
      <x:c r="A2913"/>
      <x:c r="B2913"/>
      <x:c r="C2913"/>
      <x:c r="D2913"/>
      <x:c r="E2913"/>
      <x:c r="F2913"/>
      <x:c r="G2913"/>
    </x:row>
    <x:row r="2914">
      <x:c r="A2914"/>
      <x:c r="B2914"/>
      <x:c r="C2914"/>
      <x:c r="D2914"/>
      <x:c r="E2914"/>
      <x:c r="F2914"/>
      <x:c r="G2914"/>
    </x:row>
    <x:row r="2915">
      <x:c r="A2915"/>
      <x:c r="B2915"/>
      <x:c r="C2915"/>
      <x:c r="D2915"/>
      <x:c r="E2915"/>
      <x:c r="F2915"/>
      <x:c r="G2915"/>
    </x:row>
    <x:row r="2916">
      <x:c r="A2916"/>
      <x:c r="B2916"/>
      <x:c r="C2916"/>
      <x:c r="D2916"/>
      <x:c r="E2916"/>
      <x:c r="F2916"/>
      <x:c r="G2916"/>
    </x:row>
    <x:row r="2917">
      <x:c r="A2917"/>
      <x:c r="B2917"/>
      <x:c r="C2917"/>
      <x:c r="D2917"/>
      <x:c r="E2917"/>
      <x:c r="F2917"/>
      <x:c r="G2917"/>
    </x:row>
    <x:row r="2918">
      <x:c r="A2918"/>
      <x:c r="B2918"/>
      <x:c r="C2918"/>
      <x:c r="D2918"/>
      <x:c r="E2918"/>
      <x:c r="F2918"/>
      <x:c r="G2918"/>
    </x:row>
    <x:row r="2919">
      <x:c r="A2919"/>
      <x:c r="B2919"/>
      <x:c r="C2919"/>
      <x:c r="D2919"/>
      <x:c r="E2919"/>
      <x:c r="F2919"/>
      <x:c r="G2919"/>
    </x:row>
    <x:row r="2920">
      <x:c r="A2920"/>
      <x:c r="B2920"/>
      <x:c r="C2920"/>
      <x:c r="D2920"/>
      <x:c r="E2920"/>
      <x:c r="F2920"/>
      <x:c r="G2920"/>
    </x:row>
    <x:row r="2921">
      <x:c r="A2921"/>
      <x:c r="B2921"/>
      <x:c r="C2921"/>
      <x:c r="D2921"/>
      <x:c r="E2921"/>
      <x:c r="F2921"/>
      <x:c r="G2921"/>
    </x:row>
    <x:row r="2922">
      <x:c r="A2922"/>
      <x:c r="B2922"/>
      <x:c r="C2922"/>
      <x:c r="D2922"/>
      <x:c r="E2922"/>
      <x:c r="F2922"/>
      <x:c r="G2922"/>
    </x:row>
    <x:row r="2923">
      <x:c r="A2923"/>
      <x:c r="B2923"/>
      <x:c r="C2923"/>
      <x:c r="D2923"/>
      <x:c r="E2923"/>
      <x:c r="F2923"/>
      <x:c r="G2923"/>
    </x:row>
    <x:row r="2924">
      <x:c r="A2924"/>
      <x:c r="B2924"/>
      <x:c r="C2924"/>
      <x:c r="D2924"/>
      <x:c r="E2924"/>
      <x:c r="F2924"/>
      <x:c r="G2924"/>
    </x:row>
    <x:row r="2925">
      <x:c r="A2925"/>
      <x:c r="B2925"/>
      <x:c r="C2925"/>
      <x:c r="D2925"/>
      <x:c r="E2925"/>
      <x:c r="F2925"/>
      <x:c r="G2925"/>
    </x:row>
    <x:row r="2926">
      <x:c r="A2926"/>
      <x:c r="B2926"/>
      <x:c r="C2926"/>
      <x:c r="D2926"/>
      <x:c r="E2926"/>
      <x:c r="F2926"/>
      <x:c r="G2926"/>
    </x:row>
    <x:row r="2927">
      <x:c r="A2927"/>
      <x:c r="B2927"/>
      <x:c r="C2927"/>
      <x:c r="D2927"/>
      <x:c r="E2927"/>
      <x:c r="F2927"/>
      <x:c r="G2927"/>
    </x:row>
    <x:row r="2928">
      <x:c r="A2928"/>
      <x:c r="B2928"/>
      <x:c r="C2928"/>
      <x:c r="D2928"/>
      <x:c r="E2928"/>
      <x:c r="F2928"/>
      <x:c r="G2928"/>
    </x:row>
    <x:row r="2929">
      <x:c r="A2929"/>
      <x:c r="B2929"/>
      <x:c r="C2929"/>
      <x:c r="D2929"/>
      <x:c r="E2929"/>
      <x:c r="F2929"/>
      <x:c r="G2929"/>
    </x:row>
    <x:row r="2930">
      <x:c r="A2930"/>
      <x:c r="B2930"/>
      <x:c r="C2930"/>
      <x:c r="D2930"/>
      <x:c r="E2930"/>
      <x:c r="F2930"/>
      <x:c r="G2930"/>
    </x:row>
    <x:row r="2931">
      <x:c r="A2931"/>
      <x:c r="B2931"/>
      <x:c r="C2931"/>
      <x:c r="D2931"/>
      <x:c r="E2931"/>
      <x:c r="F2931"/>
      <x:c r="G2931"/>
    </x:row>
    <x:row r="2932">
      <x:c r="A2932"/>
      <x:c r="B2932"/>
      <x:c r="C2932"/>
      <x:c r="D2932"/>
      <x:c r="E2932"/>
      <x:c r="F2932"/>
      <x:c r="G2932"/>
    </x:row>
    <x:row r="2933">
      <x:c r="A2933"/>
      <x:c r="B2933"/>
      <x:c r="C2933"/>
      <x:c r="D2933"/>
      <x:c r="E2933"/>
      <x:c r="F2933"/>
      <x:c r="G2933"/>
    </x:row>
    <x:row r="2934">
      <x:c r="A2934"/>
      <x:c r="B2934"/>
      <x:c r="C2934"/>
      <x:c r="D2934"/>
      <x:c r="E2934"/>
      <x:c r="F2934"/>
      <x:c r="G2934"/>
    </x:row>
    <x:row r="2935">
      <x:c r="A2935"/>
      <x:c r="B2935"/>
      <x:c r="C2935"/>
      <x:c r="D2935"/>
      <x:c r="E2935"/>
      <x:c r="F2935"/>
      <x:c r="G2935"/>
    </x:row>
    <x:row r="2936">
      <x:c r="A2936"/>
      <x:c r="B2936"/>
      <x:c r="C2936"/>
      <x:c r="D2936"/>
      <x:c r="E2936"/>
      <x:c r="F2936"/>
      <x:c r="G2936"/>
    </x:row>
    <x:row r="2937">
      <x:c r="A2937"/>
      <x:c r="B2937"/>
      <x:c r="C2937"/>
      <x:c r="D2937"/>
      <x:c r="E2937"/>
      <x:c r="F2937"/>
      <x:c r="G2937"/>
    </x:row>
    <x:row r="2938">
      <x:c r="A2938"/>
      <x:c r="B2938"/>
      <x:c r="C2938"/>
      <x:c r="D2938"/>
      <x:c r="E2938"/>
      <x:c r="F2938"/>
      <x:c r="G2938"/>
    </x:row>
    <x:row r="2939">
      <x:c r="A2939"/>
      <x:c r="B2939"/>
      <x:c r="C2939"/>
      <x:c r="D2939"/>
      <x:c r="E2939"/>
      <x:c r="F2939"/>
      <x:c r="G2939"/>
    </x:row>
    <x:row r="2940">
      <x:c r="A2940"/>
      <x:c r="B2940"/>
      <x:c r="C2940"/>
      <x:c r="D2940"/>
      <x:c r="E2940"/>
      <x:c r="F2940"/>
      <x:c r="G2940"/>
    </x:row>
    <x:row r="2941">
      <x:c r="A2941"/>
      <x:c r="B2941"/>
      <x:c r="C2941"/>
      <x:c r="D2941"/>
      <x:c r="E2941"/>
      <x:c r="F2941"/>
      <x:c r="G2941"/>
    </x:row>
    <x:row r="2942">
      <x:c r="A2942"/>
      <x:c r="B2942"/>
      <x:c r="C2942"/>
      <x:c r="D2942"/>
      <x:c r="E2942"/>
      <x:c r="F2942"/>
      <x:c r="G2942"/>
    </x:row>
    <x:row r="2943">
      <x:c r="A2943"/>
      <x:c r="B2943"/>
      <x:c r="C2943"/>
      <x:c r="D2943"/>
      <x:c r="E2943"/>
      <x:c r="F2943"/>
      <x:c r="G2943"/>
    </x:row>
    <x:row r="2944">
      <x:c r="A2944"/>
      <x:c r="B2944"/>
      <x:c r="C2944"/>
      <x:c r="D2944"/>
      <x:c r="E2944"/>
      <x:c r="F2944"/>
      <x:c r="G2944"/>
    </x:row>
    <x:row r="2945">
      <x:c r="A2945"/>
      <x:c r="B2945"/>
      <x:c r="C2945"/>
      <x:c r="D2945"/>
      <x:c r="E2945"/>
      <x:c r="F2945"/>
      <x:c r="G2945"/>
    </x:row>
    <x:row r="2946">
      <x:c r="A2946"/>
      <x:c r="B2946"/>
      <x:c r="C2946"/>
      <x:c r="D2946"/>
      <x:c r="E2946"/>
      <x:c r="F2946"/>
      <x:c r="G2946"/>
    </x:row>
    <x:row r="2947">
      <x:c r="A2947"/>
      <x:c r="B2947"/>
      <x:c r="C2947"/>
      <x:c r="D2947"/>
      <x:c r="E2947"/>
      <x:c r="F2947"/>
      <x:c r="G2947"/>
    </x:row>
    <x:row r="2948">
      <x:c r="A2948"/>
      <x:c r="B2948"/>
      <x:c r="C2948"/>
      <x:c r="D2948"/>
      <x:c r="E2948"/>
      <x:c r="F2948"/>
      <x:c r="G2948"/>
    </x:row>
    <x:row r="2949">
      <x:c r="A2949"/>
      <x:c r="B2949"/>
      <x:c r="C2949"/>
      <x:c r="D2949"/>
      <x:c r="E2949"/>
      <x:c r="F2949"/>
      <x:c r="G2949"/>
    </x:row>
    <x:row r="2950">
      <x:c r="A2950"/>
      <x:c r="B2950"/>
      <x:c r="C2950"/>
      <x:c r="D2950"/>
      <x:c r="E2950"/>
      <x:c r="F2950"/>
      <x:c r="G2950"/>
    </x:row>
    <x:row r="2951">
      <x:c r="A2951"/>
      <x:c r="B2951"/>
      <x:c r="C2951"/>
      <x:c r="D2951"/>
      <x:c r="E2951"/>
      <x:c r="F2951"/>
      <x:c r="G2951"/>
    </x:row>
    <x:row r="2952">
      <x:c r="A2952"/>
      <x:c r="B2952"/>
      <x:c r="C2952"/>
      <x:c r="D2952"/>
      <x:c r="E2952"/>
      <x:c r="F2952"/>
      <x:c r="G2952"/>
    </x:row>
    <x:row r="2953">
      <x:c r="A2953"/>
      <x:c r="B2953"/>
      <x:c r="C2953"/>
      <x:c r="D2953"/>
      <x:c r="E2953"/>
      <x:c r="F2953"/>
      <x:c r="G2953"/>
    </x:row>
    <x:row r="2954">
      <x:c r="A2954"/>
      <x:c r="B2954"/>
      <x:c r="C2954"/>
      <x:c r="D2954"/>
      <x:c r="E2954"/>
      <x:c r="F2954"/>
      <x:c r="G2954"/>
    </x:row>
    <x:row r="2955">
      <x:c r="A2955"/>
      <x:c r="B2955"/>
      <x:c r="C2955"/>
      <x:c r="D2955"/>
      <x:c r="E2955"/>
      <x:c r="F2955"/>
      <x:c r="G2955"/>
    </x:row>
    <x:row r="2956">
      <x:c r="A2956"/>
      <x:c r="B2956"/>
      <x:c r="C2956"/>
      <x:c r="D2956"/>
      <x:c r="E2956"/>
      <x:c r="F2956"/>
      <x:c r="G2956"/>
    </x:row>
    <x:row r="2957">
      <x:c r="A2957"/>
      <x:c r="B2957"/>
      <x:c r="C2957"/>
      <x:c r="D2957"/>
      <x:c r="E2957"/>
      <x:c r="F2957"/>
      <x:c r="G2957"/>
    </x:row>
    <x:row r="2958">
      <x:c r="A2958"/>
      <x:c r="B2958"/>
      <x:c r="C2958"/>
      <x:c r="D2958"/>
      <x:c r="E2958"/>
      <x:c r="F2958"/>
      <x:c r="G2958"/>
    </x:row>
    <x:row r="2959">
      <x:c r="A2959"/>
      <x:c r="B2959"/>
      <x:c r="C2959"/>
      <x:c r="D2959"/>
      <x:c r="E2959"/>
      <x:c r="F2959"/>
      <x:c r="G2959"/>
    </x:row>
    <x:row r="2960">
      <x:c r="A2960"/>
      <x:c r="B2960"/>
      <x:c r="C2960"/>
      <x:c r="D2960"/>
      <x:c r="E2960"/>
      <x:c r="F2960"/>
      <x:c r="G2960"/>
    </x:row>
    <x:row r="2961">
      <x:c r="A2961"/>
      <x:c r="B2961"/>
      <x:c r="C2961"/>
      <x:c r="D2961"/>
      <x:c r="E2961"/>
      <x:c r="F2961"/>
      <x:c r="G2961"/>
    </x:row>
    <x:row r="2962">
      <x:c r="A2962"/>
      <x:c r="B2962"/>
      <x:c r="C2962"/>
      <x:c r="D2962"/>
      <x:c r="E2962"/>
      <x:c r="F2962"/>
      <x:c r="G2962"/>
    </x:row>
    <x:row r="2963">
      <x:c r="A2963"/>
      <x:c r="B2963"/>
      <x:c r="C2963"/>
      <x:c r="D2963"/>
      <x:c r="E2963"/>
      <x:c r="F2963"/>
      <x:c r="G2963"/>
    </x:row>
    <x:row r="2964">
      <x:c r="A2964"/>
      <x:c r="B2964"/>
      <x:c r="C2964"/>
      <x:c r="D2964"/>
      <x:c r="E2964"/>
      <x:c r="F2964"/>
      <x:c r="G2964"/>
    </x:row>
    <x:row r="2965">
      <x:c r="A2965"/>
      <x:c r="B2965"/>
      <x:c r="C2965"/>
      <x:c r="D2965"/>
      <x:c r="E2965"/>
      <x:c r="F2965"/>
      <x:c r="G2965"/>
    </x:row>
    <x:row r="2966">
      <x:c r="A2966"/>
      <x:c r="B2966"/>
      <x:c r="C2966"/>
      <x:c r="D2966"/>
      <x:c r="E2966"/>
      <x:c r="F2966"/>
      <x:c r="G2966"/>
    </x:row>
    <x:row r="2967">
      <x:c r="A2967"/>
      <x:c r="B2967"/>
      <x:c r="C2967"/>
      <x:c r="D2967"/>
      <x:c r="E2967"/>
      <x:c r="F2967"/>
      <x:c r="G2967"/>
    </x:row>
    <x:row r="2968">
      <x:c r="A2968"/>
      <x:c r="B2968"/>
      <x:c r="C2968"/>
      <x:c r="D2968"/>
      <x:c r="E2968"/>
      <x:c r="F2968"/>
      <x:c r="G2968"/>
    </x:row>
    <x:row r="2969">
      <x:c r="A2969"/>
      <x:c r="B2969"/>
      <x:c r="C2969"/>
      <x:c r="D2969"/>
      <x:c r="E2969"/>
      <x:c r="F2969"/>
      <x:c r="G2969"/>
    </x:row>
    <x:row r="2970">
      <x:c r="A2970"/>
      <x:c r="B2970"/>
      <x:c r="C2970"/>
      <x:c r="D2970"/>
      <x:c r="E2970"/>
      <x:c r="F2970"/>
      <x:c r="G2970"/>
    </x:row>
    <x:row r="2971">
      <x:c r="A2971"/>
      <x:c r="B2971"/>
      <x:c r="C2971"/>
      <x:c r="D2971"/>
      <x:c r="E2971"/>
      <x:c r="F2971"/>
      <x:c r="G2971"/>
    </x:row>
    <x:row r="2972">
      <x:c r="A2972"/>
      <x:c r="B2972"/>
      <x:c r="C2972"/>
      <x:c r="D2972"/>
      <x:c r="E2972"/>
      <x:c r="F2972"/>
      <x:c r="G2972"/>
    </x:row>
    <x:row r="2973">
      <x:c r="A2973"/>
      <x:c r="B2973"/>
      <x:c r="C2973"/>
      <x:c r="D2973"/>
      <x:c r="E2973"/>
      <x:c r="F2973"/>
      <x:c r="G2973"/>
    </x:row>
    <x:row r="2974">
      <x:c r="A2974"/>
      <x:c r="B2974"/>
      <x:c r="C2974"/>
      <x:c r="D2974"/>
      <x:c r="E2974"/>
      <x:c r="F2974"/>
      <x:c r="G2974"/>
    </x:row>
    <x:row r="2975">
      <x:c r="A2975"/>
      <x:c r="B2975"/>
      <x:c r="C2975"/>
      <x:c r="D2975"/>
      <x:c r="E2975"/>
      <x:c r="F2975"/>
      <x:c r="G2975"/>
    </x:row>
    <x:row r="2976">
      <x:c r="A2976"/>
      <x:c r="B2976"/>
      <x:c r="C2976"/>
      <x:c r="D2976"/>
      <x:c r="E2976"/>
      <x:c r="F2976"/>
      <x:c r="G2976"/>
    </x:row>
    <x:row r="2977">
      <x:c r="A2977"/>
      <x:c r="B2977"/>
      <x:c r="C2977"/>
      <x:c r="D2977"/>
      <x:c r="E2977"/>
      <x:c r="F2977"/>
      <x:c r="G2977"/>
    </x:row>
    <x:row r="2978">
      <x:c r="A2978"/>
      <x:c r="B2978"/>
      <x:c r="C2978"/>
      <x:c r="D2978"/>
      <x:c r="E2978"/>
      <x:c r="F2978"/>
      <x:c r="G2978"/>
    </x:row>
    <x:row r="2979">
      <x:c r="A2979"/>
      <x:c r="B2979"/>
      <x:c r="C2979"/>
      <x:c r="D2979"/>
      <x:c r="E2979"/>
      <x:c r="F2979"/>
      <x:c r="G2979"/>
    </x:row>
    <x:row r="2980">
      <x:c r="A2980"/>
      <x:c r="B2980"/>
      <x:c r="C2980"/>
      <x:c r="D2980"/>
      <x:c r="E2980"/>
      <x:c r="F2980"/>
      <x:c r="G2980"/>
    </x:row>
    <x:row r="2981">
      <x:c r="A2981"/>
      <x:c r="B2981"/>
      <x:c r="C2981"/>
      <x:c r="D2981"/>
      <x:c r="E2981"/>
      <x:c r="F2981"/>
      <x:c r="G2981"/>
    </x:row>
    <x:row r="2982">
      <x:c r="A2982"/>
      <x:c r="B2982"/>
      <x:c r="C2982"/>
      <x:c r="D2982"/>
      <x:c r="E2982"/>
      <x:c r="F2982"/>
      <x:c r="G2982"/>
    </x:row>
    <x:row r="2983">
      <x:c r="A2983"/>
      <x:c r="B2983"/>
      <x:c r="C2983"/>
      <x:c r="D2983"/>
      <x:c r="E2983"/>
      <x:c r="F2983"/>
      <x:c r="G2983"/>
    </x:row>
    <x:row r="2984">
      <x:c r="A2984"/>
      <x:c r="B2984"/>
      <x:c r="C2984"/>
      <x:c r="D2984"/>
      <x:c r="E2984"/>
      <x:c r="F2984"/>
      <x:c r="G2984"/>
    </x:row>
    <x:row r="2985">
      <x:c r="A2985"/>
      <x:c r="B2985"/>
      <x:c r="C2985"/>
      <x:c r="D2985"/>
      <x:c r="E2985"/>
      <x:c r="F2985"/>
      <x:c r="G2985"/>
    </x:row>
    <x:row r="2986">
      <x:c r="A2986"/>
      <x:c r="B2986"/>
      <x:c r="C2986"/>
      <x:c r="D2986"/>
      <x:c r="E2986"/>
      <x:c r="F2986"/>
      <x:c r="G2986"/>
    </x:row>
    <x:row r="2987">
      <x:c r="A2987"/>
      <x:c r="B2987"/>
      <x:c r="C2987"/>
      <x:c r="D2987"/>
      <x:c r="E2987"/>
      <x:c r="F2987"/>
      <x:c r="G2987"/>
    </x:row>
    <x:row r="2988">
      <x:c r="A2988"/>
      <x:c r="B2988"/>
      <x:c r="C2988"/>
      <x:c r="D2988"/>
      <x:c r="E2988"/>
      <x:c r="F2988"/>
      <x:c r="G2988"/>
    </x:row>
    <x:row r="2989">
      <x:c r="A2989"/>
      <x:c r="B2989"/>
      <x:c r="C2989"/>
      <x:c r="D2989"/>
      <x:c r="E2989"/>
      <x:c r="F2989"/>
      <x:c r="G2989"/>
    </x:row>
    <x:row r="2990">
      <x:c r="A2990"/>
      <x:c r="B2990"/>
      <x:c r="C2990"/>
      <x:c r="D2990"/>
      <x:c r="E2990"/>
      <x:c r="F2990"/>
      <x:c r="G2990"/>
    </x:row>
    <x:row r="2991">
      <x:c r="A2991"/>
      <x:c r="B2991"/>
      <x:c r="C2991"/>
      <x:c r="D2991"/>
      <x:c r="E2991"/>
      <x:c r="F2991"/>
      <x:c r="G2991"/>
    </x:row>
    <x:row r="2992">
      <x:c r="A2992"/>
      <x:c r="B2992"/>
      <x:c r="C2992"/>
      <x:c r="D2992"/>
      <x:c r="E2992"/>
      <x:c r="F2992"/>
      <x:c r="G2992"/>
    </x:row>
    <x:row r="2993">
      <x:c r="A2993"/>
      <x:c r="B2993"/>
      <x:c r="C2993"/>
      <x:c r="D2993"/>
      <x:c r="E2993"/>
      <x:c r="F2993"/>
      <x:c r="G2993"/>
    </x:row>
    <x:row r="2994">
      <x:c r="A2994"/>
      <x:c r="B2994"/>
      <x:c r="C2994"/>
      <x:c r="D2994"/>
      <x:c r="E2994"/>
      <x:c r="F2994"/>
      <x:c r="G2994"/>
    </x:row>
    <x:row r="2995">
      <x:c r="A2995"/>
      <x:c r="B2995"/>
      <x:c r="C2995"/>
      <x:c r="D2995"/>
      <x:c r="E2995"/>
      <x:c r="F2995"/>
      <x:c r="G2995"/>
    </x:row>
    <x:row r="2996">
      <x:c r="A2996"/>
      <x:c r="B2996"/>
      <x:c r="C2996"/>
      <x:c r="D2996"/>
      <x:c r="E2996"/>
      <x:c r="F2996"/>
      <x:c r="G2996"/>
    </x:row>
    <x:row r="2997">
      <x:c r="A2997"/>
      <x:c r="B2997"/>
      <x:c r="C2997"/>
      <x:c r="D2997"/>
      <x:c r="E2997"/>
      <x:c r="F2997"/>
      <x:c r="G2997"/>
    </x:row>
    <x:row r="2998">
      <x:c r="A2998"/>
      <x:c r="B2998"/>
      <x:c r="C2998"/>
      <x:c r="D2998"/>
      <x:c r="E2998"/>
      <x:c r="F2998"/>
      <x:c r="G2998"/>
    </x:row>
    <x:row r="2999">
      <x:c r="A2999"/>
      <x:c r="B2999"/>
      <x:c r="C2999"/>
      <x:c r="D2999"/>
      <x:c r="E2999"/>
      <x:c r="F2999"/>
      <x:c r="G2999"/>
    </x:row>
    <x:row r="3000">
      <x:c r="A3000"/>
      <x:c r="B3000"/>
      <x:c r="C3000"/>
      <x:c r="D3000"/>
      <x:c r="E3000"/>
      <x:c r="F3000"/>
      <x:c r="G3000"/>
    </x:row>
    <x:row r="3001">
      <x:c r="A3001"/>
      <x:c r="B3001"/>
      <x:c r="C3001"/>
      <x:c r="D3001"/>
      <x:c r="E3001"/>
      <x:c r="F3001"/>
      <x:c r="G3001"/>
    </x:row>
    <x:row r="3002">
      <x:c r="A3002"/>
      <x:c r="B3002"/>
      <x:c r="C3002"/>
      <x:c r="D3002"/>
      <x:c r="E3002"/>
      <x:c r="F3002"/>
      <x:c r="G3002"/>
    </x:row>
    <x:row r="3003">
      <x:c r="A3003"/>
      <x:c r="B3003"/>
      <x:c r="C3003"/>
      <x:c r="D3003"/>
      <x:c r="E3003"/>
      <x:c r="F3003"/>
      <x:c r="G3003"/>
    </x:row>
    <x:row r="3004">
      <x:c r="A3004"/>
      <x:c r="B3004"/>
      <x:c r="C3004"/>
      <x:c r="D3004"/>
      <x:c r="E3004"/>
      <x:c r="F3004"/>
      <x:c r="G3004"/>
    </x:row>
    <x:row r="3005">
      <x:c r="A3005"/>
      <x:c r="B3005"/>
      <x:c r="C3005"/>
      <x:c r="D3005"/>
      <x:c r="E3005"/>
      <x:c r="F3005"/>
      <x:c r="G3005"/>
    </x:row>
    <x:row r="3006">
      <x:c r="A3006"/>
      <x:c r="B3006"/>
      <x:c r="C3006"/>
      <x:c r="D3006"/>
      <x:c r="E3006"/>
      <x:c r="F3006"/>
      <x:c r="G3006"/>
    </x:row>
    <x:row r="3007">
      <x:c r="A3007"/>
      <x:c r="B3007"/>
      <x:c r="C3007"/>
      <x:c r="D3007"/>
      <x:c r="E3007"/>
      <x:c r="F3007"/>
      <x:c r="G3007"/>
    </x:row>
    <x:row r="3008">
      <x:c r="A3008"/>
      <x:c r="B3008"/>
      <x:c r="C3008"/>
      <x:c r="D3008"/>
      <x:c r="E3008"/>
      <x:c r="F3008"/>
      <x:c r="G3008"/>
    </x:row>
    <x:row r="3009">
      <x:c r="A3009"/>
      <x:c r="B3009"/>
      <x:c r="C3009"/>
      <x:c r="D3009"/>
      <x:c r="E3009"/>
      <x:c r="F3009"/>
      <x:c r="G3009"/>
    </x:row>
    <x:row r="3010">
      <x:c r="A3010"/>
      <x:c r="B3010"/>
      <x:c r="C3010"/>
      <x:c r="D3010"/>
      <x:c r="E3010"/>
      <x:c r="F3010"/>
      <x:c r="G3010"/>
    </x:row>
    <x:row r="3011">
      <x:c r="A3011"/>
      <x:c r="B3011"/>
      <x:c r="C3011"/>
      <x:c r="D3011"/>
      <x:c r="E3011"/>
      <x:c r="F3011"/>
      <x:c r="G3011"/>
    </x:row>
    <x:row r="3012">
      <x:c r="A3012"/>
      <x:c r="B3012"/>
      <x:c r="C3012"/>
      <x:c r="D3012"/>
      <x:c r="E3012"/>
      <x:c r="F3012"/>
      <x:c r="G3012"/>
    </x:row>
    <x:row r="3013">
      <x:c r="A3013"/>
      <x:c r="B3013"/>
      <x:c r="C3013"/>
      <x:c r="D3013"/>
      <x:c r="E3013"/>
      <x:c r="F3013"/>
      <x:c r="G3013"/>
    </x:row>
    <x:row r="3014">
      <x:c r="A3014"/>
      <x:c r="B3014"/>
      <x:c r="C3014"/>
      <x:c r="D3014"/>
      <x:c r="E3014"/>
      <x:c r="F3014"/>
      <x:c r="G3014"/>
    </x:row>
    <x:row r="3015">
      <x:c r="A3015"/>
      <x:c r="B3015"/>
      <x:c r="C3015"/>
      <x:c r="D3015"/>
      <x:c r="E3015"/>
      <x:c r="F3015"/>
      <x:c r="G3015"/>
    </x:row>
    <x:row r="3016">
      <x:c r="A3016"/>
      <x:c r="B3016"/>
      <x:c r="C3016"/>
      <x:c r="D3016"/>
      <x:c r="E3016"/>
      <x:c r="F3016"/>
      <x:c r="G3016"/>
    </x:row>
    <x:row r="3017">
      <x:c r="A3017"/>
      <x:c r="B3017"/>
      <x:c r="C3017"/>
      <x:c r="D3017"/>
      <x:c r="E3017"/>
      <x:c r="F3017"/>
      <x:c r="G3017"/>
    </x:row>
    <x:row r="3018">
      <x:c r="A3018"/>
      <x:c r="B3018"/>
      <x:c r="C3018"/>
      <x:c r="D3018"/>
      <x:c r="E3018"/>
      <x:c r="F3018"/>
      <x:c r="G3018"/>
    </x:row>
    <x:row r="3019">
      <x:c r="A3019"/>
      <x:c r="B3019"/>
      <x:c r="C3019"/>
      <x:c r="D3019"/>
      <x:c r="E3019"/>
      <x:c r="F3019"/>
      <x:c r="G3019"/>
    </x:row>
    <x:row r="3020">
      <x:c r="A3020"/>
      <x:c r="B3020"/>
      <x:c r="C3020"/>
      <x:c r="D3020"/>
      <x:c r="E3020"/>
      <x:c r="F3020"/>
      <x:c r="G3020"/>
    </x:row>
    <x:row r="3021">
      <x:c r="A3021"/>
      <x:c r="B3021"/>
      <x:c r="C3021"/>
      <x:c r="D3021"/>
      <x:c r="E3021"/>
      <x:c r="F3021"/>
      <x:c r="G3021"/>
    </x:row>
    <x:row r="3022">
      <x:c r="A3022"/>
      <x:c r="B3022"/>
      <x:c r="C3022"/>
      <x:c r="D3022"/>
      <x:c r="E3022"/>
      <x:c r="F3022"/>
      <x:c r="G3022"/>
    </x:row>
    <x:row r="3023">
      <x:c r="A3023"/>
      <x:c r="B3023"/>
      <x:c r="C3023"/>
      <x:c r="D3023"/>
      <x:c r="E3023"/>
      <x:c r="F3023"/>
      <x:c r="G3023"/>
    </x:row>
    <x:row r="3024">
      <x:c r="A3024"/>
      <x:c r="B3024"/>
      <x:c r="C3024"/>
      <x:c r="D3024"/>
      <x:c r="E3024"/>
      <x:c r="F3024"/>
      <x:c r="G3024"/>
    </x:row>
    <x:row r="3025">
      <x:c r="A3025"/>
      <x:c r="B3025"/>
      <x:c r="C3025"/>
      <x:c r="D3025"/>
      <x:c r="E3025"/>
      <x:c r="F3025"/>
      <x:c r="G3025"/>
    </x:row>
    <x:row r="3026">
      <x:c r="A3026"/>
      <x:c r="B3026"/>
      <x:c r="C3026"/>
      <x:c r="D3026"/>
      <x:c r="E3026"/>
      <x:c r="F3026"/>
      <x:c r="G3026"/>
    </x:row>
    <x:row r="3027">
      <x:c r="A3027"/>
      <x:c r="B3027"/>
      <x:c r="C3027"/>
      <x:c r="D3027"/>
      <x:c r="E3027"/>
      <x:c r="F3027"/>
      <x:c r="G3027"/>
    </x:row>
    <x:row r="3028">
      <x:c r="A3028"/>
      <x:c r="B3028"/>
      <x:c r="C3028"/>
      <x:c r="D3028"/>
      <x:c r="E3028"/>
      <x:c r="F3028"/>
      <x:c r="G3028"/>
    </x:row>
    <x:row r="3029">
      <x:c r="A3029"/>
      <x:c r="B3029"/>
      <x:c r="C3029"/>
      <x:c r="D3029"/>
      <x:c r="E3029"/>
      <x:c r="F3029"/>
      <x:c r="G3029"/>
    </x:row>
    <x:row r="3030">
      <x:c r="A3030"/>
      <x:c r="B3030"/>
      <x:c r="C3030"/>
      <x:c r="D3030"/>
      <x:c r="E3030"/>
      <x:c r="F3030"/>
      <x:c r="G3030"/>
    </x:row>
    <x:row r="3031">
      <x:c r="A3031"/>
      <x:c r="B3031"/>
      <x:c r="C3031"/>
      <x:c r="D3031"/>
      <x:c r="E3031"/>
      <x:c r="F3031"/>
      <x:c r="G3031"/>
    </x:row>
    <x:row r="3032">
      <x:c r="A3032"/>
      <x:c r="B3032"/>
      <x:c r="C3032"/>
      <x:c r="D3032"/>
      <x:c r="E3032"/>
      <x:c r="F3032"/>
      <x:c r="G3032"/>
    </x:row>
    <x:row r="3033">
      <x:c r="A3033"/>
      <x:c r="B3033"/>
      <x:c r="C3033"/>
      <x:c r="D3033"/>
      <x:c r="E3033"/>
      <x:c r="F3033"/>
      <x:c r="G3033"/>
    </x:row>
    <x:row r="3034">
      <x:c r="A3034"/>
      <x:c r="B3034"/>
      <x:c r="C3034"/>
      <x:c r="D3034"/>
      <x:c r="E3034"/>
      <x:c r="F3034"/>
      <x:c r="G3034"/>
    </x:row>
    <x:row r="3035">
      <x:c r="A3035"/>
      <x:c r="B3035"/>
      <x:c r="C3035"/>
      <x:c r="D3035"/>
      <x:c r="E3035"/>
      <x:c r="F3035"/>
      <x:c r="G3035"/>
    </x:row>
    <x:row r="3036">
      <x:c r="A3036"/>
      <x:c r="B3036"/>
      <x:c r="C3036"/>
      <x:c r="D3036"/>
      <x:c r="E3036"/>
      <x:c r="F3036"/>
      <x:c r="G3036"/>
    </x:row>
    <x:row r="3037">
      <x:c r="A3037"/>
      <x:c r="B3037"/>
      <x:c r="C3037"/>
      <x:c r="D3037"/>
      <x:c r="E3037"/>
      <x:c r="F3037"/>
      <x:c r="G3037"/>
    </x:row>
    <x:row r="3038">
      <x:c r="A3038"/>
      <x:c r="B3038"/>
      <x:c r="C3038"/>
      <x:c r="D3038"/>
      <x:c r="E3038"/>
      <x:c r="F3038"/>
      <x:c r="G3038"/>
    </x:row>
    <x:row r="3039">
      <x:c r="A3039"/>
      <x:c r="B3039"/>
      <x:c r="C3039"/>
      <x:c r="D3039"/>
      <x:c r="E3039"/>
      <x:c r="F3039"/>
      <x:c r="G3039"/>
    </x:row>
    <x:row r="3040">
      <x:c r="A3040"/>
      <x:c r="B3040"/>
      <x:c r="C3040"/>
      <x:c r="D3040"/>
      <x:c r="E3040"/>
      <x:c r="F3040"/>
      <x:c r="G3040"/>
    </x:row>
    <x:row r="3041">
      <x:c r="A3041"/>
      <x:c r="B3041"/>
      <x:c r="C3041"/>
      <x:c r="D3041"/>
      <x:c r="E3041"/>
      <x:c r="F3041"/>
      <x:c r="G3041"/>
    </x:row>
    <x:row r="3042">
      <x:c r="A3042"/>
      <x:c r="B3042"/>
      <x:c r="C3042"/>
      <x:c r="D3042"/>
      <x:c r="E3042"/>
      <x:c r="F3042"/>
      <x:c r="G3042"/>
    </x:row>
    <x:row r="3043">
      <x:c r="A3043"/>
      <x:c r="B3043"/>
      <x:c r="C3043"/>
      <x:c r="D3043"/>
      <x:c r="E3043"/>
      <x:c r="F3043"/>
      <x:c r="G3043"/>
    </x:row>
    <x:row r="3044">
      <x:c r="A3044"/>
      <x:c r="B3044"/>
      <x:c r="C3044"/>
      <x:c r="D3044"/>
      <x:c r="E3044"/>
      <x:c r="F3044"/>
      <x:c r="G3044"/>
    </x:row>
    <x:row r="3045">
      <x:c r="A3045"/>
      <x:c r="B3045"/>
      <x:c r="C3045"/>
      <x:c r="D3045"/>
      <x:c r="E3045"/>
      <x:c r="F3045"/>
      <x:c r="G3045"/>
    </x:row>
    <x:row r="3046">
      <x:c r="A3046"/>
      <x:c r="B3046"/>
      <x:c r="C3046"/>
      <x:c r="D3046"/>
      <x:c r="E3046"/>
      <x:c r="F3046"/>
      <x:c r="G3046"/>
    </x:row>
    <x:row r="3047">
      <x:c r="A3047"/>
      <x:c r="B3047"/>
      <x:c r="C3047"/>
      <x:c r="D3047"/>
      <x:c r="E3047"/>
      <x:c r="F3047"/>
      <x:c r="G3047"/>
    </x:row>
    <x:row r="3048">
      <x:c r="A3048"/>
      <x:c r="B3048"/>
      <x:c r="C3048"/>
      <x:c r="D3048"/>
      <x:c r="E3048"/>
      <x:c r="F3048"/>
      <x:c r="G3048"/>
    </x:row>
    <x:row r="3049">
      <x:c r="A3049"/>
      <x:c r="B3049"/>
      <x:c r="C3049"/>
      <x:c r="D3049"/>
      <x:c r="E3049"/>
      <x:c r="F3049"/>
      <x:c r="G3049"/>
    </x:row>
    <x:row r="3050">
      <x:c r="A3050"/>
      <x:c r="B3050"/>
      <x:c r="C3050"/>
      <x:c r="D3050"/>
      <x:c r="E3050"/>
      <x:c r="F3050"/>
      <x:c r="G3050"/>
    </x:row>
    <x:row r="3051">
      <x:c r="A3051"/>
      <x:c r="B3051"/>
      <x:c r="C3051"/>
      <x:c r="D3051"/>
      <x:c r="E3051"/>
      <x:c r="F3051"/>
      <x:c r="G3051"/>
    </x:row>
    <x:row r="3052">
      <x:c r="A3052"/>
      <x:c r="B3052"/>
      <x:c r="C3052"/>
      <x:c r="D3052"/>
      <x:c r="E3052"/>
      <x:c r="F3052"/>
      <x:c r="G3052"/>
    </x:row>
    <x:row r="3053">
      <x:c r="A3053"/>
      <x:c r="B3053"/>
      <x:c r="C3053"/>
      <x:c r="D3053"/>
      <x:c r="E3053"/>
      <x:c r="F3053"/>
      <x:c r="G3053"/>
    </x:row>
    <x:row r="3054">
      <x:c r="A3054"/>
      <x:c r="B3054"/>
      <x:c r="C3054"/>
      <x:c r="D3054"/>
      <x:c r="E3054"/>
      <x:c r="F3054"/>
      <x:c r="G3054"/>
    </x:row>
    <x:row r="3055">
      <x:c r="A3055"/>
      <x:c r="B3055"/>
      <x:c r="C3055"/>
      <x:c r="D3055"/>
      <x:c r="E3055"/>
      <x:c r="F3055"/>
      <x:c r="G3055"/>
    </x:row>
    <x:row r="3056">
      <x:c r="A3056"/>
      <x:c r="B3056"/>
      <x:c r="C3056"/>
      <x:c r="D3056"/>
      <x:c r="E3056"/>
      <x:c r="F3056"/>
      <x:c r="G3056"/>
    </x:row>
    <x:row r="3057">
      <x:c r="A3057"/>
      <x:c r="B3057"/>
      <x:c r="C3057"/>
      <x:c r="D3057"/>
      <x:c r="E3057"/>
      <x:c r="F3057"/>
      <x:c r="G3057"/>
    </x:row>
    <x:row r="3058">
      <x:c r="A3058"/>
      <x:c r="B3058"/>
      <x:c r="C3058"/>
      <x:c r="D3058"/>
      <x:c r="E3058"/>
      <x:c r="F3058"/>
      <x:c r="G3058"/>
    </x:row>
    <x:row r="3059">
      <x:c r="A3059"/>
      <x:c r="B3059"/>
      <x:c r="C3059"/>
      <x:c r="D3059"/>
      <x:c r="E3059"/>
      <x:c r="F3059"/>
      <x:c r="G3059"/>
    </x:row>
    <x:row r="3060">
      <x:c r="A3060"/>
      <x:c r="B3060"/>
      <x:c r="C3060"/>
      <x:c r="D3060"/>
      <x:c r="E3060"/>
      <x:c r="F3060"/>
      <x:c r="G3060"/>
    </x:row>
    <x:row r="3061">
      <x:c r="A3061"/>
      <x:c r="B3061"/>
      <x:c r="C3061"/>
      <x:c r="D3061"/>
      <x:c r="E3061"/>
      <x:c r="F3061"/>
      <x:c r="G3061"/>
    </x:row>
    <x:row r="3062">
      <x:c r="A3062"/>
      <x:c r="B3062"/>
      <x:c r="C3062"/>
      <x:c r="D3062"/>
      <x:c r="E3062"/>
      <x:c r="F3062"/>
      <x:c r="G3062"/>
    </x:row>
    <x:row r="3063">
      <x:c r="A3063"/>
      <x:c r="B3063"/>
      <x:c r="C3063"/>
      <x:c r="D3063"/>
      <x:c r="E3063"/>
      <x:c r="F3063"/>
      <x:c r="G3063"/>
    </x:row>
    <x:row r="3064">
      <x:c r="A3064"/>
      <x:c r="B3064"/>
      <x:c r="C3064"/>
      <x:c r="D3064"/>
      <x:c r="E3064"/>
      <x:c r="F3064"/>
      <x:c r="G3064"/>
    </x:row>
    <x:row r="3065">
      <x:c r="A3065"/>
      <x:c r="B3065"/>
      <x:c r="C3065"/>
      <x:c r="D3065"/>
      <x:c r="E3065"/>
      <x:c r="F3065"/>
      <x:c r="G3065"/>
    </x:row>
    <x:row r="3066">
      <x:c r="A3066"/>
      <x:c r="B3066"/>
      <x:c r="C3066"/>
      <x:c r="D3066"/>
      <x:c r="E3066"/>
      <x:c r="F3066"/>
      <x:c r="G3066"/>
    </x:row>
    <x:row r="3067">
      <x:c r="A3067"/>
      <x:c r="B3067"/>
      <x:c r="C3067"/>
      <x:c r="D3067"/>
      <x:c r="E3067"/>
      <x:c r="F3067"/>
      <x:c r="G3067"/>
    </x:row>
    <x:row r="3068">
      <x:c r="A3068"/>
      <x:c r="B3068"/>
      <x:c r="C3068"/>
      <x:c r="D3068"/>
      <x:c r="E3068"/>
      <x:c r="F3068"/>
      <x:c r="G3068"/>
    </x:row>
    <x:row r="3069">
      <x:c r="A3069"/>
      <x:c r="B3069"/>
      <x:c r="C3069"/>
      <x:c r="D3069"/>
      <x:c r="E3069"/>
      <x:c r="F3069"/>
      <x:c r="G3069"/>
    </x:row>
    <x:row r="3070">
      <x:c r="A3070"/>
      <x:c r="B3070"/>
      <x:c r="C3070"/>
      <x:c r="D3070"/>
      <x:c r="E3070"/>
      <x:c r="F3070"/>
      <x:c r="G3070"/>
    </x:row>
    <x:row r="3071">
      <x:c r="A3071"/>
      <x:c r="B3071"/>
      <x:c r="C3071"/>
      <x:c r="D3071"/>
      <x:c r="E3071"/>
      <x:c r="F3071"/>
      <x:c r="G3071"/>
    </x:row>
    <x:row r="3072">
      <x:c r="A3072"/>
      <x:c r="B3072"/>
      <x:c r="C3072"/>
      <x:c r="D3072"/>
      <x:c r="E3072"/>
      <x:c r="F3072"/>
      <x:c r="G3072"/>
    </x:row>
    <x:row r="3073">
      <x:c r="A3073"/>
      <x:c r="B3073"/>
      <x:c r="C3073"/>
      <x:c r="D3073"/>
      <x:c r="E3073"/>
      <x:c r="F3073"/>
      <x:c r="G3073"/>
    </x:row>
    <x:row r="3074">
      <x:c r="A3074"/>
      <x:c r="B3074"/>
      <x:c r="C3074"/>
      <x:c r="D3074"/>
      <x:c r="E3074"/>
      <x:c r="F3074"/>
      <x:c r="G3074"/>
    </x:row>
    <x:row r="3075">
      <x:c r="A3075"/>
      <x:c r="B3075"/>
      <x:c r="C3075"/>
      <x:c r="D3075"/>
      <x:c r="E3075"/>
      <x:c r="F3075"/>
      <x:c r="G3075"/>
    </x:row>
    <x:row r="3076">
      <x:c r="A3076"/>
      <x:c r="B3076"/>
      <x:c r="C3076"/>
      <x:c r="D3076"/>
      <x:c r="E3076"/>
      <x:c r="F3076"/>
      <x:c r="G3076"/>
    </x:row>
    <x:row r="3077">
      <x:c r="A3077"/>
      <x:c r="B3077"/>
      <x:c r="C3077"/>
      <x:c r="D3077"/>
      <x:c r="E3077"/>
      <x:c r="F3077"/>
      <x:c r="G3077"/>
    </x:row>
    <x:row r="3078">
      <x:c r="A3078"/>
      <x:c r="B3078"/>
      <x:c r="C3078"/>
      <x:c r="D3078"/>
      <x:c r="E3078"/>
      <x:c r="F3078"/>
      <x:c r="G3078"/>
    </x:row>
    <x:row r="3079">
      <x:c r="A3079"/>
      <x:c r="B3079"/>
      <x:c r="C3079"/>
      <x:c r="D3079"/>
      <x:c r="E3079"/>
      <x:c r="F3079"/>
      <x:c r="G3079"/>
    </x:row>
    <x:row r="3080">
      <x:c r="A3080"/>
      <x:c r="B3080"/>
      <x:c r="C3080"/>
      <x:c r="D3080"/>
      <x:c r="E3080"/>
      <x:c r="F3080"/>
      <x:c r="G3080"/>
    </x:row>
    <x:row r="3081">
      <x:c r="A3081"/>
      <x:c r="B3081"/>
      <x:c r="C3081"/>
      <x:c r="D3081"/>
      <x:c r="E3081"/>
      <x:c r="F3081"/>
      <x:c r="G3081"/>
    </x:row>
    <x:row r="3082">
      <x:c r="A3082"/>
      <x:c r="B3082"/>
      <x:c r="C3082"/>
      <x:c r="D3082"/>
      <x:c r="E3082"/>
      <x:c r="F3082"/>
      <x:c r="G3082"/>
    </x:row>
    <x:row r="3083">
      <x:c r="A3083"/>
      <x:c r="B3083"/>
      <x:c r="C3083"/>
      <x:c r="D3083"/>
      <x:c r="E3083"/>
      <x:c r="F3083"/>
      <x:c r="G3083"/>
    </x:row>
    <x:row r="3084">
      <x:c r="A3084"/>
      <x:c r="B3084"/>
      <x:c r="C3084"/>
      <x:c r="D3084"/>
      <x:c r="E3084"/>
      <x:c r="F3084"/>
      <x:c r="G3084"/>
    </x:row>
    <x:row r="3085">
      <x:c r="A3085"/>
      <x:c r="B3085"/>
      <x:c r="C3085"/>
      <x:c r="D3085"/>
      <x:c r="E3085"/>
      <x:c r="F3085"/>
      <x:c r="G3085"/>
    </x:row>
    <x:row r="3086">
      <x:c r="A3086"/>
      <x:c r="B3086"/>
      <x:c r="C3086"/>
      <x:c r="D3086"/>
      <x:c r="E3086"/>
      <x:c r="F3086"/>
      <x:c r="G3086"/>
    </x:row>
    <x:row r="3087">
      <x:c r="A3087"/>
      <x:c r="B3087"/>
      <x:c r="C3087"/>
      <x:c r="D3087"/>
      <x:c r="E3087"/>
      <x:c r="F3087"/>
      <x:c r="G3087"/>
    </x:row>
    <x:row r="3088">
      <x:c r="A3088"/>
      <x:c r="B3088"/>
      <x:c r="C3088"/>
      <x:c r="D3088"/>
      <x:c r="E3088"/>
      <x:c r="F3088"/>
      <x:c r="G3088"/>
    </x:row>
    <x:row r="3089">
      <x:c r="A3089"/>
      <x:c r="B3089"/>
      <x:c r="C3089"/>
      <x:c r="D3089"/>
      <x:c r="E3089"/>
      <x:c r="F3089"/>
      <x:c r="G3089"/>
    </x:row>
    <x:row r="3090">
      <x:c r="A3090"/>
      <x:c r="B3090"/>
      <x:c r="C3090"/>
      <x:c r="D3090"/>
      <x:c r="E3090"/>
      <x:c r="F3090"/>
      <x:c r="G3090"/>
    </x:row>
    <x:row r="3091">
      <x:c r="A3091"/>
      <x:c r="B3091"/>
      <x:c r="C3091"/>
      <x:c r="D3091"/>
      <x:c r="E3091"/>
      <x:c r="F3091"/>
      <x:c r="G3091"/>
    </x:row>
    <x:row r="3092">
      <x:c r="A3092"/>
      <x:c r="B3092"/>
      <x:c r="C3092"/>
      <x:c r="D3092"/>
      <x:c r="E3092"/>
      <x:c r="F3092"/>
      <x:c r="G3092"/>
    </x:row>
    <x:row r="3093">
      <x:c r="A3093"/>
      <x:c r="B3093"/>
      <x:c r="C3093"/>
      <x:c r="D3093"/>
      <x:c r="E3093"/>
      <x:c r="F3093"/>
      <x:c r="G3093"/>
    </x:row>
    <x:row r="3094">
      <x:c r="A3094"/>
      <x:c r="B3094"/>
      <x:c r="C3094"/>
      <x:c r="D3094"/>
      <x:c r="E3094"/>
      <x:c r="F3094"/>
      <x:c r="G3094"/>
    </x:row>
    <x:row r="3095">
      <x:c r="A3095"/>
      <x:c r="B3095"/>
      <x:c r="C3095"/>
      <x:c r="D3095"/>
      <x:c r="E3095"/>
      <x:c r="F3095"/>
      <x:c r="G3095"/>
    </x:row>
    <x:row r="3096">
      <x:c r="A3096"/>
      <x:c r="B3096"/>
      <x:c r="C3096"/>
      <x:c r="D3096"/>
      <x:c r="E3096"/>
      <x:c r="F3096"/>
      <x:c r="G3096"/>
    </x:row>
    <x:row r="3097">
      <x:c r="A3097"/>
      <x:c r="B3097"/>
      <x:c r="C3097"/>
      <x:c r="D3097"/>
      <x:c r="E3097"/>
      <x:c r="F3097"/>
      <x:c r="G3097"/>
    </x:row>
    <x:row r="3098">
      <x:c r="A3098"/>
      <x:c r="B3098"/>
      <x:c r="C3098"/>
      <x:c r="D3098"/>
      <x:c r="E3098"/>
      <x:c r="F3098"/>
      <x:c r="G3098"/>
    </x:row>
    <x:row r="3099">
      <x:c r="A3099"/>
      <x:c r="B3099"/>
      <x:c r="C3099"/>
      <x:c r="D3099"/>
      <x:c r="E3099"/>
      <x:c r="F3099"/>
      <x:c r="G3099"/>
    </x:row>
    <x:row r="3100">
      <x:c r="A3100"/>
      <x:c r="B3100"/>
      <x:c r="C3100"/>
      <x:c r="D3100"/>
      <x:c r="E3100"/>
      <x:c r="F3100"/>
      <x:c r="G3100"/>
    </x:row>
    <x:row r="3101">
      <x:c r="A3101"/>
      <x:c r="B3101"/>
      <x:c r="C3101"/>
      <x:c r="D3101"/>
      <x:c r="E3101"/>
      <x:c r="F3101"/>
      <x:c r="G3101"/>
    </x:row>
    <x:row r="3102">
      <x:c r="A3102"/>
      <x:c r="B3102"/>
      <x:c r="C3102"/>
      <x:c r="D3102"/>
      <x:c r="E3102"/>
      <x:c r="F3102"/>
      <x:c r="G3102"/>
    </x:row>
    <x:row r="3103">
      <x:c r="A3103"/>
      <x:c r="B3103"/>
      <x:c r="C3103"/>
      <x:c r="D3103"/>
      <x:c r="E3103"/>
      <x:c r="F3103"/>
      <x:c r="G3103"/>
    </x:row>
    <x:row r="3104">
      <x:c r="A3104"/>
      <x:c r="B3104"/>
      <x:c r="C3104"/>
      <x:c r="D3104"/>
      <x:c r="E3104"/>
      <x:c r="F3104"/>
      <x:c r="G3104"/>
    </x:row>
    <x:row r="3105">
      <x:c r="A3105"/>
      <x:c r="B3105"/>
      <x:c r="C3105"/>
      <x:c r="D3105"/>
      <x:c r="E3105"/>
      <x:c r="F3105"/>
      <x:c r="G3105"/>
    </x:row>
    <x:row r="3106">
      <x:c r="A3106"/>
      <x:c r="B3106"/>
      <x:c r="C3106"/>
      <x:c r="D3106"/>
      <x:c r="E3106"/>
      <x:c r="F3106"/>
      <x:c r="G3106"/>
    </x:row>
    <x:row r="3107">
      <x:c r="A3107"/>
      <x:c r="B3107"/>
      <x:c r="C3107"/>
      <x:c r="D3107"/>
      <x:c r="E3107"/>
      <x:c r="F3107"/>
      <x:c r="G3107"/>
    </x:row>
    <x:row r="3108">
      <x:c r="A3108"/>
      <x:c r="B3108"/>
      <x:c r="C3108"/>
      <x:c r="D3108"/>
      <x:c r="E3108"/>
      <x:c r="F3108"/>
      <x:c r="G3108"/>
    </x:row>
    <x:row r="3109">
      <x:c r="A3109"/>
      <x:c r="B3109"/>
      <x:c r="C3109"/>
      <x:c r="D3109"/>
      <x:c r="E3109"/>
      <x:c r="F3109"/>
      <x:c r="G3109"/>
    </x:row>
    <x:row r="3110">
      <x:c r="A3110"/>
      <x:c r="B3110"/>
      <x:c r="C3110"/>
      <x:c r="D3110"/>
      <x:c r="E3110"/>
      <x:c r="F3110"/>
      <x:c r="G3110"/>
    </x:row>
    <x:row r="3111">
      <x:c r="A3111"/>
      <x:c r="B3111"/>
      <x:c r="C3111"/>
      <x:c r="D3111"/>
      <x:c r="E3111"/>
      <x:c r="F3111"/>
      <x:c r="G3111"/>
    </x:row>
    <x:row r="3112">
      <x:c r="A3112"/>
      <x:c r="B3112"/>
      <x:c r="C3112"/>
      <x:c r="D3112"/>
      <x:c r="E3112"/>
      <x:c r="F3112"/>
      <x:c r="G3112"/>
    </x:row>
    <x:row r="3113">
      <x:c r="A3113"/>
      <x:c r="B3113"/>
      <x:c r="C3113"/>
      <x:c r="D3113"/>
      <x:c r="E3113"/>
      <x:c r="F3113"/>
      <x:c r="G3113"/>
    </x:row>
    <x:row r="3114">
      <x:c r="A3114"/>
      <x:c r="B3114"/>
      <x:c r="C3114"/>
      <x:c r="D3114"/>
      <x:c r="E3114"/>
      <x:c r="F3114"/>
      <x:c r="G3114"/>
    </x:row>
    <x:row r="3115">
      <x:c r="A3115"/>
      <x:c r="B3115"/>
      <x:c r="C3115"/>
      <x:c r="D3115"/>
      <x:c r="E3115"/>
      <x:c r="F3115"/>
      <x:c r="G3115"/>
    </x:row>
    <x:row r="3116">
      <x:c r="A3116"/>
      <x:c r="B3116"/>
      <x:c r="C3116"/>
      <x:c r="D3116"/>
      <x:c r="E3116"/>
      <x:c r="F3116"/>
      <x:c r="G3116"/>
    </x:row>
    <x:row r="3117">
      <x:c r="A3117"/>
      <x:c r="B3117"/>
      <x:c r="C3117"/>
      <x:c r="D3117"/>
      <x:c r="E3117"/>
      <x:c r="F3117"/>
      <x:c r="G3117"/>
    </x:row>
    <x:row r="3118">
      <x:c r="A3118"/>
      <x:c r="B3118"/>
      <x:c r="C3118"/>
      <x:c r="D3118"/>
      <x:c r="E3118"/>
      <x:c r="F3118"/>
      <x:c r="G3118"/>
    </x:row>
    <x:row r="3119">
      <x:c r="A3119"/>
      <x:c r="B3119"/>
      <x:c r="C3119"/>
      <x:c r="D3119"/>
      <x:c r="E3119"/>
      <x:c r="F3119"/>
      <x:c r="G3119"/>
    </x:row>
    <x:row r="3120">
      <x:c r="A3120"/>
      <x:c r="B3120"/>
      <x:c r="C3120"/>
      <x:c r="D3120"/>
      <x:c r="E3120"/>
      <x:c r="F3120"/>
      <x:c r="G3120"/>
    </x:row>
    <x:row r="3121">
      <x:c r="A3121"/>
      <x:c r="B3121"/>
      <x:c r="C3121"/>
      <x:c r="D3121"/>
      <x:c r="E3121"/>
      <x:c r="F3121"/>
      <x:c r="G3121"/>
    </x:row>
    <x:row r="3122">
      <x:c r="A3122"/>
      <x:c r="B3122"/>
      <x:c r="C3122"/>
      <x:c r="D3122"/>
      <x:c r="E3122"/>
      <x:c r="F3122"/>
      <x:c r="G3122"/>
    </x:row>
    <x:row r="3123">
      <x:c r="A3123"/>
      <x:c r="B3123"/>
      <x:c r="C3123"/>
      <x:c r="D3123"/>
      <x:c r="E3123"/>
      <x:c r="F3123"/>
      <x:c r="G3123"/>
    </x:row>
    <x:row r="3124">
      <x:c r="A3124"/>
      <x:c r="B3124"/>
      <x:c r="C3124"/>
      <x:c r="D3124"/>
      <x:c r="E3124"/>
      <x:c r="F3124"/>
      <x:c r="G3124"/>
    </x:row>
    <x:row r="3125">
      <x:c r="A3125"/>
      <x:c r="B3125"/>
      <x:c r="C3125"/>
      <x:c r="D3125"/>
      <x:c r="E3125"/>
      <x:c r="F3125"/>
      <x:c r="G3125"/>
    </x:row>
    <x:row r="3126">
      <x:c r="A3126"/>
      <x:c r="B3126"/>
      <x:c r="C3126"/>
      <x:c r="D3126"/>
      <x:c r="E3126"/>
      <x:c r="F3126"/>
      <x:c r="G3126"/>
    </x:row>
    <x:row r="3127">
      <x:c r="A3127"/>
      <x:c r="B3127"/>
      <x:c r="C3127"/>
      <x:c r="D3127"/>
      <x:c r="E3127"/>
      <x:c r="F3127"/>
      <x:c r="G3127"/>
    </x:row>
    <x:row r="3128">
      <x:c r="A3128"/>
      <x:c r="B3128"/>
      <x:c r="C3128"/>
      <x:c r="D3128"/>
      <x:c r="E3128"/>
      <x:c r="F3128"/>
      <x:c r="G3128"/>
    </x:row>
    <x:row r="3129">
      <x:c r="A3129"/>
      <x:c r="B3129"/>
      <x:c r="C3129"/>
      <x:c r="D3129"/>
      <x:c r="E3129"/>
      <x:c r="F3129"/>
      <x:c r="G3129"/>
    </x:row>
    <x:row r="3130">
      <x:c r="A3130"/>
      <x:c r="B3130"/>
      <x:c r="C3130"/>
      <x:c r="D3130"/>
      <x:c r="E3130"/>
      <x:c r="F3130"/>
      <x:c r="G3130"/>
    </x:row>
    <x:row r="3131">
      <x:c r="A3131"/>
      <x:c r="B3131"/>
      <x:c r="C3131"/>
      <x:c r="D3131"/>
      <x:c r="E3131"/>
      <x:c r="F3131"/>
      <x:c r="G3131"/>
    </x:row>
    <x:row r="3132">
      <x:c r="A3132"/>
      <x:c r="B3132"/>
      <x:c r="C3132"/>
      <x:c r="D3132"/>
      <x:c r="E3132"/>
      <x:c r="F3132"/>
      <x:c r="G3132"/>
    </x:row>
    <x:row r="3133">
      <x:c r="A3133"/>
      <x:c r="B3133"/>
      <x:c r="C3133"/>
      <x:c r="D3133"/>
      <x:c r="E3133"/>
      <x:c r="F3133"/>
      <x:c r="G3133"/>
    </x:row>
    <x:row r="3134">
      <x:c r="A3134"/>
      <x:c r="B3134"/>
      <x:c r="C3134"/>
      <x:c r="D3134"/>
      <x:c r="E3134"/>
      <x:c r="F3134"/>
      <x:c r="G3134"/>
    </x:row>
    <x:row r="3135">
      <x:c r="A3135"/>
      <x:c r="B3135"/>
      <x:c r="C3135"/>
      <x:c r="D3135"/>
      <x:c r="E3135"/>
      <x:c r="F3135"/>
      <x:c r="G3135"/>
    </x:row>
    <x:row r="3136">
      <x:c r="A3136"/>
      <x:c r="B3136"/>
      <x:c r="C3136"/>
      <x:c r="D3136"/>
      <x:c r="E3136"/>
      <x:c r="F3136"/>
      <x:c r="G3136"/>
    </x:row>
    <x:row r="3137">
      <x:c r="A3137"/>
      <x:c r="B3137"/>
      <x:c r="C3137"/>
      <x:c r="D3137"/>
      <x:c r="E3137"/>
      <x:c r="F3137"/>
      <x:c r="G3137"/>
    </x:row>
    <x:row r="3138">
      <x:c r="A3138"/>
      <x:c r="B3138"/>
      <x:c r="C3138"/>
      <x:c r="D3138"/>
      <x:c r="E3138"/>
      <x:c r="F3138"/>
      <x:c r="G3138"/>
    </x:row>
    <x:row r="3139">
      <x:c r="A3139"/>
      <x:c r="B3139"/>
      <x:c r="C3139"/>
      <x:c r="D3139"/>
      <x:c r="E3139"/>
      <x:c r="F3139"/>
      <x:c r="G3139"/>
    </x:row>
    <x:row r="3140">
      <x:c r="A3140"/>
      <x:c r="B3140"/>
      <x:c r="C3140"/>
      <x:c r="D3140"/>
      <x:c r="E3140"/>
      <x:c r="F3140"/>
      <x:c r="G3140"/>
    </x:row>
    <x:row r="3141">
      <x:c r="A3141"/>
      <x:c r="B3141"/>
      <x:c r="C3141"/>
      <x:c r="D3141"/>
      <x:c r="E3141"/>
      <x:c r="F3141"/>
      <x:c r="G3141"/>
    </x:row>
    <x:row r="3142">
      <x:c r="A3142"/>
      <x:c r="B3142"/>
      <x:c r="C3142"/>
      <x:c r="D3142"/>
      <x:c r="E3142"/>
      <x:c r="F3142"/>
      <x:c r="G3142"/>
    </x:row>
    <x:row r="3143">
      <x:c r="A3143"/>
      <x:c r="B3143"/>
      <x:c r="C3143"/>
      <x:c r="D3143"/>
      <x:c r="E3143"/>
      <x:c r="F3143"/>
      <x:c r="G3143"/>
    </x:row>
    <x:row r="3144">
      <x:c r="A3144"/>
      <x:c r="B3144"/>
      <x:c r="C3144"/>
      <x:c r="D3144"/>
      <x:c r="E3144"/>
      <x:c r="F3144"/>
      <x:c r="G3144"/>
    </x:row>
    <x:row r="3145">
      <x:c r="A3145"/>
      <x:c r="B3145"/>
      <x:c r="C3145"/>
      <x:c r="D3145"/>
      <x:c r="E3145"/>
      <x:c r="F3145"/>
      <x:c r="G3145"/>
    </x:row>
    <x:row r="3146">
      <x:c r="A3146"/>
      <x:c r="B3146"/>
      <x:c r="C3146"/>
      <x:c r="D3146"/>
      <x:c r="E3146"/>
      <x:c r="F3146"/>
      <x:c r="G3146"/>
    </x:row>
    <x:row r="3147">
      <x:c r="A3147"/>
      <x:c r="B3147"/>
      <x:c r="C3147"/>
      <x:c r="D3147"/>
      <x:c r="E3147"/>
      <x:c r="F3147"/>
      <x:c r="G3147"/>
    </x:row>
    <x:row r="3148">
      <x:c r="A3148"/>
      <x:c r="B3148"/>
      <x:c r="C3148"/>
      <x:c r="D3148"/>
      <x:c r="E3148"/>
      <x:c r="F3148"/>
      <x:c r="G3148"/>
    </x:row>
    <x:row r="3149">
      <x:c r="A3149"/>
      <x:c r="B3149"/>
      <x:c r="C3149"/>
      <x:c r="D3149"/>
      <x:c r="E3149"/>
      <x:c r="F3149"/>
      <x:c r="G3149"/>
    </x:row>
    <x:row r="3150">
      <x:c r="A3150"/>
      <x:c r="B3150"/>
      <x:c r="C3150"/>
      <x:c r="D3150"/>
      <x:c r="E3150"/>
      <x:c r="F3150"/>
      <x:c r="G3150"/>
    </x:row>
    <x:row r="3151">
      <x:c r="A3151"/>
      <x:c r="B3151"/>
      <x:c r="C3151"/>
      <x:c r="D3151"/>
      <x:c r="E3151"/>
      <x:c r="F3151"/>
      <x:c r="G3151"/>
    </x:row>
    <x:row r="3152">
      <x:c r="A3152"/>
      <x:c r="B3152"/>
      <x:c r="C3152"/>
      <x:c r="D3152"/>
      <x:c r="E3152"/>
      <x:c r="F3152"/>
      <x:c r="G3152"/>
    </x:row>
    <x:row r="3153">
      <x:c r="A3153"/>
      <x:c r="B3153"/>
      <x:c r="C3153"/>
      <x:c r="D3153"/>
      <x:c r="E3153"/>
      <x:c r="F3153"/>
      <x:c r="G3153"/>
    </x:row>
    <x:row r="3154">
      <x:c r="A3154"/>
      <x:c r="B3154"/>
      <x:c r="C3154"/>
      <x:c r="D3154"/>
      <x:c r="E3154"/>
      <x:c r="F3154"/>
      <x:c r="G3154"/>
    </x:row>
    <x:row r="3155">
      <x:c r="A3155"/>
      <x:c r="B3155"/>
      <x:c r="C3155"/>
      <x:c r="D3155"/>
      <x:c r="E3155"/>
      <x:c r="F3155"/>
      <x:c r="G3155"/>
    </x:row>
    <x:row r="3156">
      <x:c r="A3156"/>
      <x:c r="B3156"/>
      <x:c r="C3156"/>
      <x:c r="D3156"/>
      <x:c r="E3156"/>
      <x:c r="F3156"/>
      <x:c r="G3156"/>
    </x:row>
    <x:row r="3157">
      <x:c r="A3157"/>
      <x:c r="B3157"/>
      <x:c r="C3157"/>
      <x:c r="D3157"/>
      <x:c r="E3157"/>
      <x:c r="F3157"/>
      <x:c r="G3157"/>
    </x:row>
    <x:row r="3158">
      <x:c r="A3158"/>
      <x:c r="B3158"/>
      <x:c r="C3158"/>
      <x:c r="D3158"/>
      <x:c r="E3158"/>
      <x:c r="F3158"/>
      <x:c r="G3158"/>
    </x:row>
    <x:row r="3159">
      <x:c r="A3159"/>
      <x:c r="B3159"/>
      <x:c r="C3159"/>
      <x:c r="D3159"/>
      <x:c r="E3159"/>
      <x:c r="F3159"/>
      <x:c r="G3159"/>
    </x:row>
    <x:row r="3160">
      <x:c r="A3160"/>
      <x:c r="B3160"/>
      <x:c r="C3160"/>
      <x:c r="D3160"/>
      <x:c r="E3160"/>
      <x:c r="F3160"/>
      <x:c r="G3160"/>
    </x:row>
    <x:row r="3161">
      <x:c r="A3161"/>
      <x:c r="B3161"/>
      <x:c r="C3161"/>
      <x:c r="D3161"/>
      <x:c r="E3161"/>
      <x:c r="F3161"/>
      <x:c r="G3161"/>
    </x:row>
    <x:row r="3162">
      <x:c r="A3162"/>
      <x:c r="B3162"/>
      <x:c r="C3162"/>
      <x:c r="D3162"/>
      <x:c r="E3162"/>
      <x:c r="F3162"/>
      <x:c r="G3162"/>
    </x:row>
    <x:row r="3163">
      <x:c r="A3163"/>
      <x:c r="B3163"/>
      <x:c r="C3163"/>
      <x:c r="D3163"/>
      <x:c r="E3163"/>
      <x:c r="F3163"/>
      <x:c r="G3163"/>
    </x:row>
    <x:row r="3164">
      <x:c r="A3164"/>
      <x:c r="B3164"/>
      <x:c r="C3164"/>
      <x:c r="D3164"/>
      <x:c r="E3164"/>
      <x:c r="F3164"/>
      <x:c r="G3164"/>
    </x:row>
    <x:row r="3165">
      <x:c r="A3165"/>
      <x:c r="B3165"/>
      <x:c r="C3165"/>
      <x:c r="D3165"/>
      <x:c r="E3165"/>
      <x:c r="F3165"/>
      <x:c r="G3165"/>
    </x:row>
    <x:row r="3166">
      <x:c r="A3166"/>
      <x:c r="B3166"/>
      <x:c r="C3166"/>
      <x:c r="D3166"/>
      <x:c r="E3166"/>
      <x:c r="F3166"/>
      <x:c r="G3166"/>
    </x:row>
    <x:row r="3167">
      <x:c r="A3167"/>
      <x:c r="B3167"/>
      <x:c r="C3167"/>
      <x:c r="D3167"/>
      <x:c r="E3167"/>
      <x:c r="F3167"/>
      <x:c r="G3167"/>
    </x:row>
    <x:row r="3168">
      <x:c r="A3168"/>
      <x:c r="B3168"/>
      <x:c r="C3168"/>
      <x:c r="D3168"/>
      <x:c r="E3168"/>
      <x:c r="F3168"/>
      <x:c r="G3168"/>
    </x:row>
    <x:row r="3169">
      <x:c r="A3169"/>
      <x:c r="B3169"/>
      <x:c r="C3169"/>
      <x:c r="D3169"/>
      <x:c r="E3169"/>
      <x:c r="F3169"/>
      <x:c r="G3169"/>
    </x:row>
    <x:row r="3170">
      <x:c r="A3170"/>
      <x:c r="B3170"/>
      <x:c r="C3170"/>
      <x:c r="D3170"/>
      <x:c r="E3170"/>
      <x:c r="F3170"/>
      <x:c r="G3170"/>
    </x:row>
    <x:row r="3171">
      <x:c r="A3171"/>
      <x:c r="B3171"/>
      <x:c r="C3171"/>
      <x:c r="D3171"/>
      <x:c r="E3171"/>
      <x:c r="F3171"/>
      <x:c r="G3171"/>
    </x:row>
    <x:row r="3172">
      <x:c r="A3172"/>
      <x:c r="B3172"/>
      <x:c r="C3172"/>
      <x:c r="D3172"/>
      <x:c r="E3172"/>
      <x:c r="F3172"/>
      <x:c r="G3172"/>
    </x:row>
    <x:row r="3173">
      <x:c r="A3173"/>
      <x:c r="B3173"/>
      <x:c r="C3173"/>
      <x:c r="D3173"/>
      <x:c r="E3173"/>
      <x:c r="F3173"/>
      <x:c r="G3173"/>
    </x:row>
    <x:row r="3174">
      <x:c r="A3174"/>
      <x:c r="B3174"/>
      <x:c r="C3174"/>
      <x:c r="D3174"/>
      <x:c r="E3174"/>
      <x:c r="F3174"/>
      <x:c r="G3174"/>
    </x:row>
    <x:row r="3175">
      <x:c r="A3175"/>
      <x:c r="B3175"/>
      <x:c r="C3175"/>
      <x:c r="D3175"/>
      <x:c r="E3175"/>
      <x:c r="F3175"/>
      <x:c r="G3175"/>
    </x:row>
    <x:row r="3176">
      <x:c r="A3176"/>
      <x:c r="B3176"/>
      <x:c r="C3176"/>
      <x:c r="D3176"/>
      <x:c r="E3176"/>
      <x:c r="F3176"/>
      <x:c r="G3176"/>
    </x:row>
    <x:row r="3177">
      <x:c r="A3177"/>
      <x:c r="B3177"/>
      <x:c r="C3177"/>
      <x:c r="D3177"/>
      <x:c r="E3177"/>
      <x:c r="F3177"/>
      <x:c r="G3177"/>
    </x:row>
    <x:row r="3178">
      <x:c r="A3178"/>
      <x:c r="B3178"/>
      <x:c r="C3178"/>
      <x:c r="D3178"/>
      <x:c r="E3178"/>
      <x:c r="F3178"/>
      <x:c r="G3178"/>
    </x:row>
    <x:row r="3179">
      <x:c r="A3179"/>
      <x:c r="B3179"/>
      <x:c r="C3179"/>
      <x:c r="D3179"/>
      <x:c r="E3179"/>
      <x:c r="F3179"/>
      <x:c r="G3179"/>
    </x:row>
    <x:row r="3180">
      <x:c r="A3180"/>
      <x:c r="B3180"/>
      <x:c r="C3180"/>
      <x:c r="D3180"/>
      <x:c r="E3180"/>
      <x:c r="F3180"/>
      <x:c r="G3180"/>
    </x:row>
    <x:row r="3181">
      <x:c r="A3181"/>
      <x:c r="B3181"/>
      <x:c r="C3181"/>
      <x:c r="D3181"/>
      <x:c r="E3181"/>
      <x:c r="F3181"/>
      <x:c r="G3181"/>
    </x:row>
    <x:row r="3182">
      <x:c r="A3182"/>
      <x:c r="B3182"/>
      <x:c r="C3182"/>
      <x:c r="D3182"/>
      <x:c r="E3182"/>
      <x:c r="F3182"/>
      <x:c r="G3182"/>
    </x:row>
    <x:row r="3183">
      <x:c r="A3183"/>
      <x:c r="B3183"/>
      <x:c r="C3183"/>
      <x:c r="D3183"/>
      <x:c r="E3183"/>
      <x:c r="F3183"/>
      <x:c r="G3183"/>
    </x:row>
    <x:row r="3184">
      <x:c r="A3184"/>
      <x:c r="B3184"/>
      <x:c r="C3184"/>
      <x:c r="D3184"/>
      <x:c r="E3184"/>
      <x:c r="F3184"/>
      <x:c r="G3184"/>
    </x:row>
    <x:row r="3185">
      <x:c r="A3185"/>
      <x:c r="B3185"/>
      <x:c r="C3185"/>
      <x:c r="D3185"/>
      <x:c r="E3185"/>
      <x:c r="F3185"/>
      <x:c r="G3185"/>
    </x:row>
    <x:row r="3186">
      <x:c r="A3186"/>
      <x:c r="B3186"/>
      <x:c r="C3186"/>
      <x:c r="D3186"/>
      <x:c r="E3186"/>
      <x:c r="F3186"/>
      <x:c r="G3186"/>
    </x:row>
    <x:row r="3187">
      <x:c r="A3187"/>
      <x:c r="B3187"/>
      <x:c r="C3187"/>
      <x:c r="D3187"/>
      <x:c r="E3187"/>
      <x:c r="F3187"/>
      <x:c r="G3187"/>
    </x:row>
    <x:row r="3188">
      <x:c r="A3188"/>
      <x:c r="B3188"/>
      <x:c r="C3188"/>
      <x:c r="D3188"/>
      <x:c r="E3188"/>
      <x:c r="F3188"/>
      <x:c r="G3188"/>
    </x:row>
    <x:row r="3189">
      <x:c r="A3189"/>
      <x:c r="B3189"/>
      <x:c r="C3189"/>
      <x:c r="D3189"/>
      <x:c r="E3189"/>
      <x:c r="F3189"/>
      <x:c r="G3189"/>
    </x:row>
    <x:row r="3190">
      <x:c r="A3190"/>
      <x:c r="B3190"/>
      <x:c r="C3190"/>
      <x:c r="D3190"/>
      <x:c r="E3190"/>
      <x:c r="F3190"/>
      <x:c r="G3190"/>
    </x:row>
    <x:row r="3191">
      <x:c r="A3191"/>
      <x:c r="B3191"/>
      <x:c r="C3191"/>
      <x:c r="D3191"/>
      <x:c r="E3191"/>
      <x:c r="F3191"/>
      <x:c r="G3191"/>
    </x:row>
    <x:row r="3192">
      <x:c r="A3192"/>
      <x:c r="B3192"/>
      <x:c r="C3192"/>
      <x:c r="D3192"/>
      <x:c r="E3192"/>
      <x:c r="F3192"/>
      <x:c r="G3192"/>
    </x:row>
    <x:row r="3193">
      <x:c r="A3193"/>
      <x:c r="B3193"/>
      <x:c r="C3193"/>
      <x:c r="D3193"/>
      <x:c r="E3193"/>
      <x:c r="F3193"/>
      <x:c r="G3193"/>
    </x:row>
    <x:row r="3194">
      <x:c r="A3194"/>
      <x:c r="B3194"/>
      <x:c r="C3194"/>
      <x:c r="D3194"/>
      <x:c r="E3194"/>
      <x:c r="F3194"/>
      <x:c r="G3194"/>
    </x:row>
    <x:row r="3195">
      <x:c r="A3195"/>
      <x:c r="B3195"/>
      <x:c r="C3195"/>
      <x:c r="D3195"/>
      <x:c r="E3195"/>
      <x:c r="F3195"/>
      <x:c r="G3195"/>
    </x:row>
    <x:row r="3196">
      <x:c r="A3196"/>
      <x:c r="B3196"/>
      <x:c r="C3196"/>
      <x:c r="D3196"/>
      <x:c r="E3196"/>
      <x:c r="F3196"/>
      <x:c r="G3196"/>
    </x:row>
    <x:row r="3197">
      <x:c r="A3197"/>
      <x:c r="B3197"/>
      <x:c r="C3197"/>
      <x:c r="D3197"/>
      <x:c r="E3197"/>
      <x:c r="F3197"/>
      <x:c r="G3197"/>
    </x:row>
    <x:row r="3198">
      <x:c r="A3198"/>
      <x:c r="B3198"/>
      <x:c r="C3198"/>
      <x:c r="D3198"/>
      <x:c r="E3198"/>
      <x:c r="F3198"/>
      <x:c r="G3198"/>
    </x:row>
    <x:row r="3199">
      <x:c r="A3199"/>
      <x:c r="B3199"/>
      <x:c r="C3199"/>
      <x:c r="D3199"/>
      <x:c r="E3199"/>
      <x:c r="F3199"/>
      <x:c r="G3199"/>
    </x:row>
    <x:row r="3200">
      <x:c r="A3200"/>
      <x:c r="B3200"/>
      <x:c r="C3200"/>
      <x:c r="D3200"/>
      <x:c r="E3200"/>
      <x:c r="F3200"/>
      <x:c r="G3200"/>
    </x:row>
    <x:row r="3201">
      <x:c r="A3201"/>
      <x:c r="B3201"/>
      <x:c r="C3201"/>
      <x:c r="D3201"/>
      <x:c r="E3201"/>
      <x:c r="F3201"/>
      <x:c r="G3201"/>
    </x:row>
    <x:row r="3202">
      <x:c r="A3202"/>
      <x:c r="B3202"/>
      <x:c r="C3202"/>
      <x:c r="D3202"/>
      <x:c r="E3202"/>
      <x:c r="F3202"/>
      <x:c r="G3202"/>
    </x:row>
    <x:row r="3203">
      <x:c r="A3203"/>
      <x:c r="B3203"/>
      <x:c r="C3203"/>
      <x:c r="D3203"/>
      <x:c r="E3203"/>
      <x:c r="F3203"/>
      <x:c r="G3203"/>
    </x:row>
    <x:row r="3204">
      <x:c r="A3204"/>
      <x:c r="B3204"/>
      <x:c r="C3204"/>
      <x:c r="D3204"/>
      <x:c r="E3204"/>
      <x:c r="F3204"/>
      <x:c r="G3204"/>
    </x:row>
    <x:row r="3205">
      <x:c r="A3205"/>
      <x:c r="B3205"/>
      <x:c r="C3205"/>
      <x:c r="D3205"/>
      <x:c r="E3205"/>
      <x:c r="F3205"/>
      <x:c r="G3205"/>
    </x:row>
    <x:row r="3206">
      <x:c r="A3206"/>
      <x:c r="B3206"/>
      <x:c r="C3206"/>
      <x:c r="D3206"/>
      <x:c r="E3206"/>
      <x:c r="F3206"/>
      <x:c r="G3206"/>
    </x:row>
    <x:row r="3207">
      <x:c r="A3207"/>
      <x:c r="B3207"/>
      <x:c r="C3207"/>
      <x:c r="D3207"/>
      <x:c r="E3207"/>
      <x:c r="F3207"/>
      <x:c r="G3207"/>
    </x:row>
    <x:row r="3208">
      <x:c r="A3208"/>
      <x:c r="B3208"/>
      <x:c r="C3208"/>
      <x:c r="D3208"/>
      <x:c r="E3208"/>
      <x:c r="F3208"/>
      <x:c r="G3208"/>
    </x:row>
    <x:row r="3209">
      <x:c r="A3209"/>
      <x:c r="B3209"/>
      <x:c r="C3209"/>
      <x:c r="D3209"/>
      <x:c r="E3209"/>
      <x:c r="F3209"/>
      <x:c r="G3209"/>
    </x:row>
    <x:row r="3210">
      <x:c r="A3210"/>
      <x:c r="B3210"/>
      <x:c r="C3210"/>
      <x:c r="D3210"/>
      <x:c r="E3210"/>
      <x:c r="F3210"/>
      <x:c r="G3210"/>
    </x:row>
    <x:row r="3211">
      <x:c r="A3211"/>
      <x:c r="B3211"/>
      <x:c r="C3211"/>
      <x:c r="D3211"/>
      <x:c r="E3211"/>
      <x:c r="F3211"/>
      <x:c r="G3211"/>
    </x:row>
    <x:row r="3212">
      <x:c r="A3212"/>
      <x:c r="B3212"/>
      <x:c r="C3212"/>
      <x:c r="D3212"/>
      <x:c r="E3212"/>
      <x:c r="F3212"/>
      <x:c r="G3212"/>
    </x:row>
    <x:row r="3213">
      <x:c r="A3213"/>
      <x:c r="B3213"/>
      <x:c r="C3213"/>
      <x:c r="D3213"/>
      <x:c r="E3213"/>
      <x:c r="F3213"/>
      <x:c r="G3213"/>
    </x:row>
    <x:row r="3214">
      <x:c r="A3214"/>
      <x:c r="B3214"/>
      <x:c r="C3214"/>
      <x:c r="D3214"/>
      <x:c r="E3214"/>
      <x:c r="F3214"/>
      <x:c r="G3214"/>
    </x:row>
    <x:row r="3215">
      <x:c r="A3215"/>
      <x:c r="B3215"/>
      <x:c r="C3215"/>
      <x:c r="D3215"/>
      <x:c r="E3215"/>
      <x:c r="F3215"/>
      <x:c r="G3215"/>
    </x:row>
    <x:row r="3216">
      <x:c r="A3216"/>
      <x:c r="B3216"/>
      <x:c r="C3216"/>
      <x:c r="D3216"/>
      <x:c r="E3216"/>
      <x:c r="F3216"/>
      <x:c r="G3216"/>
    </x:row>
    <x:row r="3217">
      <x:c r="A3217"/>
      <x:c r="B3217"/>
      <x:c r="C3217"/>
      <x:c r="D3217"/>
      <x:c r="E3217"/>
      <x:c r="F3217"/>
      <x:c r="G3217"/>
    </x:row>
    <x:row r="3218">
      <x:c r="A3218"/>
      <x:c r="B3218"/>
      <x:c r="C3218"/>
      <x:c r="D3218"/>
      <x:c r="E3218"/>
      <x:c r="F3218"/>
      <x:c r="G3218"/>
    </x:row>
    <x:row r="3219">
      <x:c r="A3219"/>
      <x:c r="B3219"/>
      <x:c r="C3219"/>
      <x:c r="D3219"/>
      <x:c r="E3219"/>
      <x:c r="F3219"/>
      <x:c r="G3219"/>
    </x:row>
    <x:row r="3220">
      <x:c r="A3220"/>
      <x:c r="B3220"/>
      <x:c r="C3220"/>
      <x:c r="D3220"/>
      <x:c r="E3220"/>
      <x:c r="F3220"/>
      <x:c r="G3220"/>
    </x:row>
    <x:row r="3221">
      <x:c r="A3221"/>
      <x:c r="B3221"/>
      <x:c r="C3221"/>
      <x:c r="D3221"/>
      <x:c r="E3221"/>
      <x:c r="F3221"/>
      <x:c r="G3221"/>
    </x:row>
    <x:row r="3222">
      <x:c r="A3222"/>
      <x:c r="B3222"/>
      <x:c r="C3222"/>
      <x:c r="D3222"/>
      <x:c r="E3222"/>
      <x:c r="F3222"/>
      <x:c r="G3222"/>
    </x:row>
    <x:row r="3223">
      <x:c r="A3223"/>
      <x:c r="B3223"/>
      <x:c r="C3223"/>
      <x:c r="D3223"/>
      <x:c r="E3223"/>
      <x:c r="F3223"/>
      <x:c r="G3223"/>
    </x:row>
    <x:row r="3224">
      <x:c r="A3224"/>
      <x:c r="B3224"/>
      <x:c r="C3224"/>
      <x:c r="D3224"/>
      <x:c r="E3224"/>
      <x:c r="F3224"/>
      <x:c r="G3224"/>
    </x:row>
    <x:row r="3225">
      <x:c r="A3225"/>
      <x:c r="B3225"/>
      <x:c r="C3225"/>
      <x:c r="D3225"/>
      <x:c r="E3225"/>
      <x:c r="F3225"/>
      <x:c r="G3225"/>
    </x:row>
    <x:row r="3226">
      <x:c r="A3226"/>
      <x:c r="B3226"/>
      <x:c r="C3226"/>
      <x:c r="D3226"/>
      <x:c r="E3226"/>
      <x:c r="F3226"/>
      <x:c r="G3226"/>
    </x:row>
    <x:row r="3227">
      <x:c r="A3227"/>
      <x:c r="B3227"/>
      <x:c r="C3227"/>
      <x:c r="D3227"/>
      <x:c r="E3227"/>
      <x:c r="F3227"/>
      <x:c r="G3227"/>
    </x:row>
    <x:row r="3228">
      <x:c r="A3228"/>
      <x:c r="B3228"/>
      <x:c r="C3228"/>
      <x:c r="D3228"/>
      <x:c r="E3228"/>
      <x:c r="F3228"/>
      <x:c r="G3228"/>
    </x:row>
    <x:row r="3229">
      <x:c r="A3229"/>
      <x:c r="B3229"/>
      <x:c r="C3229"/>
      <x:c r="D3229"/>
      <x:c r="E3229"/>
      <x:c r="F3229"/>
      <x:c r="G3229"/>
    </x:row>
    <x:row r="3230">
      <x:c r="A3230"/>
      <x:c r="B3230"/>
      <x:c r="C3230"/>
      <x:c r="D3230"/>
      <x:c r="E3230"/>
      <x:c r="F3230"/>
      <x:c r="G3230"/>
    </x:row>
    <x:row r="3231">
      <x:c r="A3231"/>
      <x:c r="B3231"/>
      <x:c r="C3231"/>
      <x:c r="D3231"/>
      <x:c r="E3231"/>
      <x:c r="F3231"/>
      <x:c r="G3231"/>
    </x:row>
    <x:row r="3232">
      <x:c r="A3232"/>
      <x:c r="B3232"/>
      <x:c r="C3232"/>
      <x:c r="D3232"/>
      <x:c r="E3232"/>
      <x:c r="F3232"/>
      <x:c r="G3232"/>
    </x:row>
    <x:row r="3233">
      <x:c r="A3233"/>
      <x:c r="B3233"/>
      <x:c r="C3233"/>
      <x:c r="D3233"/>
      <x:c r="E3233"/>
      <x:c r="F3233"/>
      <x:c r="G3233"/>
    </x:row>
    <x:row r="3234">
      <x:c r="A3234"/>
      <x:c r="B3234"/>
      <x:c r="C3234"/>
      <x:c r="D3234"/>
      <x:c r="E3234"/>
      <x:c r="F3234"/>
      <x:c r="G3234"/>
    </x:row>
    <x:row r="3235">
      <x:c r="A3235"/>
      <x:c r="B3235"/>
      <x:c r="C3235"/>
      <x:c r="D3235"/>
      <x:c r="E3235"/>
      <x:c r="F3235"/>
      <x:c r="G3235"/>
    </x:row>
    <x:row r="3236">
      <x:c r="A3236"/>
      <x:c r="B3236"/>
      <x:c r="C3236"/>
      <x:c r="D3236"/>
      <x:c r="E3236"/>
      <x:c r="F3236"/>
      <x:c r="G3236"/>
    </x:row>
    <x:row r="3237">
      <x:c r="A3237"/>
      <x:c r="B3237"/>
      <x:c r="C3237"/>
      <x:c r="D3237"/>
      <x:c r="E3237"/>
      <x:c r="F3237"/>
      <x:c r="G3237"/>
    </x:row>
    <x:row r="3238">
      <x:c r="A3238"/>
      <x:c r="B3238"/>
      <x:c r="C3238"/>
      <x:c r="D3238"/>
      <x:c r="E3238"/>
      <x:c r="F3238"/>
      <x:c r="G3238"/>
    </x:row>
    <x:row r="3239">
      <x:c r="A3239"/>
      <x:c r="B3239"/>
      <x:c r="C3239"/>
      <x:c r="D3239"/>
      <x:c r="E3239"/>
      <x:c r="F3239"/>
      <x:c r="G3239"/>
    </x:row>
    <x:row r="3240">
      <x:c r="A3240"/>
      <x:c r="B3240"/>
      <x:c r="C3240"/>
      <x:c r="D3240"/>
      <x:c r="E3240"/>
      <x:c r="F3240"/>
      <x:c r="G3240"/>
    </x:row>
    <x:row r="3241">
      <x:c r="A3241"/>
      <x:c r="B3241"/>
      <x:c r="C3241"/>
      <x:c r="D3241"/>
      <x:c r="E3241"/>
      <x:c r="F3241"/>
      <x:c r="G3241"/>
    </x:row>
    <x:row r="3242">
      <x:c r="A3242"/>
      <x:c r="B3242"/>
      <x:c r="C3242"/>
      <x:c r="D3242"/>
      <x:c r="E3242"/>
      <x:c r="F3242"/>
      <x:c r="G3242"/>
    </x:row>
    <x:row r="3243">
      <x:c r="A3243"/>
      <x:c r="B3243"/>
      <x:c r="C3243"/>
      <x:c r="D3243"/>
      <x:c r="E3243"/>
      <x:c r="F3243"/>
      <x:c r="G3243"/>
    </x:row>
    <x:row r="3244">
      <x:c r="A3244"/>
      <x:c r="B3244"/>
      <x:c r="C3244"/>
      <x:c r="D3244"/>
      <x:c r="E3244"/>
      <x:c r="F3244"/>
      <x:c r="G3244"/>
    </x:row>
    <x:row r="3245">
      <x:c r="A3245"/>
      <x:c r="B3245"/>
      <x:c r="C3245"/>
      <x:c r="D3245"/>
      <x:c r="E3245"/>
      <x:c r="F3245"/>
      <x:c r="G3245"/>
    </x:row>
    <x:row r="3246">
      <x:c r="A3246"/>
      <x:c r="B3246"/>
      <x:c r="C3246"/>
      <x:c r="D3246"/>
      <x:c r="E3246"/>
      <x:c r="F3246"/>
      <x:c r="G3246"/>
    </x:row>
    <x:row r="3247">
      <x:c r="A3247"/>
      <x:c r="B3247"/>
      <x:c r="C3247"/>
      <x:c r="D3247"/>
      <x:c r="E3247"/>
      <x:c r="F3247"/>
      <x:c r="G3247"/>
    </x:row>
    <x:row r="3248">
      <x:c r="A3248"/>
      <x:c r="B3248"/>
      <x:c r="C3248"/>
      <x:c r="D3248"/>
      <x:c r="E3248"/>
      <x:c r="F3248"/>
      <x:c r="G3248"/>
    </x:row>
    <x:row r="3249">
      <x:c r="A3249"/>
      <x:c r="B3249"/>
      <x:c r="C3249"/>
      <x:c r="D3249"/>
      <x:c r="E3249"/>
      <x:c r="F3249"/>
      <x:c r="G3249"/>
    </x:row>
    <x:row r="3250">
      <x:c r="A3250"/>
      <x:c r="B3250"/>
      <x:c r="C3250"/>
      <x:c r="D3250"/>
      <x:c r="E3250"/>
      <x:c r="F3250"/>
      <x:c r="G3250"/>
    </x:row>
    <x:row r="3251">
      <x:c r="A3251"/>
      <x:c r="B3251"/>
      <x:c r="C3251"/>
      <x:c r="D3251"/>
      <x:c r="E3251"/>
      <x:c r="F3251"/>
      <x:c r="G3251"/>
    </x:row>
    <x:row r="3252">
      <x:c r="A3252"/>
      <x:c r="B3252"/>
      <x:c r="C3252"/>
      <x:c r="D3252"/>
      <x:c r="E3252"/>
      <x:c r="F3252"/>
      <x:c r="G3252"/>
    </x:row>
    <x:row r="3253">
      <x:c r="A3253"/>
      <x:c r="B3253"/>
      <x:c r="C3253"/>
      <x:c r="D3253"/>
      <x:c r="E3253"/>
      <x:c r="F3253"/>
      <x:c r="G3253"/>
    </x:row>
    <x:row r="3254">
      <x:c r="A3254"/>
      <x:c r="B3254"/>
      <x:c r="C3254"/>
      <x:c r="D3254"/>
      <x:c r="E3254"/>
      <x:c r="F3254"/>
      <x:c r="G3254"/>
    </x:row>
    <x:row r="3255">
      <x:c r="A3255"/>
      <x:c r="B3255"/>
      <x:c r="C3255"/>
      <x:c r="D3255"/>
      <x:c r="E3255"/>
      <x:c r="F3255"/>
      <x:c r="G3255"/>
    </x:row>
    <x:row r="3256">
      <x:c r="A3256"/>
      <x:c r="B3256"/>
      <x:c r="C3256"/>
      <x:c r="D3256"/>
      <x:c r="E3256"/>
      <x:c r="F3256"/>
      <x:c r="G3256"/>
    </x:row>
    <x:row r="3257">
      <x:c r="A3257"/>
      <x:c r="B3257"/>
      <x:c r="C3257"/>
      <x:c r="D3257"/>
      <x:c r="E3257"/>
      <x:c r="F3257"/>
      <x:c r="G3257"/>
    </x:row>
    <x:row r="3258">
      <x:c r="A3258"/>
      <x:c r="B3258"/>
      <x:c r="C3258"/>
      <x:c r="D3258"/>
      <x:c r="E3258"/>
      <x:c r="F3258"/>
      <x:c r="G3258"/>
    </x:row>
    <x:row r="3259">
      <x:c r="A3259"/>
      <x:c r="B3259"/>
      <x:c r="C3259"/>
      <x:c r="D3259"/>
      <x:c r="E3259"/>
      <x:c r="F3259"/>
      <x:c r="G3259"/>
    </x:row>
    <x:row r="3260">
      <x:c r="A3260"/>
      <x:c r="B3260"/>
      <x:c r="C3260"/>
      <x:c r="D3260"/>
      <x:c r="E3260"/>
      <x:c r="F3260"/>
      <x:c r="G3260"/>
    </x:row>
    <x:row r="3261">
      <x:c r="A3261"/>
      <x:c r="B3261"/>
      <x:c r="C3261"/>
      <x:c r="D3261"/>
      <x:c r="E3261"/>
      <x:c r="F3261"/>
      <x:c r="G3261"/>
    </x:row>
    <x:row r="3262">
      <x:c r="A3262"/>
      <x:c r="B3262"/>
      <x:c r="C3262"/>
      <x:c r="D3262"/>
      <x:c r="E3262"/>
      <x:c r="F3262"/>
      <x:c r="G3262"/>
    </x:row>
    <x:row r="3263">
      <x:c r="A3263"/>
      <x:c r="B3263"/>
      <x:c r="C3263"/>
      <x:c r="D3263"/>
      <x:c r="E3263"/>
      <x:c r="F3263"/>
      <x:c r="G3263"/>
    </x:row>
    <x:row r="3264">
      <x:c r="A3264"/>
      <x:c r="B3264"/>
      <x:c r="C3264"/>
      <x:c r="D3264"/>
      <x:c r="E3264"/>
      <x:c r="F3264"/>
      <x:c r="G3264"/>
    </x:row>
    <x:row r="3265">
      <x:c r="A3265"/>
      <x:c r="B3265"/>
      <x:c r="C3265"/>
      <x:c r="D3265"/>
      <x:c r="E3265"/>
      <x:c r="F3265"/>
      <x:c r="G3265"/>
    </x:row>
    <x:row r="3266">
      <x:c r="A3266"/>
      <x:c r="B3266"/>
      <x:c r="C3266"/>
      <x:c r="D3266"/>
      <x:c r="E3266"/>
      <x:c r="F3266"/>
      <x:c r="G3266"/>
    </x:row>
    <x:row r="3267">
      <x:c r="A3267"/>
      <x:c r="B3267"/>
      <x:c r="C3267"/>
      <x:c r="D3267"/>
      <x:c r="E3267"/>
      <x:c r="F3267"/>
      <x:c r="G3267"/>
    </x:row>
    <x:row r="3268">
      <x:c r="A3268"/>
      <x:c r="B3268"/>
      <x:c r="C3268"/>
      <x:c r="D3268"/>
      <x:c r="E3268"/>
      <x:c r="F3268"/>
      <x:c r="G3268"/>
    </x:row>
    <x:row r="3269">
      <x:c r="A3269"/>
      <x:c r="B3269"/>
      <x:c r="C3269"/>
      <x:c r="D3269"/>
      <x:c r="E3269"/>
      <x:c r="F3269"/>
      <x:c r="G3269"/>
    </x:row>
    <x:row r="3270">
      <x:c r="A3270"/>
      <x:c r="B3270"/>
      <x:c r="C3270"/>
      <x:c r="D3270"/>
      <x:c r="E3270"/>
      <x:c r="F3270"/>
      <x:c r="G3270"/>
    </x:row>
    <x:row r="3271">
      <x:c r="A3271"/>
      <x:c r="B3271"/>
      <x:c r="C3271"/>
      <x:c r="D3271"/>
      <x:c r="E3271"/>
      <x:c r="F3271"/>
      <x:c r="G3271"/>
    </x:row>
    <x:row r="3272">
      <x:c r="A3272"/>
      <x:c r="B3272"/>
      <x:c r="C3272"/>
      <x:c r="D3272"/>
      <x:c r="E3272"/>
      <x:c r="F3272"/>
      <x:c r="G3272"/>
    </x:row>
    <x:row r="3273">
      <x:c r="A3273"/>
      <x:c r="B3273"/>
      <x:c r="C3273"/>
      <x:c r="D3273"/>
      <x:c r="E3273"/>
      <x:c r="F3273"/>
      <x:c r="G3273"/>
    </x:row>
    <x:row r="3274">
      <x:c r="A3274"/>
      <x:c r="B3274"/>
      <x:c r="C3274"/>
      <x:c r="D3274"/>
      <x:c r="E3274"/>
      <x:c r="F3274"/>
      <x:c r="G3274"/>
    </x:row>
    <x:row r="3275">
      <x:c r="A3275"/>
      <x:c r="B3275"/>
      <x:c r="C3275"/>
      <x:c r="D3275"/>
      <x:c r="E3275"/>
      <x:c r="F3275"/>
      <x:c r="G3275"/>
    </x:row>
    <x:row r="3276">
      <x:c r="A3276"/>
      <x:c r="B3276"/>
      <x:c r="C3276"/>
      <x:c r="D3276"/>
      <x:c r="E3276"/>
      <x:c r="F3276"/>
      <x:c r="G3276"/>
    </x:row>
    <x:row r="3277">
      <x:c r="A3277"/>
      <x:c r="B3277"/>
      <x:c r="C3277"/>
      <x:c r="D3277"/>
      <x:c r="E3277"/>
      <x:c r="F3277"/>
      <x:c r="G3277"/>
    </x:row>
    <x:row r="3278">
      <x:c r="A3278"/>
      <x:c r="B3278"/>
      <x:c r="C3278"/>
      <x:c r="D3278"/>
      <x:c r="E3278"/>
      <x:c r="F3278"/>
      <x:c r="G3278"/>
    </x:row>
    <x:row r="3279">
      <x:c r="A3279"/>
      <x:c r="B3279"/>
      <x:c r="C3279"/>
      <x:c r="D3279"/>
      <x:c r="E3279"/>
      <x:c r="F3279"/>
      <x:c r="G3279"/>
    </x:row>
    <x:row r="3280">
      <x:c r="A3280"/>
      <x:c r="B3280"/>
      <x:c r="C3280"/>
      <x:c r="D3280"/>
      <x:c r="E3280"/>
      <x:c r="F3280"/>
      <x:c r="G3280"/>
    </x:row>
    <x:row r="3281">
      <x:c r="A3281"/>
      <x:c r="B3281"/>
      <x:c r="C3281"/>
      <x:c r="D3281"/>
      <x:c r="E3281"/>
      <x:c r="F3281"/>
      <x:c r="G3281"/>
    </x:row>
    <x:row r="3282">
      <x:c r="A3282"/>
      <x:c r="B3282"/>
      <x:c r="C3282"/>
      <x:c r="D3282"/>
      <x:c r="E3282"/>
      <x:c r="F3282"/>
      <x:c r="G3282"/>
    </x:row>
    <x:row r="3283">
      <x:c r="A3283"/>
      <x:c r="B3283"/>
      <x:c r="C3283"/>
      <x:c r="D3283"/>
      <x:c r="E3283"/>
      <x:c r="F3283"/>
      <x:c r="G3283"/>
    </x:row>
    <x:row r="3284">
      <x:c r="A3284"/>
      <x:c r="B3284"/>
      <x:c r="C3284"/>
      <x:c r="D3284"/>
      <x:c r="E3284"/>
      <x:c r="F3284"/>
      <x:c r="G3284"/>
    </x:row>
    <x:row r="3285">
      <x:c r="A3285"/>
      <x:c r="B3285"/>
      <x:c r="C3285"/>
      <x:c r="D3285"/>
      <x:c r="E3285"/>
      <x:c r="F3285"/>
      <x:c r="G3285"/>
    </x:row>
    <x:row r="3286">
      <x:c r="A3286"/>
      <x:c r="B3286"/>
      <x:c r="C3286"/>
      <x:c r="D3286"/>
      <x:c r="E3286"/>
      <x:c r="F3286"/>
      <x:c r="G3286"/>
    </x:row>
    <x:row r="3287">
      <x:c r="A3287"/>
      <x:c r="B3287"/>
      <x:c r="C3287"/>
      <x:c r="D3287"/>
      <x:c r="E3287"/>
      <x:c r="F3287"/>
      <x:c r="G3287"/>
    </x:row>
    <x:row r="3288">
      <x:c r="A3288"/>
      <x:c r="B3288"/>
      <x:c r="C3288"/>
      <x:c r="D3288"/>
      <x:c r="E3288"/>
      <x:c r="F3288"/>
      <x:c r="G3288"/>
    </x:row>
    <x:row r="3289">
      <x:c r="A3289"/>
      <x:c r="B3289"/>
      <x:c r="C3289"/>
      <x:c r="D3289"/>
      <x:c r="E3289"/>
      <x:c r="F3289"/>
      <x:c r="G3289"/>
    </x:row>
    <x:row r="3290">
      <x:c r="A3290"/>
      <x:c r="B3290"/>
      <x:c r="C3290"/>
      <x:c r="D3290"/>
      <x:c r="E3290"/>
      <x:c r="F3290"/>
      <x:c r="G3290"/>
    </x:row>
    <x:row r="3291">
      <x:c r="A3291"/>
      <x:c r="B3291"/>
      <x:c r="C3291"/>
      <x:c r="D3291"/>
      <x:c r="E3291"/>
      <x:c r="F3291"/>
      <x:c r="G3291"/>
    </x:row>
    <x:row r="3292">
      <x:c r="A3292"/>
      <x:c r="B3292"/>
      <x:c r="C3292"/>
      <x:c r="D3292"/>
      <x:c r="E3292"/>
      <x:c r="F3292"/>
      <x:c r="G3292"/>
    </x:row>
    <x:row r="3293">
      <x:c r="A3293"/>
      <x:c r="B3293"/>
      <x:c r="C3293"/>
      <x:c r="D3293"/>
      <x:c r="E3293"/>
      <x:c r="F3293"/>
      <x:c r="G3293"/>
    </x:row>
    <x:row r="3294">
      <x:c r="A3294"/>
      <x:c r="B3294"/>
      <x:c r="C3294"/>
      <x:c r="D3294"/>
      <x:c r="E3294"/>
      <x:c r="F3294"/>
      <x:c r="G3294"/>
    </x:row>
    <x:row r="3295">
      <x:c r="A3295"/>
      <x:c r="B3295"/>
      <x:c r="C3295"/>
      <x:c r="D3295"/>
      <x:c r="E3295"/>
      <x:c r="F3295"/>
      <x:c r="G3295"/>
    </x:row>
    <x:row r="3296">
      <x:c r="A3296"/>
      <x:c r="B3296"/>
      <x:c r="C3296"/>
      <x:c r="D3296"/>
      <x:c r="E3296"/>
      <x:c r="F3296"/>
      <x:c r="G3296"/>
    </x:row>
    <x:row r="3297">
      <x:c r="A3297"/>
      <x:c r="B3297"/>
      <x:c r="C3297"/>
      <x:c r="D3297"/>
      <x:c r="E3297"/>
      <x:c r="F3297"/>
      <x:c r="G3297"/>
    </x:row>
    <x:row r="3298">
      <x:c r="A3298"/>
      <x:c r="B3298"/>
      <x:c r="C3298"/>
      <x:c r="D3298"/>
      <x:c r="E3298"/>
      <x:c r="F3298"/>
      <x:c r="G3298"/>
    </x:row>
    <x:row r="3299">
      <x:c r="A3299"/>
      <x:c r="B3299"/>
      <x:c r="C3299"/>
      <x:c r="D3299"/>
      <x:c r="E3299"/>
      <x:c r="F3299"/>
      <x:c r="G3299"/>
    </x:row>
    <x:row r="3300">
      <x:c r="A3300"/>
      <x:c r="B3300"/>
      <x:c r="C3300"/>
      <x:c r="D3300"/>
      <x:c r="E3300"/>
      <x:c r="F3300"/>
      <x:c r="G3300"/>
    </x:row>
    <x:row r="3301">
      <x:c r="A3301"/>
      <x:c r="B3301"/>
      <x:c r="C3301"/>
      <x:c r="D3301"/>
      <x:c r="E3301"/>
      <x:c r="F3301"/>
      <x:c r="G3301"/>
    </x:row>
    <x:row r="3302">
      <x:c r="A3302"/>
      <x:c r="B3302"/>
      <x:c r="C3302"/>
      <x:c r="D3302"/>
      <x:c r="E3302"/>
      <x:c r="F3302"/>
      <x:c r="G3302"/>
    </x:row>
    <x:row r="3303">
      <x:c r="A3303"/>
      <x:c r="B3303"/>
      <x:c r="C3303"/>
      <x:c r="D3303"/>
      <x:c r="E3303"/>
      <x:c r="F3303"/>
      <x:c r="G3303"/>
    </x:row>
    <x:row r="3304">
      <x:c r="A3304"/>
      <x:c r="B3304"/>
      <x:c r="C3304"/>
      <x:c r="D3304"/>
      <x:c r="E3304"/>
      <x:c r="F3304"/>
      <x:c r="G3304"/>
    </x:row>
    <x:row r="3305">
      <x:c r="A3305"/>
      <x:c r="B3305"/>
      <x:c r="C3305"/>
      <x:c r="D3305"/>
      <x:c r="E3305"/>
      <x:c r="F3305"/>
      <x:c r="G3305"/>
    </x:row>
    <x:row r="3306">
      <x:c r="A3306"/>
      <x:c r="B3306"/>
      <x:c r="C3306"/>
      <x:c r="D3306"/>
      <x:c r="E3306"/>
      <x:c r="F3306"/>
      <x:c r="G3306"/>
    </x:row>
    <x:row r="3307">
      <x:c r="A3307"/>
      <x:c r="B3307"/>
      <x:c r="C3307"/>
      <x:c r="D3307"/>
      <x:c r="E3307"/>
      <x:c r="F3307"/>
      <x:c r="G3307"/>
    </x:row>
    <x:row r="3308">
      <x:c r="A3308"/>
      <x:c r="B3308"/>
      <x:c r="C3308"/>
      <x:c r="D3308"/>
      <x:c r="E3308"/>
      <x:c r="F3308"/>
      <x:c r="G3308"/>
    </x:row>
    <x:row r="3309">
      <x:c r="A3309"/>
      <x:c r="B3309"/>
      <x:c r="C3309"/>
      <x:c r="D3309"/>
      <x:c r="E3309"/>
      <x:c r="F3309"/>
      <x:c r="G3309"/>
    </x:row>
    <x:row r="3310">
      <x:c r="A3310"/>
      <x:c r="B3310"/>
      <x:c r="C3310"/>
      <x:c r="D3310"/>
      <x:c r="E3310"/>
      <x:c r="F3310"/>
      <x:c r="G3310"/>
    </x:row>
    <x:row r="3311">
      <x:c r="A3311"/>
      <x:c r="B3311"/>
      <x:c r="C3311"/>
      <x:c r="D3311"/>
      <x:c r="E3311"/>
      <x:c r="F3311"/>
      <x:c r="G3311"/>
    </x:row>
    <x:row r="3312">
      <x:c r="A3312"/>
      <x:c r="B3312"/>
      <x:c r="C3312"/>
      <x:c r="D3312"/>
      <x:c r="E3312"/>
      <x:c r="F3312"/>
      <x:c r="G3312"/>
    </x:row>
    <x:row r="3313">
      <x:c r="A3313"/>
      <x:c r="B3313"/>
      <x:c r="C3313"/>
      <x:c r="D3313"/>
      <x:c r="E3313"/>
      <x:c r="F3313"/>
      <x:c r="G3313"/>
    </x:row>
    <x:row r="3314">
      <x:c r="A3314"/>
      <x:c r="B3314"/>
      <x:c r="C3314"/>
      <x:c r="D3314"/>
      <x:c r="E3314"/>
      <x:c r="F3314"/>
      <x:c r="G3314"/>
    </x:row>
    <x:row r="3315">
      <x:c r="A3315"/>
      <x:c r="B3315"/>
      <x:c r="C3315"/>
      <x:c r="D3315"/>
      <x:c r="E3315"/>
      <x:c r="F3315"/>
      <x:c r="G3315"/>
    </x:row>
    <x:row r="3316">
      <x:c r="A3316"/>
      <x:c r="B3316"/>
      <x:c r="C3316"/>
      <x:c r="D3316"/>
      <x:c r="E3316"/>
      <x:c r="F3316"/>
      <x:c r="G3316"/>
    </x:row>
    <x:row r="3317">
      <x:c r="A3317"/>
      <x:c r="B3317"/>
      <x:c r="C3317"/>
      <x:c r="D3317"/>
      <x:c r="E3317"/>
      <x:c r="F3317"/>
      <x:c r="G3317"/>
    </x:row>
    <x:row r="3318">
      <x:c r="A3318"/>
      <x:c r="B3318"/>
      <x:c r="C3318"/>
      <x:c r="D3318"/>
      <x:c r="E3318"/>
      <x:c r="F3318"/>
      <x:c r="G3318"/>
    </x:row>
    <x:row r="3319">
      <x:c r="A3319"/>
      <x:c r="B3319"/>
      <x:c r="C3319"/>
      <x:c r="D3319"/>
      <x:c r="E3319"/>
      <x:c r="F3319"/>
      <x:c r="G3319"/>
    </x:row>
    <x:row r="3320">
      <x:c r="A3320"/>
      <x:c r="B3320"/>
      <x:c r="C3320"/>
      <x:c r="D3320"/>
      <x:c r="E3320"/>
      <x:c r="F3320"/>
      <x:c r="G3320"/>
    </x:row>
    <x:row r="3321">
      <x:c r="A3321"/>
      <x:c r="B3321"/>
      <x:c r="C3321"/>
      <x:c r="D3321"/>
      <x:c r="E3321"/>
      <x:c r="F3321"/>
      <x:c r="G3321"/>
    </x:row>
    <x:row r="3322">
      <x:c r="A3322"/>
      <x:c r="B3322"/>
      <x:c r="C3322"/>
      <x:c r="D3322"/>
      <x:c r="E3322"/>
      <x:c r="F3322"/>
      <x:c r="G3322"/>
    </x:row>
    <x:row r="3323">
      <x:c r="A3323"/>
      <x:c r="B3323"/>
      <x:c r="C3323"/>
      <x:c r="D3323"/>
      <x:c r="E3323"/>
      <x:c r="F3323"/>
      <x:c r="G3323"/>
    </x:row>
    <x:row r="3324">
      <x:c r="A3324"/>
      <x:c r="B3324"/>
      <x:c r="C3324"/>
      <x:c r="D3324"/>
      <x:c r="E3324"/>
      <x:c r="F3324"/>
      <x:c r="G3324"/>
    </x:row>
    <x:row r="3325">
      <x:c r="A3325"/>
      <x:c r="B3325"/>
      <x:c r="C3325"/>
      <x:c r="D3325"/>
      <x:c r="E3325"/>
      <x:c r="F3325"/>
      <x:c r="G3325"/>
    </x:row>
    <x:row r="3326">
      <x:c r="A3326"/>
      <x:c r="B3326"/>
      <x:c r="C3326"/>
      <x:c r="D3326"/>
      <x:c r="E3326"/>
      <x:c r="F3326"/>
      <x:c r="G3326"/>
    </x:row>
    <x:row r="3327">
      <x:c r="A3327"/>
      <x:c r="B3327"/>
      <x:c r="C3327"/>
      <x:c r="D3327"/>
      <x:c r="E3327"/>
      <x:c r="F3327"/>
      <x:c r="G3327"/>
    </x:row>
    <x:row r="3328">
      <x:c r="A3328"/>
      <x:c r="B3328"/>
      <x:c r="C3328"/>
      <x:c r="D3328"/>
      <x:c r="E3328"/>
      <x:c r="F3328"/>
      <x:c r="G3328"/>
    </x:row>
    <x:row r="3329">
      <x:c r="A3329"/>
      <x:c r="B3329"/>
      <x:c r="C3329"/>
      <x:c r="D3329"/>
      <x:c r="E3329"/>
      <x:c r="F3329"/>
      <x:c r="G3329"/>
    </x:row>
    <x:row r="3330">
      <x:c r="A3330"/>
      <x:c r="B3330"/>
      <x:c r="C3330"/>
      <x:c r="D3330"/>
      <x:c r="E3330"/>
      <x:c r="F3330"/>
      <x:c r="G3330"/>
    </x:row>
    <x:row r="3331">
      <x:c r="A3331"/>
      <x:c r="B3331"/>
      <x:c r="C3331"/>
      <x:c r="D3331"/>
      <x:c r="E3331"/>
      <x:c r="F3331"/>
      <x:c r="G3331"/>
    </x:row>
    <x:row r="3332">
      <x:c r="A3332"/>
      <x:c r="B3332"/>
      <x:c r="C3332"/>
      <x:c r="D3332"/>
      <x:c r="E3332"/>
      <x:c r="F3332"/>
      <x:c r="G3332"/>
    </x:row>
    <x:row r="3333">
      <x:c r="A3333"/>
      <x:c r="B3333"/>
      <x:c r="C3333"/>
      <x:c r="D3333"/>
      <x:c r="E3333"/>
      <x:c r="F3333"/>
      <x:c r="G3333"/>
    </x:row>
    <x:row r="3334">
      <x:c r="A3334"/>
      <x:c r="B3334"/>
      <x:c r="C3334"/>
      <x:c r="D3334"/>
      <x:c r="E3334"/>
      <x:c r="F3334"/>
      <x:c r="G3334"/>
    </x:row>
    <x:row r="3335">
      <x:c r="A3335"/>
      <x:c r="B3335"/>
      <x:c r="C3335"/>
      <x:c r="D3335"/>
      <x:c r="E3335"/>
      <x:c r="F3335"/>
      <x:c r="G3335"/>
    </x:row>
    <x:row r="3336">
      <x:c r="A3336"/>
      <x:c r="B3336"/>
      <x:c r="C3336"/>
      <x:c r="D3336"/>
      <x:c r="E3336"/>
      <x:c r="F3336"/>
      <x:c r="G3336"/>
    </x:row>
    <x:row r="3337">
      <x:c r="A3337"/>
      <x:c r="B3337"/>
      <x:c r="C3337"/>
      <x:c r="D3337"/>
      <x:c r="E3337"/>
      <x:c r="F3337"/>
      <x:c r="G3337"/>
    </x:row>
    <x:row r="3338">
      <x:c r="A3338"/>
      <x:c r="B3338"/>
      <x:c r="C3338"/>
      <x:c r="D3338"/>
      <x:c r="E3338"/>
      <x:c r="F3338"/>
      <x:c r="G3338"/>
    </x:row>
    <x:row r="3339">
      <x:c r="A3339"/>
      <x:c r="B3339"/>
      <x:c r="C3339"/>
      <x:c r="D3339"/>
      <x:c r="E3339"/>
      <x:c r="F3339"/>
      <x:c r="G3339"/>
    </x:row>
    <x:row r="3340">
      <x:c r="A3340"/>
      <x:c r="B3340"/>
      <x:c r="C3340"/>
      <x:c r="D3340"/>
      <x:c r="E3340"/>
      <x:c r="F3340"/>
      <x:c r="G3340"/>
    </x:row>
    <x:row r="3341">
      <x:c r="A3341"/>
      <x:c r="B3341"/>
      <x:c r="C3341"/>
      <x:c r="D3341"/>
      <x:c r="E3341"/>
      <x:c r="F3341"/>
      <x:c r="G3341"/>
    </x:row>
    <x:row r="3342">
      <x:c r="A3342"/>
      <x:c r="B3342"/>
      <x:c r="C3342"/>
      <x:c r="D3342"/>
      <x:c r="E3342"/>
      <x:c r="F3342"/>
      <x:c r="G3342"/>
    </x:row>
    <x:row r="3343">
      <x:c r="A3343"/>
      <x:c r="B3343"/>
      <x:c r="C3343"/>
      <x:c r="D3343"/>
      <x:c r="E3343"/>
      <x:c r="F3343"/>
      <x:c r="G3343"/>
    </x:row>
    <x:row r="3344">
      <x:c r="A3344"/>
      <x:c r="B3344"/>
      <x:c r="C3344"/>
      <x:c r="D3344"/>
      <x:c r="E3344"/>
      <x:c r="F3344"/>
      <x:c r="G3344"/>
    </x:row>
    <x:row r="3345">
      <x:c r="A3345"/>
      <x:c r="B3345"/>
      <x:c r="C3345"/>
      <x:c r="D3345"/>
      <x:c r="E3345"/>
      <x:c r="F3345"/>
      <x:c r="G3345"/>
    </x:row>
    <x:row r="3346">
      <x:c r="A3346"/>
      <x:c r="B3346"/>
      <x:c r="C3346"/>
      <x:c r="D3346"/>
      <x:c r="E3346"/>
      <x:c r="F3346"/>
      <x:c r="G3346"/>
    </x:row>
    <x:row r="3347">
      <x:c r="A3347"/>
      <x:c r="B3347"/>
      <x:c r="C3347"/>
      <x:c r="D3347"/>
      <x:c r="E3347"/>
      <x:c r="F3347"/>
      <x:c r="G3347"/>
    </x:row>
    <x:row r="3348">
      <x:c r="A3348"/>
      <x:c r="B3348"/>
      <x:c r="C3348"/>
      <x:c r="D3348"/>
      <x:c r="E3348"/>
      <x:c r="F3348"/>
      <x:c r="G3348"/>
    </x:row>
    <x:row r="3349">
      <x:c r="A3349"/>
      <x:c r="B3349"/>
      <x:c r="C3349"/>
      <x:c r="D3349"/>
      <x:c r="E3349"/>
      <x:c r="F3349"/>
      <x:c r="G3349"/>
    </x:row>
    <x:row r="3350">
      <x:c r="A3350"/>
      <x:c r="B3350"/>
      <x:c r="C3350"/>
      <x:c r="D3350"/>
      <x:c r="E3350"/>
      <x:c r="F3350"/>
      <x:c r="G3350"/>
    </x:row>
    <x:row r="3351">
      <x:c r="A3351"/>
      <x:c r="B3351"/>
      <x:c r="C3351"/>
      <x:c r="D3351"/>
      <x:c r="E3351"/>
      <x:c r="F3351"/>
      <x:c r="G3351"/>
    </x:row>
    <x:row r="3352">
      <x:c r="A3352"/>
      <x:c r="B3352"/>
      <x:c r="C3352"/>
      <x:c r="D3352"/>
      <x:c r="E3352"/>
      <x:c r="F3352"/>
      <x:c r="G3352"/>
    </x:row>
    <x:row r="3353">
      <x:c r="A3353"/>
      <x:c r="B3353"/>
      <x:c r="C3353"/>
      <x:c r="D3353"/>
      <x:c r="E3353"/>
      <x:c r="F3353"/>
      <x:c r="G3353"/>
    </x:row>
    <x:row r="3354">
      <x:c r="A3354"/>
      <x:c r="B3354"/>
      <x:c r="C3354"/>
      <x:c r="D3354"/>
      <x:c r="E3354"/>
      <x:c r="F3354"/>
      <x:c r="G3354"/>
    </x:row>
    <x:row r="3355">
      <x:c r="A3355"/>
      <x:c r="B3355"/>
      <x:c r="C3355"/>
      <x:c r="D3355"/>
      <x:c r="E3355"/>
      <x:c r="F3355"/>
      <x:c r="G3355"/>
    </x:row>
    <x:row r="3356">
      <x:c r="A3356"/>
      <x:c r="B3356"/>
      <x:c r="C3356"/>
      <x:c r="D3356"/>
      <x:c r="E3356"/>
      <x:c r="F3356"/>
      <x:c r="G3356"/>
    </x:row>
    <x:row r="3357">
      <x:c r="A3357"/>
      <x:c r="B3357"/>
      <x:c r="C3357"/>
      <x:c r="D3357"/>
      <x:c r="E3357"/>
      <x:c r="F3357"/>
      <x:c r="G3357"/>
    </x:row>
    <x:row r="3358">
      <x:c r="A3358"/>
      <x:c r="B3358"/>
      <x:c r="C3358"/>
      <x:c r="D3358"/>
      <x:c r="E3358"/>
      <x:c r="F3358"/>
      <x:c r="G3358"/>
    </x:row>
    <x:row r="3359">
      <x:c r="A3359"/>
      <x:c r="B3359"/>
      <x:c r="C3359"/>
      <x:c r="D3359"/>
      <x:c r="E3359"/>
      <x:c r="F3359"/>
      <x:c r="G3359"/>
    </x:row>
    <x:row r="3360">
      <x:c r="A3360"/>
      <x:c r="B3360"/>
      <x:c r="C3360"/>
      <x:c r="D3360"/>
      <x:c r="E3360"/>
      <x:c r="F3360"/>
      <x:c r="G3360"/>
    </x:row>
    <x:row r="3361">
      <x:c r="A3361"/>
      <x:c r="B3361"/>
      <x:c r="C3361"/>
      <x:c r="D3361"/>
      <x:c r="E3361"/>
      <x:c r="F3361"/>
      <x:c r="G3361"/>
    </x:row>
    <x:row r="3362">
      <x:c r="A3362"/>
      <x:c r="B3362"/>
      <x:c r="C3362"/>
      <x:c r="D3362"/>
      <x:c r="E3362"/>
      <x:c r="F3362"/>
      <x:c r="G3362"/>
    </x:row>
    <x:row r="3363">
      <x:c r="A3363"/>
      <x:c r="B3363"/>
      <x:c r="C3363"/>
      <x:c r="D3363"/>
      <x:c r="E3363"/>
      <x:c r="F3363"/>
      <x:c r="G3363"/>
    </x:row>
    <x:row r="3364">
      <x:c r="A3364"/>
      <x:c r="B3364"/>
      <x:c r="C3364"/>
      <x:c r="D3364"/>
      <x:c r="E3364"/>
      <x:c r="F3364"/>
      <x:c r="G3364"/>
    </x:row>
    <x:row r="3365">
      <x:c r="A3365"/>
      <x:c r="B3365"/>
      <x:c r="C3365"/>
      <x:c r="D3365"/>
      <x:c r="E3365"/>
      <x:c r="F3365"/>
      <x:c r="G3365"/>
    </x:row>
    <x:row r="3366">
      <x:c r="A3366"/>
      <x:c r="B3366"/>
      <x:c r="C3366"/>
      <x:c r="D3366"/>
      <x:c r="E3366"/>
      <x:c r="F3366"/>
      <x:c r="G3366"/>
    </x:row>
    <x:row r="3367">
      <x:c r="A3367"/>
      <x:c r="B3367"/>
      <x:c r="C3367"/>
      <x:c r="D3367"/>
      <x:c r="E3367"/>
      <x:c r="F3367"/>
      <x:c r="G3367"/>
    </x:row>
    <x:row r="3368">
      <x:c r="A3368"/>
      <x:c r="B3368"/>
      <x:c r="C3368"/>
      <x:c r="D3368"/>
      <x:c r="E3368"/>
      <x:c r="F3368"/>
      <x:c r="G3368"/>
    </x:row>
    <x:row r="3369">
      <x:c r="A3369"/>
      <x:c r="B3369"/>
      <x:c r="C3369"/>
      <x:c r="D3369"/>
      <x:c r="E3369"/>
      <x:c r="F3369"/>
      <x:c r="G3369"/>
    </x:row>
    <x:row r="3370">
      <x:c r="A3370"/>
      <x:c r="B3370"/>
      <x:c r="C3370"/>
      <x:c r="D3370"/>
      <x:c r="E3370"/>
      <x:c r="F3370"/>
      <x:c r="G3370"/>
    </x:row>
    <x:row r="3371">
      <x:c r="A3371"/>
      <x:c r="B3371"/>
      <x:c r="C3371"/>
      <x:c r="D3371"/>
      <x:c r="E3371"/>
      <x:c r="F3371"/>
      <x:c r="G3371"/>
    </x:row>
    <x:row r="3372">
      <x:c r="A3372"/>
      <x:c r="B3372"/>
      <x:c r="C3372"/>
      <x:c r="D3372"/>
      <x:c r="E3372"/>
      <x:c r="F3372"/>
      <x:c r="G3372"/>
    </x:row>
    <x:row r="3373">
      <x:c r="A3373"/>
      <x:c r="B3373"/>
      <x:c r="C3373"/>
      <x:c r="D3373"/>
      <x:c r="E3373"/>
      <x:c r="F3373"/>
      <x:c r="G3373"/>
    </x:row>
    <x:row r="3374">
      <x:c r="A3374"/>
      <x:c r="B3374"/>
      <x:c r="C3374"/>
      <x:c r="D3374"/>
      <x:c r="E3374"/>
      <x:c r="F3374"/>
      <x:c r="G3374"/>
    </x:row>
    <x:row r="3375">
      <x:c r="A3375"/>
      <x:c r="B3375"/>
      <x:c r="C3375"/>
      <x:c r="D3375"/>
      <x:c r="E3375"/>
      <x:c r="F3375"/>
      <x:c r="G3375"/>
    </x:row>
    <x:row r="3376">
      <x:c r="A3376"/>
      <x:c r="B3376"/>
      <x:c r="C3376"/>
      <x:c r="D3376"/>
      <x:c r="E3376"/>
      <x:c r="F3376"/>
      <x:c r="G3376"/>
    </x:row>
    <x:row r="3377">
      <x:c r="A3377"/>
      <x:c r="B3377"/>
      <x:c r="C3377"/>
      <x:c r="D3377"/>
      <x:c r="E3377"/>
      <x:c r="F3377"/>
      <x:c r="G3377"/>
    </x:row>
    <x:row r="3378">
      <x:c r="A3378"/>
      <x:c r="B3378"/>
      <x:c r="C3378"/>
      <x:c r="D3378"/>
      <x:c r="E3378"/>
      <x:c r="F3378"/>
      <x:c r="G3378"/>
    </x:row>
    <x:row r="3379">
      <x:c r="A3379"/>
      <x:c r="B3379"/>
      <x:c r="C3379"/>
      <x:c r="D3379"/>
      <x:c r="E3379"/>
      <x:c r="F3379"/>
      <x:c r="G3379"/>
    </x:row>
    <x:row r="3380">
      <x:c r="A3380"/>
      <x:c r="B3380"/>
      <x:c r="C3380"/>
      <x:c r="D3380"/>
      <x:c r="E3380"/>
      <x:c r="F3380"/>
      <x:c r="G3380"/>
    </x:row>
    <x:row r="3381">
      <x:c r="A3381"/>
      <x:c r="B3381"/>
      <x:c r="C3381"/>
      <x:c r="D3381"/>
      <x:c r="E3381"/>
      <x:c r="F3381"/>
      <x:c r="G3381"/>
    </x:row>
    <x:row r="3382">
      <x:c r="A3382"/>
      <x:c r="B3382"/>
      <x:c r="C3382"/>
      <x:c r="D3382"/>
      <x:c r="E3382"/>
      <x:c r="F3382"/>
      <x:c r="G3382"/>
    </x:row>
    <x:row r="3383">
      <x:c r="A3383"/>
      <x:c r="B3383"/>
      <x:c r="C3383"/>
      <x:c r="D3383"/>
      <x:c r="E3383"/>
      <x:c r="F3383"/>
      <x:c r="G3383"/>
    </x:row>
    <x:row r="3384">
      <x:c r="A3384"/>
      <x:c r="B3384"/>
      <x:c r="C3384"/>
      <x:c r="D3384"/>
      <x:c r="E3384"/>
      <x:c r="F3384"/>
      <x:c r="G3384"/>
    </x:row>
    <x:row r="3385">
      <x:c r="A3385"/>
      <x:c r="B3385"/>
      <x:c r="C3385"/>
      <x:c r="D3385"/>
      <x:c r="E3385"/>
      <x:c r="F3385"/>
      <x:c r="G3385"/>
    </x:row>
    <x:row r="3386">
      <x:c r="A3386"/>
      <x:c r="B3386"/>
      <x:c r="C3386"/>
      <x:c r="D3386"/>
      <x:c r="E3386"/>
      <x:c r="F3386"/>
      <x:c r="G3386"/>
    </x:row>
    <x:row r="3387">
      <x:c r="A3387"/>
      <x:c r="B3387"/>
      <x:c r="C3387"/>
      <x:c r="D3387"/>
      <x:c r="E3387"/>
      <x:c r="F3387"/>
      <x:c r="G3387"/>
    </x:row>
    <x:row r="3388">
      <x:c r="A3388"/>
      <x:c r="B3388"/>
      <x:c r="C3388"/>
      <x:c r="D3388"/>
      <x:c r="E3388"/>
      <x:c r="F3388"/>
      <x:c r="G3388"/>
    </x:row>
    <x:row r="3389">
      <x:c r="A3389"/>
      <x:c r="B3389"/>
      <x:c r="C3389"/>
      <x:c r="D3389"/>
      <x:c r="E3389"/>
      <x:c r="F3389"/>
      <x:c r="G3389"/>
    </x:row>
    <x:row r="3390">
      <x:c r="A3390"/>
      <x:c r="B3390"/>
      <x:c r="C3390"/>
      <x:c r="D3390"/>
      <x:c r="E3390"/>
      <x:c r="F3390"/>
      <x:c r="G3390"/>
    </x:row>
    <x:row r="3391">
      <x:c r="A3391"/>
      <x:c r="B3391"/>
      <x:c r="C3391"/>
      <x:c r="D3391"/>
      <x:c r="E3391"/>
      <x:c r="F3391"/>
      <x:c r="G3391"/>
    </x:row>
    <x:row r="3392">
      <x:c r="A3392"/>
      <x:c r="B3392"/>
      <x:c r="C3392"/>
      <x:c r="D3392"/>
      <x:c r="E3392"/>
      <x:c r="F3392"/>
      <x:c r="G3392"/>
    </x:row>
    <x:row r="3393">
      <x:c r="A3393"/>
      <x:c r="B3393"/>
      <x:c r="C3393"/>
      <x:c r="D3393"/>
      <x:c r="E3393"/>
      <x:c r="F3393"/>
      <x:c r="G3393"/>
    </x:row>
    <x:row r="3394">
      <x:c r="A3394"/>
      <x:c r="B3394"/>
      <x:c r="C3394"/>
      <x:c r="D3394"/>
      <x:c r="E3394"/>
      <x:c r="F3394"/>
      <x:c r="G3394"/>
    </x:row>
    <x:row r="3395">
      <x:c r="A3395"/>
      <x:c r="B3395"/>
      <x:c r="C3395"/>
      <x:c r="D3395"/>
      <x:c r="E3395"/>
      <x:c r="F3395"/>
      <x:c r="G3395"/>
    </x:row>
    <x:row r="3396">
      <x:c r="A3396"/>
      <x:c r="B3396"/>
      <x:c r="C3396"/>
      <x:c r="D3396"/>
      <x:c r="E3396"/>
      <x:c r="F3396"/>
      <x:c r="G3396"/>
    </x:row>
    <x:row r="3397">
      <x:c r="A3397"/>
      <x:c r="B3397"/>
      <x:c r="C3397"/>
      <x:c r="D3397"/>
      <x:c r="E3397"/>
      <x:c r="F3397"/>
      <x:c r="G3397"/>
    </x:row>
    <x:row r="3398">
      <x:c r="A3398"/>
      <x:c r="B3398"/>
      <x:c r="C3398"/>
      <x:c r="D3398"/>
      <x:c r="E3398"/>
      <x:c r="F3398"/>
      <x:c r="G3398"/>
    </x:row>
    <x:row r="3399">
      <x:c r="A3399"/>
      <x:c r="B3399"/>
      <x:c r="C3399"/>
      <x:c r="D3399"/>
      <x:c r="E3399"/>
      <x:c r="F3399"/>
      <x:c r="G3399"/>
    </x:row>
    <x:row r="3400">
      <x:c r="A3400"/>
      <x:c r="B3400"/>
      <x:c r="C3400"/>
      <x:c r="D3400"/>
      <x:c r="E3400"/>
      <x:c r="F3400"/>
      <x:c r="G3400"/>
    </x:row>
    <x:row r="3401">
      <x:c r="A3401"/>
      <x:c r="B3401"/>
      <x:c r="C3401"/>
      <x:c r="D3401"/>
      <x:c r="E3401"/>
      <x:c r="F3401"/>
      <x:c r="G3401"/>
    </x:row>
    <x:row r="3402">
      <x:c r="A3402"/>
      <x:c r="B3402"/>
      <x:c r="C3402"/>
      <x:c r="D3402"/>
      <x:c r="E3402"/>
      <x:c r="F3402"/>
      <x:c r="G3402"/>
    </x:row>
    <x:row r="3403">
      <x:c r="A3403"/>
      <x:c r="B3403"/>
      <x:c r="C3403"/>
      <x:c r="D3403"/>
      <x:c r="E3403"/>
      <x:c r="F3403"/>
      <x:c r="G3403"/>
    </x:row>
    <x:row r="3404">
      <x:c r="A3404"/>
      <x:c r="B3404"/>
      <x:c r="C3404"/>
      <x:c r="D3404"/>
      <x:c r="E3404"/>
      <x:c r="F3404"/>
      <x:c r="G3404"/>
    </x:row>
    <x:row r="3405">
      <x:c r="A3405"/>
      <x:c r="B3405"/>
      <x:c r="C3405"/>
      <x:c r="D3405"/>
      <x:c r="E3405"/>
      <x:c r="F3405"/>
      <x:c r="G3405"/>
    </x:row>
    <x:row r="3406">
      <x:c r="A3406"/>
      <x:c r="B3406"/>
      <x:c r="C3406"/>
      <x:c r="D3406"/>
      <x:c r="E3406"/>
      <x:c r="F3406"/>
      <x:c r="G3406"/>
    </x:row>
    <x:row r="3407">
      <x:c r="A3407"/>
      <x:c r="B3407"/>
      <x:c r="C3407"/>
      <x:c r="D3407"/>
      <x:c r="E3407"/>
      <x:c r="F3407"/>
      <x:c r="G3407"/>
    </x:row>
    <x:row r="3408">
      <x:c r="A3408"/>
      <x:c r="B3408"/>
      <x:c r="C3408"/>
      <x:c r="D3408"/>
      <x:c r="E3408"/>
      <x:c r="F3408"/>
      <x:c r="G3408"/>
    </x:row>
    <x:row r="3409">
      <x:c r="A3409"/>
      <x:c r="B3409"/>
      <x:c r="C3409"/>
      <x:c r="D3409"/>
      <x:c r="E3409"/>
      <x:c r="F3409"/>
      <x:c r="G3409"/>
    </x:row>
    <x:row r="3410">
      <x:c r="A3410"/>
      <x:c r="B3410"/>
      <x:c r="C3410"/>
      <x:c r="D3410"/>
      <x:c r="E3410"/>
      <x:c r="F3410"/>
      <x:c r="G3410"/>
    </x:row>
    <x:row r="3411">
      <x:c r="A3411"/>
      <x:c r="B3411"/>
      <x:c r="C3411"/>
      <x:c r="D3411"/>
      <x:c r="E3411"/>
      <x:c r="F3411"/>
      <x:c r="G3411"/>
    </x:row>
    <x:row r="3412">
      <x:c r="A3412"/>
      <x:c r="B3412"/>
      <x:c r="C3412"/>
      <x:c r="D3412"/>
      <x:c r="E3412"/>
      <x:c r="F3412"/>
      <x:c r="G3412"/>
    </x:row>
    <x:row r="3413">
      <x:c r="A3413"/>
      <x:c r="B3413"/>
      <x:c r="C3413"/>
      <x:c r="D3413"/>
      <x:c r="E3413"/>
      <x:c r="F3413"/>
      <x:c r="G3413"/>
    </x:row>
    <x:row r="3414">
      <x:c r="A3414"/>
      <x:c r="B3414"/>
      <x:c r="C3414"/>
      <x:c r="D3414"/>
      <x:c r="E3414"/>
      <x:c r="F3414"/>
      <x:c r="G3414"/>
    </x:row>
    <x:row r="3415">
      <x:c r="A3415"/>
      <x:c r="B3415"/>
      <x:c r="C3415"/>
      <x:c r="D3415"/>
      <x:c r="E3415"/>
      <x:c r="F3415"/>
      <x:c r="G3415"/>
    </x:row>
    <x:row r="3416">
      <x:c r="A3416"/>
      <x:c r="B3416"/>
      <x:c r="C3416"/>
      <x:c r="D3416"/>
      <x:c r="E3416"/>
      <x:c r="F3416"/>
      <x:c r="G3416"/>
    </x:row>
    <x:row r="3417">
      <x:c r="A3417"/>
      <x:c r="B3417"/>
      <x:c r="C3417"/>
      <x:c r="D3417"/>
      <x:c r="E3417"/>
      <x:c r="F3417"/>
      <x:c r="G3417"/>
    </x:row>
    <x:row r="3418">
      <x:c r="A3418"/>
      <x:c r="B3418"/>
      <x:c r="C3418"/>
      <x:c r="D3418"/>
      <x:c r="E3418"/>
      <x:c r="F3418"/>
      <x:c r="G3418"/>
    </x:row>
    <x:row r="3419">
      <x:c r="A3419"/>
      <x:c r="B3419"/>
      <x:c r="C3419"/>
      <x:c r="D3419"/>
      <x:c r="E3419"/>
      <x:c r="F3419"/>
      <x:c r="G3419"/>
    </x:row>
    <x:row r="3420">
      <x:c r="A3420"/>
      <x:c r="B3420"/>
      <x:c r="C3420"/>
      <x:c r="D3420"/>
      <x:c r="E3420"/>
      <x:c r="F3420"/>
      <x:c r="G3420"/>
    </x:row>
    <x:row r="3421">
      <x:c r="A3421"/>
      <x:c r="B3421"/>
      <x:c r="C3421"/>
      <x:c r="D3421"/>
      <x:c r="E3421"/>
      <x:c r="F3421"/>
      <x:c r="G3421"/>
    </x:row>
    <x:row r="3422">
      <x:c r="A3422"/>
      <x:c r="B3422"/>
      <x:c r="C3422"/>
      <x:c r="D3422"/>
      <x:c r="E3422"/>
      <x:c r="F3422"/>
      <x:c r="G3422"/>
    </x:row>
    <x:row r="3423">
      <x:c r="A3423"/>
      <x:c r="B3423"/>
      <x:c r="C3423"/>
      <x:c r="D3423"/>
      <x:c r="E3423"/>
      <x:c r="F3423"/>
      <x:c r="G3423"/>
    </x:row>
    <x:row r="3424">
      <x:c r="A3424"/>
      <x:c r="B3424"/>
      <x:c r="C3424"/>
      <x:c r="D3424"/>
      <x:c r="E3424"/>
      <x:c r="F3424"/>
      <x:c r="G3424"/>
    </x:row>
    <x:row r="3425">
      <x:c r="A3425"/>
      <x:c r="B3425"/>
      <x:c r="C3425"/>
      <x:c r="D3425"/>
      <x:c r="E3425"/>
      <x:c r="F3425"/>
      <x:c r="G3425"/>
    </x:row>
    <x:row r="3426">
      <x:c r="A3426"/>
      <x:c r="B3426"/>
      <x:c r="C3426"/>
      <x:c r="D3426"/>
      <x:c r="E3426"/>
      <x:c r="F3426"/>
      <x:c r="G3426"/>
    </x:row>
    <x:row r="3427">
      <x:c r="A3427"/>
      <x:c r="B3427"/>
      <x:c r="C3427"/>
      <x:c r="D3427"/>
      <x:c r="E3427"/>
      <x:c r="F3427"/>
      <x:c r="G3427"/>
    </x:row>
    <x:row r="3428">
      <x:c r="A3428"/>
      <x:c r="B3428"/>
      <x:c r="C3428"/>
      <x:c r="D3428"/>
      <x:c r="E3428"/>
      <x:c r="F3428"/>
      <x:c r="G3428"/>
    </x:row>
    <x:row r="3429">
      <x:c r="A3429"/>
      <x:c r="B3429"/>
      <x:c r="C3429"/>
      <x:c r="D3429"/>
      <x:c r="E3429"/>
      <x:c r="F3429"/>
      <x:c r="G3429"/>
    </x:row>
    <x:row r="3430">
      <x:c r="A3430"/>
      <x:c r="B3430"/>
      <x:c r="C3430"/>
      <x:c r="D3430"/>
      <x:c r="E3430"/>
      <x:c r="F3430"/>
      <x:c r="G3430"/>
    </x:row>
    <x:row r="3431">
      <x:c r="A3431"/>
      <x:c r="B3431"/>
      <x:c r="C3431"/>
      <x:c r="D3431"/>
      <x:c r="E3431"/>
      <x:c r="F3431"/>
      <x:c r="G3431"/>
    </x:row>
    <x:row r="3432">
      <x:c r="A3432"/>
      <x:c r="B3432"/>
      <x:c r="C3432"/>
      <x:c r="D3432"/>
      <x:c r="E3432"/>
      <x:c r="F3432"/>
      <x:c r="G3432"/>
    </x:row>
    <x:row r="3433">
      <x:c r="A3433"/>
      <x:c r="B3433"/>
      <x:c r="C3433"/>
      <x:c r="D3433"/>
      <x:c r="E3433"/>
      <x:c r="F3433"/>
      <x:c r="G3433"/>
    </x:row>
    <x:row r="3434">
      <x:c r="A3434"/>
      <x:c r="B3434"/>
      <x:c r="C3434"/>
      <x:c r="D3434"/>
      <x:c r="E3434"/>
      <x:c r="F3434"/>
      <x:c r="G3434"/>
    </x:row>
    <x:row r="3435">
      <x:c r="A3435"/>
      <x:c r="B3435"/>
      <x:c r="C3435"/>
      <x:c r="D3435"/>
      <x:c r="E3435"/>
      <x:c r="F3435"/>
      <x:c r="G3435"/>
    </x:row>
    <x:row r="3436">
      <x:c r="A3436"/>
      <x:c r="B3436"/>
      <x:c r="C3436"/>
      <x:c r="D3436"/>
      <x:c r="E3436"/>
      <x:c r="F3436"/>
      <x:c r="G3436"/>
    </x:row>
    <x:row r="3437">
      <x:c r="A3437"/>
      <x:c r="B3437"/>
      <x:c r="C3437"/>
      <x:c r="D3437"/>
      <x:c r="E3437"/>
      <x:c r="F3437"/>
      <x:c r="G3437"/>
    </x:row>
    <x:row r="3438">
      <x:c r="A3438"/>
      <x:c r="B3438"/>
      <x:c r="C3438"/>
      <x:c r="D3438"/>
      <x:c r="E3438"/>
      <x:c r="F3438"/>
      <x:c r="G3438"/>
    </x:row>
    <x:row r="3439">
      <x:c r="A3439"/>
      <x:c r="B3439"/>
      <x:c r="C3439"/>
      <x:c r="D3439"/>
      <x:c r="E3439"/>
      <x:c r="F3439"/>
      <x:c r="G3439"/>
    </x:row>
    <x:row r="3440">
      <x:c r="A3440"/>
      <x:c r="B3440"/>
      <x:c r="C3440"/>
      <x:c r="D3440"/>
      <x:c r="E3440"/>
      <x:c r="F3440"/>
      <x:c r="G3440"/>
    </x:row>
    <x:row r="3441">
      <x:c r="A3441"/>
      <x:c r="B3441"/>
      <x:c r="C3441"/>
      <x:c r="D3441"/>
      <x:c r="E3441"/>
      <x:c r="F3441"/>
      <x:c r="G3441"/>
    </x:row>
    <x:row r="3442">
      <x:c r="A3442"/>
      <x:c r="B3442"/>
      <x:c r="C3442"/>
      <x:c r="D3442"/>
      <x:c r="E3442"/>
      <x:c r="F3442"/>
      <x:c r="G3442"/>
    </x:row>
    <x:row r="3443">
      <x:c r="A3443"/>
      <x:c r="B3443"/>
      <x:c r="C3443"/>
      <x:c r="D3443"/>
      <x:c r="E3443"/>
      <x:c r="F3443"/>
      <x:c r="G3443"/>
    </x:row>
    <x:row r="3444">
      <x:c r="A3444"/>
      <x:c r="B3444"/>
      <x:c r="C3444"/>
      <x:c r="D3444"/>
      <x:c r="E3444"/>
      <x:c r="F3444"/>
      <x:c r="G3444"/>
    </x:row>
    <x:row r="3445">
      <x:c r="A3445"/>
      <x:c r="B3445"/>
      <x:c r="C3445"/>
      <x:c r="D3445"/>
      <x:c r="E3445"/>
      <x:c r="F3445"/>
      <x:c r="G3445"/>
    </x:row>
    <x:row r="3446">
      <x:c r="A3446"/>
      <x:c r="B3446"/>
      <x:c r="C3446"/>
      <x:c r="D3446"/>
      <x:c r="E3446"/>
      <x:c r="F3446"/>
      <x:c r="G3446"/>
    </x:row>
    <x:row r="3447">
      <x:c r="A3447"/>
      <x:c r="B3447"/>
      <x:c r="C3447"/>
      <x:c r="D3447"/>
      <x:c r="E3447"/>
      <x:c r="F3447"/>
      <x:c r="G3447"/>
    </x:row>
    <x:row r="3448">
      <x:c r="A3448"/>
      <x:c r="B3448"/>
      <x:c r="C3448"/>
      <x:c r="D3448"/>
      <x:c r="E3448"/>
      <x:c r="F3448"/>
      <x:c r="G3448"/>
    </x:row>
    <x:row r="3449">
      <x:c r="A3449"/>
      <x:c r="B3449"/>
      <x:c r="C3449"/>
      <x:c r="D3449"/>
      <x:c r="E3449"/>
      <x:c r="F3449"/>
      <x:c r="G3449"/>
    </x:row>
    <x:row r="3450">
      <x:c r="A3450"/>
      <x:c r="B3450"/>
      <x:c r="C3450"/>
      <x:c r="D3450"/>
      <x:c r="E3450"/>
      <x:c r="F3450"/>
      <x:c r="G3450"/>
    </x:row>
    <x:row r="3451">
      <x:c r="A3451"/>
      <x:c r="B3451"/>
      <x:c r="C3451"/>
      <x:c r="D3451"/>
      <x:c r="E3451"/>
      <x:c r="F3451"/>
      <x:c r="G3451"/>
    </x:row>
    <x:row r="3452">
      <x:c r="A3452"/>
      <x:c r="B3452"/>
      <x:c r="C3452"/>
      <x:c r="D3452"/>
      <x:c r="E3452"/>
      <x:c r="F3452"/>
      <x:c r="G3452"/>
    </x:row>
    <x:row r="3453">
      <x:c r="A3453"/>
      <x:c r="B3453"/>
      <x:c r="C3453"/>
      <x:c r="D3453"/>
      <x:c r="E3453"/>
      <x:c r="F3453"/>
      <x:c r="G3453"/>
    </x:row>
    <x:row r="3454">
      <x:c r="A3454"/>
      <x:c r="B3454"/>
      <x:c r="C3454"/>
      <x:c r="D3454"/>
      <x:c r="E3454"/>
      <x:c r="F3454"/>
      <x:c r="G3454"/>
    </x:row>
    <x:row r="3455">
      <x:c r="A3455"/>
      <x:c r="B3455"/>
      <x:c r="C3455"/>
      <x:c r="D3455"/>
      <x:c r="E3455"/>
      <x:c r="F3455"/>
      <x:c r="G3455"/>
    </x:row>
    <x:row r="3456">
      <x:c r="A3456"/>
      <x:c r="B3456"/>
      <x:c r="C3456"/>
      <x:c r="D3456"/>
      <x:c r="E3456"/>
      <x:c r="F3456"/>
      <x:c r="G3456"/>
    </x:row>
    <x:row r="3457">
      <x:c r="A3457"/>
      <x:c r="B3457"/>
      <x:c r="C3457"/>
      <x:c r="D3457"/>
      <x:c r="E3457"/>
      <x:c r="F3457"/>
      <x:c r="G3457"/>
    </x:row>
    <x:row r="3458">
      <x:c r="A3458"/>
      <x:c r="B3458"/>
      <x:c r="C3458"/>
      <x:c r="D3458"/>
      <x:c r="E3458"/>
      <x:c r="F3458"/>
      <x:c r="G3458"/>
    </x:row>
    <x:row r="3459">
      <x:c r="A3459"/>
      <x:c r="B3459"/>
      <x:c r="C3459"/>
      <x:c r="D3459"/>
      <x:c r="E3459"/>
      <x:c r="F3459"/>
      <x:c r="G3459"/>
    </x:row>
    <x:row r="3460">
      <x:c r="A3460"/>
      <x:c r="B3460"/>
      <x:c r="C3460"/>
      <x:c r="D3460"/>
      <x:c r="E3460"/>
      <x:c r="F3460"/>
      <x:c r="G3460"/>
    </x:row>
    <x:row r="3461">
      <x:c r="A3461"/>
      <x:c r="B3461"/>
      <x:c r="C3461"/>
      <x:c r="D3461"/>
      <x:c r="E3461"/>
      <x:c r="F3461"/>
      <x:c r="G3461"/>
    </x:row>
    <x:row r="3462">
      <x:c r="A3462"/>
      <x:c r="B3462"/>
      <x:c r="C3462"/>
      <x:c r="D3462"/>
      <x:c r="E3462"/>
      <x:c r="F3462"/>
      <x:c r="G3462"/>
    </x:row>
    <x:row r="3463">
      <x:c r="A3463"/>
      <x:c r="B3463"/>
      <x:c r="C3463"/>
      <x:c r="D3463"/>
      <x:c r="E3463"/>
      <x:c r="F3463"/>
      <x:c r="G3463"/>
    </x:row>
    <x:row r="3464">
      <x:c r="A3464"/>
      <x:c r="B3464"/>
      <x:c r="C3464"/>
      <x:c r="D3464"/>
      <x:c r="E3464"/>
      <x:c r="F3464"/>
      <x:c r="G3464"/>
    </x:row>
    <x:row r="3465">
      <x:c r="A3465"/>
      <x:c r="B3465"/>
      <x:c r="C3465"/>
      <x:c r="D3465"/>
      <x:c r="E3465"/>
      <x:c r="F3465"/>
      <x:c r="G3465"/>
    </x:row>
    <x:row r="3466">
      <x:c r="A3466"/>
      <x:c r="B3466"/>
      <x:c r="C3466"/>
      <x:c r="D3466"/>
      <x:c r="E3466"/>
      <x:c r="F3466"/>
      <x:c r="G3466"/>
    </x:row>
    <x:row r="3467">
      <x:c r="A3467"/>
      <x:c r="B3467"/>
      <x:c r="C3467"/>
      <x:c r="D3467"/>
      <x:c r="E3467"/>
      <x:c r="F3467"/>
      <x:c r="G3467"/>
    </x:row>
    <x:row r="3468">
      <x:c r="A3468"/>
      <x:c r="B3468"/>
      <x:c r="C3468"/>
      <x:c r="D3468"/>
      <x:c r="E3468"/>
      <x:c r="F3468"/>
      <x:c r="G3468"/>
    </x:row>
    <x:row r="3469">
      <x:c r="A3469"/>
      <x:c r="B3469"/>
      <x:c r="C3469"/>
      <x:c r="D3469"/>
      <x:c r="E3469"/>
      <x:c r="F3469"/>
      <x:c r="G3469"/>
    </x:row>
    <x:row r="3470">
      <x:c r="A3470"/>
      <x:c r="B3470"/>
      <x:c r="C3470"/>
      <x:c r="D3470"/>
      <x:c r="E3470"/>
      <x:c r="F3470"/>
      <x:c r="G3470"/>
    </x:row>
    <x:row r="3471">
      <x:c r="A3471"/>
      <x:c r="B3471"/>
      <x:c r="C3471"/>
      <x:c r="D3471"/>
      <x:c r="E3471"/>
      <x:c r="F3471"/>
      <x:c r="G3471"/>
    </x:row>
    <x:row r="3472">
      <x:c r="A3472"/>
      <x:c r="B3472"/>
      <x:c r="C3472"/>
      <x:c r="D3472"/>
      <x:c r="E3472"/>
      <x:c r="F3472"/>
      <x:c r="G3472"/>
    </x:row>
    <x:row r="3473">
      <x:c r="A3473"/>
      <x:c r="B3473"/>
      <x:c r="C3473"/>
      <x:c r="D3473"/>
      <x:c r="E3473"/>
      <x:c r="F3473"/>
      <x:c r="G3473"/>
    </x:row>
    <x:row r="3474">
      <x:c r="A3474"/>
      <x:c r="B3474"/>
      <x:c r="C3474"/>
      <x:c r="D3474"/>
      <x:c r="E3474"/>
      <x:c r="F3474"/>
      <x:c r="G3474"/>
    </x:row>
    <x:row r="3475">
      <x:c r="A3475"/>
      <x:c r="B3475"/>
      <x:c r="C3475"/>
      <x:c r="D3475"/>
      <x:c r="E3475"/>
      <x:c r="F3475"/>
      <x:c r="G3475"/>
    </x:row>
    <x:row r="3476">
      <x:c r="A3476"/>
      <x:c r="B3476"/>
      <x:c r="C3476"/>
      <x:c r="D3476"/>
      <x:c r="E3476"/>
      <x:c r="F3476"/>
      <x:c r="G3476"/>
    </x:row>
    <x:row r="3477">
      <x:c r="A3477"/>
      <x:c r="B3477"/>
      <x:c r="C3477"/>
      <x:c r="D3477"/>
      <x:c r="E3477"/>
      <x:c r="F3477"/>
      <x:c r="G3477"/>
    </x:row>
    <x:row r="3478">
      <x:c r="A3478"/>
      <x:c r="B3478"/>
      <x:c r="C3478"/>
      <x:c r="D3478"/>
      <x:c r="E3478"/>
      <x:c r="F3478"/>
      <x:c r="G3478"/>
    </x:row>
    <x:row r="3479">
      <x:c r="A3479"/>
      <x:c r="B3479"/>
      <x:c r="C3479"/>
      <x:c r="D3479"/>
      <x:c r="E3479"/>
      <x:c r="F3479"/>
      <x:c r="G3479"/>
    </x:row>
    <x:row r="3480">
      <x:c r="A3480"/>
      <x:c r="B3480"/>
      <x:c r="C3480"/>
      <x:c r="D3480"/>
      <x:c r="E3480"/>
      <x:c r="F3480"/>
      <x:c r="G3480"/>
    </x:row>
    <x:row r="3481">
      <x:c r="A3481"/>
      <x:c r="B3481"/>
      <x:c r="C3481"/>
      <x:c r="D3481"/>
      <x:c r="E3481"/>
      <x:c r="F3481"/>
      <x:c r="G3481"/>
    </x:row>
    <x:row r="3482">
      <x:c r="A3482"/>
      <x:c r="B3482"/>
      <x:c r="C3482"/>
      <x:c r="D3482"/>
      <x:c r="E3482"/>
      <x:c r="F3482"/>
      <x:c r="G3482"/>
    </x:row>
    <x:row r="3483">
      <x:c r="A3483"/>
      <x:c r="B3483"/>
      <x:c r="C3483"/>
      <x:c r="D3483"/>
      <x:c r="E3483"/>
      <x:c r="F3483"/>
      <x:c r="G3483"/>
    </x:row>
    <x:row r="3484">
      <x:c r="A3484"/>
      <x:c r="B3484"/>
      <x:c r="C3484"/>
      <x:c r="D3484"/>
      <x:c r="E3484"/>
      <x:c r="F3484"/>
      <x:c r="G3484"/>
    </x:row>
    <x:row r="3485">
      <x:c r="A3485"/>
      <x:c r="B3485"/>
      <x:c r="C3485"/>
      <x:c r="D3485"/>
      <x:c r="E3485"/>
      <x:c r="F3485"/>
      <x:c r="G3485"/>
    </x:row>
    <x:row r="3486">
      <x:c r="A3486"/>
      <x:c r="B3486"/>
      <x:c r="C3486"/>
      <x:c r="D3486"/>
      <x:c r="E3486"/>
      <x:c r="F3486"/>
      <x:c r="G3486"/>
    </x:row>
    <x:row r="3487">
      <x:c r="A3487"/>
      <x:c r="B3487"/>
      <x:c r="C3487"/>
      <x:c r="D3487"/>
      <x:c r="E3487"/>
      <x:c r="F3487"/>
      <x:c r="G3487"/>
    </x:row>
    <x:row r="3488">
      <x:c r="A3488"/>
      <x:c r="B3488"/>
      <x:c r="C3488"/>
      <x:c r="D3488"/>
      <x:c r="E3488"/>
      <x:c r="F3488"/>
      <x:c r="G3488"/>
    </x:row>
    <x:row r="3489">
      <x:c r="A3489"/>
      <x:c r="B3489"/>
      <x:c r="C3489"/>
      <x:c r="D3489"/>
      <x:c r="E3489"/>
      <x:c r="F3489"/>
      <x:c r="G3489"/>
    </x:row>
    <x:row r="3490">
      <x:c r="A3490"/>
      <x:c r="B3490"/>
      <x:c r="C3490"/>
      <x:c r="D3490"/>
      <x:c r="E3490"/>
      <x:c r="F3490"/>
      <x:c r="G3490"/>
    </x:row>
    <x:row r="3491">
      <x:c r="A3491"/>
      <x:c r="B3491"/>
      <x:c r="C3491"/>
      <x:c r="D3491"/>
      <x:c r="E3491"/>
      <x:c r="F3491"/>
      <x:c r="G3491"/>
    </x:row>
    <x:row r="3492">
      <x:c r="A3492"/>
      <x:c r="B3492"/>
      <x:c r="C3492"/>
      <x:c r="D3492"/>
      <x:c r="E3492"/>
      <x:c r="F3492"/>
      <x:c r="G3492"/>
    </x:row>
    <x:row r="3493">
      <x:c r="A3493"/>
      <x:c r="B3493"/>
      <x:c r="C3493"/>
      <x:c r="D3493"/>
      <x:c r="E3493"/>
      <x:c r="F3493"/>
      <x:c r="G3493"/>
    </x:row>
    <x:row r="3494">
      <x:c r="A3494"/>
      <x:c r="B3494"/>
      <x:c r="C3494"/>
      <x:c r="D3494"/>
      <x:c r="E3494"/>
      <x:c r="F3494"/>
      <x:c r="G3494"/>
    </x:row>
    <x:row r="3495">
      <x:c r="A3495"/>
      <x:c r="B3495"/>
      <x:c r="C3495"/>
      <x:c r="D3495"/>
      <x:c r="E3495"/>
      <x:c r="F3495"/>
      <x:c r="G3495"/>
    </x:row>
    <x:row r="3496">
      <x:c r="A3496"/>
      <x:c r="B3496"/>
      <x:c r="C3496"/>
      <x:c r="D3496"/>
      <x:c r="E3496"/>
      <x:c r="F3496"/>
      <x:c r="G3496"/>
    </x:row>
    <x:row r="3497">
      <x:c r="A3497"/>
      <x:c r="B3497"/>
      <x:c r="C3497"/>
      <x:c r="D3497"/>
      <x:c r="E3497"/>
      <x:c r="F3497"/>
      <x:c r="G3497"/>
    </x:row>
    <x:row r="3498">
      <x:c r="A3498"/>
      <x:c r="B3498"/>
      <x:c r="C3498"/>
      <x:c r="D3498"/>
      <x:c r="E3498"/>
      <x:c r="F3498"/>
      <x:c r="G3498"/>
    </x:row>
    <x:row r="3499">
      <x:c r="A3499"/>
      <x:c r="B3499"/>
      <x:c r="C3499"/>
      <x:c r="D3499"/>
      <x:c r="E3499"/>
      <x:c r="F3499"/>
      <x:c r="G3499"/>
    </x:row>
    <x:row r="3500">
      <x:c r="A3500"/>
      <x:c r="B3500"/>
      <x:c r="C3500"/>
      <x:c r="D3500"/>
      <x:c r="E3500"/>
      <x:c r="F3500"/>
      <x:c r="G3500"/>
    </x:row>
    <x:row r="3501">
      <x:c r="A3501"/>
      <x:c r="B3501"/>
      <x:c r="C3501"/>
      <x:c r="D3501"/>
      <x:c r="E3501"/>
      <x:c r="F3501"/>
      <x:c r="G3501"/>
    </x:row>
    <x:row r="3502">
      <x:c r="A3502"/>
      <x:c r="B3502"/>
      <x:c r="C3502"/>
      <x:c r="D3502"/>
      <x:c r="E3502"/>
      <x:c r="F3502"/>
      <x:c r="G3502"/>
    </x:row>
    <x:row r="3503">
      <x:c r="A3503"/>
      <x:c r="B3503"/>
      <x:c r="C3503"/>
      <x:c r="D3503"/>
      <x:c r="E3503"/>
      <x:c r="F3503"/>
      <x:c r="G3503"/>
    </x:row>
    <x:row r="3504">
      <x:c r="A3504"/>
      <x:c r="B3504"/>
      <x:c r="C3504"/>
      <x:c r="D3504"/>
      <x:c r="E3504"/>
      <x:c r="F3504"/>
      <x:c r="G3504"/>
    </x:row>
    <x:row r="3505">
      <x:c r="A3505"/>
      <x:c r="B3505"/>
      <x:c r="C3505"/>
      <x:c r="D3505"/>
      <x:c r="E3505"/>
      <x:c r="F3505"/>
      <x:c r="G3505"/>
    </x:row>
    <x:row r="3506">
      <x:c r="A3506"/>
      <x:c r="B3506"/>
      <x:c r="C3506"/>
      <x:c r="D3506"/>
      <x:c r="E3506"/>
      <x:c r="F3506"/>
      <x:c r="G3506"/>
    </x:row>
    <x:row r="3507">
      <x:c r="A3507"/>
      <x:c r="B3507"/>
      <x:c r="C3507"/>
      <x:c r="D3507"/>
      <x:c r="E3507"/>
      <x:c r="F3507"/>
      <x:c r="G3507"/>
    </x:row>
    <x:row r="3508">
      <x:c r="A3508"/>
      <x:c r="B3508"/>
      <x:c r="C3508"/>
      <x:c r="D3508"/>
      <x:c r="E3508"/>
      <x:c r="F3508"/>
      <x:c r="G3508"/>
    </x:row>
    <x:row r="3509">
      <x:c r="A3509"/>
      <x:c r="B3509"/>
      <x:c r="C3509"/>
      <x:c r="D3509"/>
      <x:c r="E3509"/>
      <x:c r="F3509"/>
      <x:c r="G3509"/>
    </x:row>
    <x:row r="3510">
      <x:c r="A3510"/>
      <x:c r="B3510"/>
      <x:c r="C3510"/>
      <x:c r="D3510"/>
      <x:c r="E3510"/>
      <x:c r="F3510"/>
      <x:c r="G3510"/>
    </x:row>
    <x:row r="3511">
      <x:c r="A3511"/>
      <x:c r="B3511"/>
      <x:c r="C3511"/>
      <x:c r="D3511"/>
      <x:c r="E3511"/>
      <x:c r="F3511"/>
      <x:c r="G3511"/>
    </x:row>
    <x:row r="3512">
      <x:c r="A3512"/>
      <x:c r="B3512"/>
      <x:c r="C3512"/>
      <x:c r="D3512"/>
      <x:c r="E3512"/>
      <x:c r="F3512"/>
      <x:c r="G3512"/>
    </x:row>
    <x:row r="3513">
      <x:c r="A3513"/>
      <x:c r="B3513"/>
      <x:c r="C3513"/>
      <x:c r="D3513"/>
      <x:c r="E3513"/>
      <x:c r="F3513"/>
      <x:c r="G3513"/>
    </x:row>
    <x:row r="3514">
      <x:c r="A3514"/>
      <x:c r="B3514"/>
      <x:c r="C3514"/>
      <x:c r="D3514"/>
      <x:c r="E3514"/>
      <x:c r="F3514"/>
      <x:c r="G3514"/>
    </x:row>
    <x:row r="3515">
      <x:c r="A3515"/>
      <x:c r="B3515"/>
      <x:c r="C3515"/>
      <x:c r="D3515"/>
      <x:c r="E3515"/>
      <x:c r="F3515"/>
      <x:c r="G3515"/>
    </x:row>
    <x:row r="3516">
      <x:c r="A3516"/>
      <x:c r="B3516"/>
      <x:c r="C3516"/>
      <x:c r="D3516"/>
      <x:c r="E3516"/>
      <x:c r="F3516"/>
      <x:c r="G3516"/>
    </x:row>
    <x:row r="3517">
      <x:c r="A3517"/>
      <x:c r="B3517"/>
      <x:c r="C3517"/>
      <x:c r="D3517"/>
      <x:c r="E3517"/>
      <x:c r="F3517"/>
      <x:c r="G3517"/>
    </x:row>
    <x:row r="3518">
      <x:c r="A3518"/>
      <x:c r="B3518"/>
      <x:c r="C3518"/>
      <x:c r="D3518"/>
      <x:c r="E3518"/>
      <x:c r="F3518"/>
      <x:c r="G3518"/>
    </x:row>
    <x:row r="3519">
      <x:c r="A3519"/>
      <x:c r="B3519"/>
      <x:c r="C3519"/>
      <x:c r="D3519"/>
      <x:c r="E3519"/>
      <x:c r="F3519"/>
      <x:c r="G3519"/>
    </x:row>
    <x:row r="3520">
      <x:c r="A3520"/>
      <x:c r="B3520"/>
      <x:c r="C3520"/>
      <x:c r="D3520"/>
      <x:c r="E3520"/>
      <x:c r="F3520"/>
      <x:c r="G3520"/>
    </x:row>
    <x:row r="3521">
      <x:c r="A3521"/>
      <x:c r="B3521"/>
      <x:c r="C3521"/>
      <x:c r="D3521"/>
      <x:c r="E3521"/>
      <x:c r="F3521"/>
      <x:c r="G3521"/>
    </x:row>
    <x:row r="3522">
      <x:c r="A3522"/>
      <x:c r="B3522"/>
      <x:c r="C3522"/>
      <x:c r="D3522"/>
      <x:c r="E3522"/>
      <x:c r="F3522"/>
      <x:c r="G3522"/>
    </x:row>
    <x:row r="3523">
      <x:c r="A3523"/>
      <x:c r="B3523"/>
      <x:c r="C3523"/>
      <x:c r="D3523"/>
      <x:c r="E3523"/>
      <x:c r="F3523"/>
      <x:c r="G3523"/>
    </x:row>
    <x:row r="3524">
      <x:c r="A3524"/>
      <x:c r="B3524"/>
      <x:c r="C3524"/>
      <x:c r="D3524"/>
      <x:c r="E3524"/>
      <x:c r="F3524"/>
      <x:c r="G3524"/>
    </x:row>
    <x:row r="3525">
      <x:c r="A3525"/>
      <x:c r="B3525"/>
      <x:c r="C3525"/>
      <x:c r="D3525"/>
      <x:c r="E3525"/>
      <x:c r="F3525"/>
      <x:c r="G3525"/>
    </x:row>
    <x:row r="3526">
      <x:c r="A3526"/>
      <x:c r="B3526"/>
      <x:c r="C3526"/>
      <x:c r="D3526"/>
      <x:c r="E3526"/>
      <x:c r="F3526"/>
      <x:c r="G3526"/>
    </x:row>
    <x:row r="3527">
      <x:c r="A3527"/>
      <x:c r="B3527"/>
      <x:c r="C3527"/>
      <x:c r="D3527"/>
      <x:c r="E3527"/>
      <x:c r="F3527"/>
      <x:c r="G3527"/>
    </x:row>
    <x:row r="3528">
      <x:c r="A3528"/>
      <x:c r="B3528"/>
      <x:c r="C3528"/>
      <x:c r="D3528"/>
      <x:c r="E3528"/>
      <x:c r="F3528"/>
      <x:c r="G3528"/>
    </x:row>
    <x:row r="3529">
      <x:c r="A3529"/>
      <x:c r="B3529"/>
      <x:c r="C3529"/>
      <x:c r="D3529"/>
      <x:c r="E3529"/>
      <x:c r="F3529"/>
      <x:c r="G3529"/>
    </x:row>
    <x:row r="3530">
      <x:c r="A3530"/>
      <x:c r="B3530"/>
      <x:c r="C3530"/>
      <x:c r="D3530"/>
      <x:c r="E3530"/>
      <x:c r="F3530"/>
      <x:c r="G3530"/>
    </x:row>
    <x:row r="3531">
      <x:c r="A3531"/>
      <x:c r="B3531"/>
      <x:c r="C3531"/>
      <x:c r="D3531"/>
      <x:c r="E3531"/>
      <x:c r="F3531"/>
      <x:c r="G3531"/>
    </x:row>
    <x:row r="3532">
      <x:c r="A3532"/>
      <x:c r="B3532"/>
      <x:c r="C3532"/>
      <x:c r="D3532"/>
      <x:c r="E3532"/>
      <x:c r="F3532"/>
      <x:c r="G3532"/>
    </x:row>
    <x:row r="3533">
      <x:c r="A3533"/>
      <x:c r="B3533"/>
      <x:c r="C3533"/>
      <x:c r="D3533"/>
      <x:c r="E3533"/>
      <x:c r="F3533"/>
      <x:c r="G3533"/>
    </x:row>
    <x:row r="3534">
      <x:c r="A3534"/>
      <x:c r="B3534"/>
      <x:c r="C3534"/>
      <x:c r="D3534"/>
      <x:c r="E3534"/>
      <x:c r="F3534"/>
      <x:c r="G3534"/>
    </x:row>
    <x:row r="3535">
      <x:c r="A3535"/>
      <x:c r="B3535"/>
      <x:c r="C3535"/>
      <x:c r="D3535"/>
      <x:c r="E3535"/>
      <x:c r="F3535"/>
      <x:c r="G3535"/>
    </x:row>
    <x:row r="3536">
      <x:c r="A3536"/>
      <x:c r="B3536"/>
      <x:c r="C3536"/>
      <x:c r="D3536"/>
      <x:c r="E3536"/>
      <x:c r="F3536"/>
      <x:c r="G3536"/>
    </x:row>
    <x:row r="3537">
      <x:c r="A3537"/>
      <x:c r="B3537"/>
      <x:c r="C3537"/>
      <x:c r="D3537"/>
      <x:c r="E3537"/>
      <x:c r="F3537"/>
      <x:c r="G3537"/>
    </x:row>
    <x:row r="3538">
      <x:c r="A3538"/>
      <x:c r="B3538"/>
      <x:c r="C3538"/>
      <x:c r="D3538"/>
      <x:c r="E3538"/>
      <x:c r="F3538"/>
      <x:c r="G3538"/>
    </x:row>
    <x:row r="3539">
      <x:c r="A3539"/>
      <x:c r="B3539"/>
      <x:c r="C3539"/>
      <x:c r="D3539"/>
      <x:c r="E3539"/>
      <x:c r="F3539"/>
      <x:c r="G3539"/>
    </x:row>
    <x:row r="3540">
      <x:c r="A3540"/>
      <x:c r="B3540"/>
      <x:c r="C3540"/>
      <x:c r="D3540"/>
      <x:c r="E3540"/>
      <x:c r="F3540"/>
      <x:c r="G3540"/>
    </x:row>
    <x:row r="3541">
      <x:c r="A3541"/>
      <x:c r="B3541"/>
      <x:c r="C3541"/>
      <x:c r="D3541"/>
      <x:c r="E3541"/>
      <x:c r="F3541"/>
      <x:c r="G3541"/>
    </x:row>
    <x:row r="3542">
      <x:c r="A3542"/>
      <x:c r="B3542"/>
      <x:c r="C3542"/>
      <x:c r="D3542"/>
      <x:c r="E3542"/>
      <x:c r="F3542"/>
      <x:c r="G3542"/>
    </x:row>
    <x:row r="3543">
      <x:c r="A3543"/>
      <x:c r="B3543"/>
      <x:c r="C3543"/>
      <x:c r="D3543"/>
      <x:c r="E3543"/>
      <x:c r="F3543"/>
      <x:c r="G3543"/>
    </x:row>
    <x:row r="3544">
      <x:c r="A3544"/>
      <x:c r="B3544"/>
      <x:c r="C3544"/>
      <x:c r="D3544"/>
      <x:c r="E3544"/>
      <x:c r="F3544"/>
      <x:c r="G3544"/>
    </x:row>
    <x:row r="3545">
      <x:c r="A3545"/>
      <x:c r="B3545"/>
      <x:c r="C3545"/>
      <x:c r="D3545"/>
      <x:c r="E3545"/>
      <x:c r="F3545"/>
      <x:c r="G3545"/>
    </x:row>
    <x:row r="3546">
      <x:c r="A3546"/>
      <x:c r="B3546"/>
      <x:c r="C3546"/>
      <x:c r="D3546"/>
      <x:c r="E3546"/>
      <x:c r="F3546"/>
      <x:c r="G3546"/>
    </x:row>
    <x:row r="3547">
      <x:c r="A3547"/>
      <x:c r="B3547"/>
      <x:c r="C3547"/>
      <x:c r="D3547"/>
      <x:c r="E3547"/>
      <x:c r="F3547"/>
      <x:c r="G3547"/>
    </x:row>
    <x:row r="3548">
      <x:c r="A3548"/>
      <x:c r="B3548"/>
      <x:c r="C3548"/>
      <x:c r="D3548"/>
      <x:c r="E3548"/>
      <x:c r="F3548"/>
      <x:c r="G3548"/>
    </x:row>
    <x:row r="3549">
      <x:c r="A3549"/>
      <x:c r="B3549"/>
      <x:c r="C3549"/>
      <x:c r="D3549"/>
      <x:c r="E3549"/>
      <x:c r="F3549"/>
      <x:c r="G3549"/>
    </x:row>
    <x:row r="3550">
      <x:c r="A3550"/>
      <x:c r="B3550"/>
      <x:c r="C3550"/>
      <x:c r="D3550"/>
      <x:c r="E3550"/>
      <x:c r="F3550"/>
      <x:c r="G3550"/>
    </x:row>
    <x:row r="3551">
      <x:c r="A3551"/>
      <x:c r="B3551"/>
      <x:c r="C3551"/>
      <x:c r="D3551"/>
      <x:c r="E3551"/>
      <x:c r="F3551"/>
      <x:c r="G3551"/>
    </x:row>
    <x:row r="3552">
      <x:c r="A3552"/>
      <x:c r="B3552"/>
      <x:c r="C3552"/>
      <x:c r="D3552"/>
      <x:c r="E3552"/>
      <x:c r="F3552"/>
      <x:c r="G3552"/>
    </x:row>
    <x:row r="3553">
      <x:c r="A3553"/>
      <x:c r="B3553"/>
      <x:c r="C3553"/>
      <x:c r="D3553"/>
      <x:c r="E3553"/>
      <x:c r="F3553"/>
      <x:c r="G3553"/>
    </x:row>
    <x:row r="3554">
      <x:c r="A3554"/>
      <x:c r="B3554"/>
      <x:c r="C3554"/>
      <x:c r="D3554"/>
      <x:c r="E3554"/>
      <x:c r="F3554"/>
      <x:c r="G3554"/>
    </x:row>
    <x:row r="3555">
      <x:c r="A3555"/>
      <x:c r="B3555"/>
      <x:c r="C3555"/>
      <x:c r="D3555"/>
      <x:c r="E3555"/>
      <x:c r="F3555"/>
      <x:c r="G3555"/>
    </x:row>
    <x:row r="3556">
      <x:c r="A3556"/>
      <x:c r="B3556"/>
      <x:c r="C3556"/>
      <x:c r="D3556"/>
      <x:c r="E3556"/>
      <x:c r="F3556"/>
      <x:c r="G3556"/>
    </x:row>
    <x:row r="3557">
      <x:c r="A3557"/>
      <x:c r="B3557"/>
      <x:c r="C3557"/>
      <x:c r="D3557"/>
      <x:c r="E3557"/>
      <x:c r="F3557"/>
      <x:c r="G3557"/>
    </x:row>
    <x:row r="3558">
      <x:c r="A3558"/>
      <x:c r="B3558"/>
      <x:c r="C3558"/>
      <x:c r="D3558"/>
      <x:c r="E3558"/>
      <x:c r="F3558"/>
      <x:c r="G3558"/>
    </x:row>
    <x:row r="3559">
      <x:c r="A3559"/>
      <x:c r="B3559"/>
      <x:c r="C3559"/>
      <x:c r="D3559"/>
      <x:c r="E3559"/>
      <x:c r="F3559"/>
      <x:c r="G3559"/>
    </x:row>
    <x:row r="3560">
      <x:c r="A3560"/>
      <x:c r="B3560"/>
      <x:c r="C3560"/>
      <x:c r="D3560"/>
      <x:c r="E3560"/>
      <x:c r="F3560"/>
      <x:c r="G3560"/>
    </x:row>
    <x:row r="3561">
      <x:c r="A3561"/>
      <x:c r="B3561"/>
      <x:c r="C3561"/>
      <x:c r="D3561"/>
      <x:c r="E3561"/>
      <x:c r="F3561"/>
      <x:c r="G3561"/>
    </x:row>
    <x:row r="3562">
      <x:c r="A3562"/>
      <x:c r="B3562"/>
      <x:c r="C3562"/>
      <x:c r="D3562"/>
      <x:c r="E3562"/>
      <x:c r="F3562"/>
      <x:c r="G3562"/>
    </x:row>
    <x:row r="3563">
      <x:c r="A3563"/>
      <x:c r="B3563"/>
      <x:c r="C3563"/>
      <x:c r="D3563"/>
      <x:c r="E3563"/>
      <x:c r="F3563"/>
      <x:c r="G3563"/>
    </x:row>
    <x:row r="3564">
      <x:c r="A3564"/>
      <x:c r="B3564"/>
      <x:c r="C3564"/>
      <x:c r="D3564"/>
      <x:c r="E3564"/>
      <x:c r="F3564"/>
      <x:c r="G3564"/>
    </x:row>
    <x:row r="3565">
      <x:c r="A3565"/>
      <x:c r="B3565"/>
      <x:c r="C3565"/>
      <x:c r="D3565"/>
      <x:c r="E3565"/>
      <x:c r="F3565"/>
      <x:c r="G3565"/>
    </x:row>
    <x:row r="3566">
      <x:c r="A3566"/>
      <x:c r="B3566"/>
      <x:c r="C3566"/>
      <x:c r="D3566"/>
      <x:c r="E3566"/>
      <x:c r="F3566"/>
      <x:c r="G3566"/>
    </x:row>
    <x:row r="3567">
      <x:c r="A3567"/>
      <x:c r="B3567"/>
      <x:c r="C3567"/>
      <x:c r="D3567"/>
      <x:c r="E3567"/>
      <x:c r="F3567"/>
      <x:c r="G3567"/>
    </x:row>
    <x:row r="3568">
      <x:c r="A3568"/>
      <x:c r="B3568"/>
      <x:c r="C3568"/>
      <x:c r="D3568"/>
      <x:c r="E3568"/>
      <x:c r="F3568"/>
      <x:c r="G3568"/>
    </x:row>
    <x:row r="3569">
      <x:c r="A3569"/>
      <x:c r="B3569"/>
      <x:c r="C3569"/>
      <x:c r="D3569"/>
      <x:c r="E3569"/>
      <x:c r="F3569"/>
      <x:c r="G3569"/>
    </x:row>
    <x:row r="3570">
      <x:c r="A3570"/>
      <x:c r="B3570"/>
      <x:c r="C3570"/>
      <x:c r="D3570"/>
      <x:c r="E3570"/>
      <x:c r="F3570"/>
      <x:c r="G3570"/>
    </x:row>
    <x:row r="3571">
      <x:c r="A3571"/>
      <x:c r="B3571"/>
      <x:c r="C3571"/>
      <x:c r="D3571"/>
      <x:c r="E3571"/>
      <x:c r="F3571"/>
      <x:c r="G3571"/>
    </x:row>
    <x:row r="3572">
      <x:c r="A3572"/>
      <x:c r="B3572"/>
      <x:c r="C3572"/>
      <x:c r="D3572"/>
      <x:c r="E3572"/>
      <x:c r="F3572"/>
      <x:c r="G3572"/>
    </x:row>
    <x:row r="3573">
      <x:c r="A3573"/>
      <x:c r="B3573"/>
      <x:c r="C3573"/>
      <x:c r="D3573"/>
      <x:c r="E3573"/>
      <x:c r="F3573"/>
      <x:c r="G3573"/>
    </x:row>
    <x:row r="3574">
      <x:c r="A3574"/>
      <x:c r="B3574"/>
      <x:c r="C3574"/>
      <x:c r="D3574"/>
      <x:c r="E3574"/>
      <x:c r="F3574"/>
      <x:c r="G3574"/>
    </x:row>
    <x:row r="3575">
      <x:c r="A3575"/>
      <x:c r="B3575"/>
      <x:c r="C3575"/>
      <x:c r="D3575"/>
      <x:c r="E3575"/>
      <x:c r="F3575"/>
      <x:c r="G3575"/>
    </x:row>
    <x:row r="3576">
      <x:c r="A3576"/>
      <x:c r="B3576"/>
      <x:c r="C3576"/>
      <x:c r="D3576"/>
      <x:c r="E3576"/>
      <x:c r="F3576"/>
      <x:c r="G3576"/>
    </x:row>
    <x:row r="3577">
      <x:c r="A3577"/>
      <x:c r="B3577"/>
      <x:c r="C3577"/>
      <x:c r="D3577"/>
      <x:c r="E3577"/>
      <x:c r="F3577"/>
      <x:c r="G3577"/>
    </x:row>
    <x:row r="3578">
      <x:c r="A3578"/>
      <x:c r="B3578"/>
      <x:c r="C3578"/>
      <x:c r="D3578"/>
      <x:c r="E3578"/>
      <x:c r="F3578"/>
      <x:c r="G3578"/>
    </x:row>
    <x:row r="3579">
      <x:c r="A3579"/>
      <x:c r="B3579"/>
      <x:c r="C3579"/>
      <x:c r="D3579"/>
      <x:c r="E3579"/>
      <x:c r="F3579"/>
      <x:c r="G3579"/>
    </x:row>
    <x:row r="3580">
      <x:c r="A3580"/>
      <x:c r="B3580"/>
      <x:c r="C3580"/>
      <x:c r="D3580"/>
      <x:c r="E3580"/>
      <x:c r="F3580"/>
      <x:c r="G3580"/>
    </x:row>
    <x:row r="3581">
      <x:c r="A3581"/>
      <x:c r="B3581"/>
      <x:c r="C3581"/>
      <x:c r="D3581"/>
      <x:c r="E3581"/>
      <x:c r="F3581"/>
      <x:c r="G3581"/>
    </x:row>
    <x:row r="3582">
      <x:c r="A3582"/>
      <x:c r="B3582"/>
      <x:c r="C3582"/>
      <x:c r="D3582"/>
      <x:c r="E3582"/>
      <x:c r="F3582"/>
      <x:c r="G3582"/>
    </x:row>
    <x:row r="3583">
      <x:c r="A3583"/>
      <x:c r="B3583"/>
      <x:c r="C3583"/>
      <x:c r="D3583"/>
      <x:c r="E3583"/>
      <x:c r="F3583"/>
      <x:c r="G3583"/>
    </x:row>
    <x:row r="3584">
      <x:c r="A3584"/>
      <x:c r="B3584"/>
      <x:c r="C3584"/>
      <x:c r="D3584"/>
      <x:c r="E3584"/>
      <x:c r="F3584"/>
      <x:c r="G3584"/>
    </x:row>
    <x:row r="3585">
      <x:c r="A3585"/>
      <x:c r="B3585"/>
      <x:c r="C3585"/>
      <x:c r="D3585"/>
      <x:c r="E3585"/>
      <x:c r="F3585"/>
      <x:c r="G3585"/>
    </x:row>
    <x:row r="3586">
      <x:c r="A3586"/>
      <x:c r="B3586"/>
      <x:c r="C3586"/>
      <x:c r="D3586"/>
      <x:c r="E3586"/>
      <x:c r="F3586"/>
      <x:c r="G3586"/>
    </x:row>
    <x:row r="3587">
      <x:c r="A3587"/>
      <x:c r="B3587"/>
      <x:c r="C3587"/>
      <x:c r="D3587"/>
      <x:c r="E3587"/>
      <x:c r="F3587"/>
      <x:c r="G3587"/>
    </x:row>
    <x:row r="3588">
      <x:c r="A3588"/>
      <x:c r="B3588"/>
      <x:c r="C3588"/>
      <x:c r="D3588"/>
      <x:c r="E3588"/>
      <x:c r="F3588"/>
      <x:c r="G3588"/>
    </x:row>
    <x:row r="3589">
      <x:c r="A3589"/>
      <x:c r="B3589"/>
      <x:c r="C3589"/>
      <x:c r="D3589"/>
      <x:c r="E3589"/>
      <x:c r="F3589"/>
      <x:c r="G3589"/>
    </x:row>
    <x:row r="3590">
      <x:c r="A3590"/>
      <x:c r="B3590"/>
      <x:c r="C3590"/>
      <x:c r="D3590"/>
      <x:c r="E3590"/>
      <x:c r="F3590"/>
      <x:c r="G3590"/>
    </x:row>
    <x:row r="3591">
      <x:c r="A3591"/>
      <x:c r="B3591"/>
      <x:c r="C3591"/>
      <x:c r="D3591"/>
      <x:c r="E3591"/>
      <x:c r="F3591"/>
      <x:c r="G3591"/>
    </x:row>
    <x:row r="3592">
      <x:c r="A3592"/>
      <x:c r="B3592"/>
      <x:c r="C3592"/>
      <x:c r="D3592"/>
      <x:c r="E3592"/>
      <x:c r="F3592"/>
      <x:c r="G3592"/>
    </x:row>
    <x:row r="3593">
      <x:c r="A3593"/>
      <x:c r="B3593"/>
      <x:c r="C3593"/>
      <x:c r="D3593"/>
      <x:c r="E3593"/>
      <x:c r="F3593"/>
      <x:c r="G3593"/>
    </x:row>
    <x:row r="3594">
      <x:c r="A3594"/>
      <x:c r="B3594"/>
      <x:c r="C3594"/>
      <x:c r="D3594"/>
      <x:c r="E3594"/>
      <x:c r="F3594"/>
      <x:c r="G3594"/>
    </x:row>
    <x:row r="3595">
      <x:c r="A3595"/>
      <x:c r="B3595"/>
      <x:c r="C3595"/>
      <x:c r="D3595"/>
      <x:c r="E3595"/>
      <x:c r="F3595"/>
      <x:c r="G3595"/>
    </x:row>
    <x:row r="3596">
      <x:c r="A3596"/>
      <x:c r="B3596"/>
      <x:c r="C3596"/>
      <x:c r="D3596"/>
      <x:c r="E3596"/>
      <x:c r="F3596"/>
      <x:c r="G3596"/>
    </x:row>
    <x:row r="3597">
      <x:c r="A3597"/>
      <x:c r="B3597"/>
      <x:c r="C3597"/>
      <x:c r="D3597"/>
      <x:c r="E3597"/>
      <x:c r="F3597"/>
      <x:c r="G3597"/>
    </x:row>
    <x:row r="3598">
      <x:c r="A3598"/>
      <x:c r="B3598"/>
      <x:c r="C3598"/>
      <x:c r="D3598"/>
      <x:c r="E3598"/>
      <x:c r="F3598"/>
      <x:c r="G3598"/>
    </x:row>
    <x:row r="3599">
      <x:c r="A3599"/>
      <x:c r="B3599"/>
      <x:c r="C3599"/>
      <x:c r="D3599"/>
      <x:c r="E3599"/>
      <x:c r="F3599"/>
      <x:c r="G3599"/>
    </x:row>
    <x:row r="3600">
      <x:c r="A3600"/>
      <x:c r="B3600"/>
      <x:c r="C3600"/>
      <x:c r="D3600"/>
      <x:c r="E3600"/>
      <x:c r="F3600"/>
      <x:c r="G3600"/>
    </x:row>
    <x:row r="3601">
      <x:c r="A3601"/>
      <x:c r="B3601"/>
      <x:c r="C3601"/>
      <x:c r="D3601"/>
      <x:c r="E3601"/>
      <x:c r="F3601"/>
      <x:c r="G3601"/>
    </x:row>
    <x:row r="3602">
      <x:c r="A3602"/>
      <x:c r="B3602"/>
      <x:c r="C3602"/>
      <x:c r="D3602"/>
      <x:c r="E3602"/>
      <x:c r="F3602"/>
      <x:c r="G3602"/>
    </x:row>
    <x:row r="3603">
      <x:c r="A3603"/>
      <x:c r="B3603"/>
      <x:c r="C3603"/>
      <x:c r="D3603"/>
      <x:c r="E3603"/>
      <x:c r="F3603"/>
      <x:c r="G3603"/>
    </x:row>
    <x:row r="3604">
      <x:c r="A3604"/>
      <x:c r="B3604"/>
      <x:c r="C3604"/>
      <x:c r="D3604"/>
      <x:c r="E3604"/>
      <x:c r="F3604"/>
      <x:c r="G3604"/>
    </x:row>
    <x:row r="3605">
      <x:c r="A3605"/>
      <x:c r="B3605"/>
      <x:c r="C3605"/>
      <x:c r="D3605"/>
      <x:c r="E3605"/>
      <x:c r="F3605"/>
      <x:c r="G3605"/>
    </x:row>
    <x:row r="3606">
      <x:c r="A3606"/>
      <x:c r="B3606"/>
      <x:c r="C3606"/>
      <x:c r="D3606"/>
      <x:c r="E3606"/>
      <x:c r="F3606"/>
      <x:c r="G3606"/>
    </x:row>
    <x:row r="3607">
      <x:c r="A3607"/>
      <x:c r="B3607"/>
      <x:c r="C3607"/>
      <x:c r="D3607"/>
      <x:c r="E3607"/>
      <x:c r="F3607"/>
      <x:c r="G3607"/>
    </x:row>
    <x:row r="3608">
      <x:c r="A3608"/>
      <x:c r="B3608"/>
      <x:c r="C3608"/>
      <x:c r="D3608"/>
      <x:c r="E3608"/>
      <x:c r="F3608"/>
      <x:c r="G3608"/>
    </x:row>
    <x:row r="3609">
      <x:c r="A3609"/>
      <x:c r="B3609"/>
      <x:c r="C3609"/>
      <x:c r="D3609"/>
      <x:c r="E3609"/>
      <x:c r="F3609"/>
      <x:c r="G3609"/>
    </x:row>
    <x:row r="3610">
      <x:c r="A3610"/>
      <x:c r="B3610"/>
      <x:c r="C3610"/>
      <x:c r="D3610"/>
      <x:c r="E3610"/>
      <x:c r="F3610"/>
      <x:c r="G3610"/>
    </x:row>
    <x:row r="3611">
      <x:c r="A3611"/>
      <x:c r="B3611"/>
      <x:c r="C3611"/>
      <x:c r="D3611"/>
      <x:c r="E3611"/>
      <x:c r="F3611"/>
      <x:c r="G3611"/>
    </x:row>
    <x:row r="3612">
      <x:c r="A3612"/>
      <x:c r="B3612"/>
      <x:c r="C3612"/>
      <x:c r="D3612"/>
      <x:c r="E3612"/>
      <x:c r="F3612"/>
      <x:c r="G3612"/>
    </x:row>
    <x:row r="3613">
      <x:c r="A3613"/>
      <x:c r="B3613"/>
      <x:c r="C3613"/>
      <x:c r="D3613"/>
      <x:c r="E3613"/>
      <x:c r="F3613"/>
      <x:c r="G3613"/>
    </x:row>
    <x:row r="3614">
      <x:c r="A3614"/>
      <x:c r="B3614"/>
      <x:c r="C3614"/>
      <x:c r="D3614"/>
      <x:c r="E3614"/>
      <x:c r="F3614"/>
      <x:c r="G3614"/>
    </x:row>
    <x:row r="3615">
      <x:c r="A3615"/>
      <x:c r="B3615"/>
      <x:c r="C3615"/>
      <x:c r="D3615"/>
      <x:c r="E3615"/>
      <x:c r="F3615"/>
      <x:c r="G3615"/>
    </x:row>
    <x:row r="3616">
      <x:c r="A3616"/>
      <x:c r="B3616"/>
      <x:c r="C3616"/>
      <x:c r="D3616"/>
      <x:c r="E3616"/>
      <x:c r="F3616"/>
      <x:c r="G3616"/>
    </x:row>
    <x:row r="3617">
      <x:c r="A3617"/>
      <x:c r="B3617"/>
      <x:c r="C3617"/>
      <x:c r="D3617"/>
      <x:c r="E3617"/>
      <x:c r="F3617"/>
      <x:c r="G3617"/>
    </x:row>
    <x:row r="3618">
      <x:c r="A3618"/>
      <x:c r="B3618"/>
      <x:c r="C3618"/>
      <x:c r="D3618"/>
      <x:c r="E3618"/>
      <x:c r="F3618"/>
      <x:c r="G3618"/>
    </x:row>
    <x:row r="3619">
      <x:c r="A3619"/>
      <x:c r="B3619"/>
      <x:c r="C3619"/>
      <x:c r="D3619"/>
      <x:c r="E3619"/>
      <x:c r="F3619"/>
      <x:c r="G3619"/>
    </x:row>
    <x:row r="3620">
      <x:c r="A3620"/>
      <x:c r="B3620"/>
      <x:c r="C3620"/>
      <x:c r="D3620"/>
      <x:c r="E3620"/>
      <x:c r="F3620"/>
      <x:c r="G3620"/>
    </x:row>
    <x:row r="3621">
      <x:c r="A3621"/>
      <x:c r="B3621"/>
      <x:c r="C3621"/>
      <x:c r="D3621"/>
      <x:c r="E3621"/>
      <x:c r="F3621"/>
      <x:c r="G3621"/>
    </x:row>
    <x:row r="3622">
      <x:c r="A3622"/>
      <x:c r="B3622"/>
      <x:c r="C3622"/>
      <x:c r="D3622"/>
      <x:c r="E3622"/>
      <x:c r="F3622"/>
      <x:c r="G3622"/>
    </x:row>
    <x:row r="3623">
      <x:c r="A3623"/>
      <x:c r="B3623"/>
      <x:c r="C3623"/>
      <x:c r="D3623"/>
      <x:c r="E3623"/>
      <x:c r="F3623"/>
      <x:c r="G3623"/>
    </x:row>
    <x:row r="3624">
      <x:c r="A3624"/>
      <x:c r="B3624"/>
      <x:c r="C3624"/>
      <x:c r="D3624"/>
      <x:c r="E3624"/>
      <x:c r="F3624"/>
      <x:c r="G3624"/>
    </x:row>
    <x:row r="3625">
      <x:c r="A3625"/>
      <x:c r="B3625"/>
      <x:c r="C3625"/>
      <x:c r="D3625"/>
      <x:c r="E3625"/>
      <x:c r="F3625"/>
      <x:c r="G3625"/>
    </x:row>
    <x:row r="3626">
      <x:c r="A3626"/>
      <x:c r="B3626"/>
      <x:c r="C3626"/>
      <x:c r="D3626"/>
      <x:c r="E3626"/>
      <x:c r="F3626"/>
      <x:c r="G3626"/>
    </x:row>
    <x:row r="3627">
      <x:c r="A3627"/>
      <x:c r="B3627"/>
      <x:c r="C3627"/>
      <x:c r="D3627"/>
      <x:c r="E3627"/>
      <x:c r="F3627"/>
      <x:c r="G3627"/>
    </x:row>
    <x:row r="3628">
      <x:c r="A3628"/>
      <x:c r="B3628"/>
      <x:c r="C3628"/>
      <x:c r="D3628"/>
      <x:c r="E3628"/>
      <x:c r="F3628"/>
      <x:c r="G3628"/>
    </x:row>
    <x:row r="3629">
      <x:c r="A3629"/>
      <x:c r="B3629"/>
      <x:c r="C3629"/>
      <x:c r="D3629"/>
      <x:c r="E3629"/>
      <x:c r="F3629"/>
      <x:c r="G3629"/>
    </x:row>
    <x:row r="3630">
      <x:c r="A3630"/>
      <x:c r="B3630"/>
      <x:c r="C3630"/>
      <x:c r="D3630"/>
      <x:c r="E3630"/>
      <x:c r="F3630"/>
      <x:c r="G3630"/>
    </x:row>
    <x:row r="3631">
      <x:c r="A3631"/>
      <x:c r="B3631"/>
      <x:c r="C3631"/>
      <x:c r="D3631"/>
      <x:c r="E3631"/>
      <x:c r="F3631"/>
      <x:c r="G3631"/>
    </x:row>
    <x:row r="3632">
      <x:c r="A3632"/>
      <x:c r="B3632"/>
      <x:c r="C3632"/>
      <x:c r="D3632"/>
      <x:c r="E3632"/>
      <x:c r="F3632"/>
      <x:c r="G3632"/>
    </x:row>
    <x:row r="3633">
      <x:c r="A3633"/>
      <x:c r="B3633"/>
      <x:c r="C3633"/>
      <x:c r="D3633"/>
      <x:c r="E3633"/>
      <x:c r="F3633"/>
      <x:c r="G3633"/>
    </x:row>
    <x:row r="3634">
      <x:c r="A3634"/>
      <x:c r="B3634"/>
      <x:c r="C3634"/>
      <x:c r="D3634"/>
      <x:c r="E3634"/>
      <x:c r="F3634"/>
      <x:c r="G3634"/>
    </x:row>
    <x:row r="3635">
      <x:c r="A3635"/>
      <x:c r="B3635"/>
      <x:c r="C3635"/>
      <x:c r="D3635"/>
      <x:c r="E3635"/>
      <x:c r="F3635"/>
      <x:c r="G3635"/>
    </x:row>
    <x:row r="3636">
      <x:c r="A3636"/>
      <x:c r="B3636"/>
      <x:c r="C3636"/>
      <x:c r="D3636"/>
      <x:c r="E3636"/>
      <x:c r="F3636"/>
      <x:c r="G3636"/>
    </x:row>
    <x:row r="3637">
      <x:c r="A3637"/>
      <x:c r="B3637"/>
      <x:c r="C3637"/>
      <x:c r="D3637"/>
      <x:c r="E3637"/>
      <x:c r="F3637"/>
      <x:c r="G3637"/>
    </x:row>
    <x:row r="3638">
      <x:c r="A3638"/>
      <x:c r="B3638"/>
      <x:c r="C3638"/>
      <x:c r="D3638"/>
      <x:c r="E3638"/>
      <x:c r="F3638"/>
      <x:c r="G3638"/>
    </x:row>
    <x:row r="3639">
      <x:c r="A3639"/>
      <x:c r="B3639"/>
      <x:c r="C3639"/>
      <x:c r="D3639"/>
      <x:c r="E3639"/>
      <x:c r="F3639"/>
      <x:c r="G3639"/>
    </x:row>
    <x:row r="3640">
      <x:c r="A3640"/>
      <x:c r="B3640"/>
      <x:c r="C3640"/>
      <x:c r="D3640"/>
      <x:c r="E3640"/>
      <x:c r="F3640"/>
      <x:c r="G3640"/>
    </x:row>
    <x:row r="3641">
      <x:c r="A3641"/>
      <x:c r="B3641"/>
      <x:c r="C3641"/>
      <x:c r="D3641"/>
      <x:c r="E3641"/>
      <x:c r="F3641"/>
      <x:c r="G3641"/>
    </x:row>
    <x:row r="3642">
      <x:c r="A3642"/>
      <x:c r="B3642"/>
      <x:c r="C3642"/>
      <x:c r="D3642"/>
      <x:c r="E3642"/>
      <x:c r="F3642"/>
      <x:c r="G3642"/>
    </x:row>
    <x:row r="3643">
      <x:c r="A3643"/>
      <x:c r="B3643"/>
      <x:c r="C3643"/>
      <x:c r="D3643"/>
      <x:c r="E3643"/>
      <x:c r="F3643"/>
      <x:c r="G3643"/>
    </x:row>
    <x:row r="3644">
      <x:c r="A3644"/>
      <x:c r="B3644"/>
      <x:c r="C3644"/>
      <x:c r="D3644"/>
      <x:c r="E3644"/>
      <x:c r="F3644"/>
      <x:c r="G3644"/>
    </x:row>
    <x:row r="3645">
      <x:c r="A3645"/>
      <x:c r="B3645"/>
      <x:c r="C3645"/>
      <x:c r="D3645"/>
      <x:c r="E3645"/>
      <x:c r="F3645"/>
      <x:c r="G3645"/>
    </x:row>
    <x:row r="3646">
      <x:c r="A3646"/>
      <x:c r="B3646"/>
      <x:c r="C3646"/>
      <x:c r="D3646"/>
      <x:c r="E3646"/>
      <x:c r="F3646"/>
      <x:c r="G3646"/>
    </x:row>
    <x:row r="3647">
      <x:c r="A3647"/>
      <x:c r="B3647"/>
      <x:c r="C3647"/>
      <x:c r="D3647"/>
      <x:c r="E3647"/>
      <x:c r="F3647"/>
      <x:c r="G3647"/>
    </x:row>
    <x:row r="3648">
      <x:c r="A3648"/>
      <x:c r="B3648"/>
      <x:c r="C3648"/>
      <x:c r="D3648"/>
      <x:c r="E3648"/>
      <x:c r="F3648"/>
      <x:c r="G3648"/>
    </x:row>
    <x:row r="3649">
      <x:c r="A3649"/>
      <x:c r="B3649"/>
      <x:c r="C3649"/>
      <x:c r="D3649"/>
      <x:c r="E3649"/>
      <x:c r="F3649"/>
      <x:c r="G3649"/>
    </x:row>
    <x:row r="3650">
      <x:c r="A3650"/>
      <x:c r="B3650"/>
      <x:c r="C3650"/>
      <x:c r="D3650"/>
      <x:c r="E3650"/>
      <x:c r="F3650"/>
      <x:c r="G3650"/>
    </x:row>
    <x:row r="3651">
      <x:c r="A3651"/>
      <x:c r="B3651"/>
      <x:c r="C3651"/>
      <x:c r="D3651"/>
      <x:c r="E3651"/>
      <x:c r="F3651"/>
      <x:c r="G3651"/>
    </x:row>
    <x:row r="3652">
      <x:c r="A3652"/>
      <x:c r="B3652"/>
      <x:c r="C3652"/>
      <x:c r="D3652"/>
      <x:c r="E3652"/>
      <x:c r="F3652"/>
      <x:c r="G3652"/>
    </x:row>
    <x:row r="3653">
      <x:c r="A3653"/>
      <x:c r="B3653"/>
      <x:c r="C3653"/>
      <x:c r="D3653"/>
      <x:c r="E3653"/>
      <x:c r="F3653"/>
      <x:c r="G3653"/>
    </x:row>
    <x:row r="3654">
      <x:c r="A3654"/>
      <x:c r="B3654"/>
      <x:c r="C3654"/>
      <x:c r="D3654"/>
      <x:c r="E3654"/>
      <x:c r="F3654"/>
      <x:c r="G3654"/>
    </x:row>
    <x:row r="3655">
      <x:c r="A3655"/>
      <x:c r="B3655"/>
      <x:c r="C3655"/>
      <x:c r="D3655"/>
      <x:c r="E3655"/>
      <x:c r="F3655"/>
      <x:c r="G3655"/>
    </x:row>
    <x:row r="3656">
      <x:c r="A3656"/>
      <x:c r="B3656"/>
      <x:c r="C3656"/>
      <x:c r="D3656"/>
      <x:c r="E3656"/>
      <x:c r="F3656"/>
      <x:c r="G3656"/>
    </x:row>
    <x:row r="3657">
      <x:c r="A3657"/>
      <x:c r="B3657"/>
      <x:c r="C3657"/>
      <x:c r="D3657"/>
      <x:c r="E3657"/>
      <x:c r="F3657"/>
      <x:c r="G3657"/>
    </x:row>
    <x:row r="3658">
      <x:c r="A3658"/>
      <x:c r="B3658"/>
      <x:c r="C3658"/>
      <x:c r="D3658"/>
      <x:c r="E3658"/>
      <x:c r="F3658"/>
      <x:c r="G3658"/>
    </x:row>
    <x:row r="3659">
      <x:c r="A3659"/>
      <x:c r="B3659"/>
      <x:c r="C3659"/>
      <x:c r="D3659"/>
      <x:c r="E3659"/>
      <x:c r="F3659"/>
      <x:c r="G3659"/>
    </x:row>
    <x:row r="3660">
      <x:c r="A3660"/>
      <x:c r="B3660"/>
      <x:c r="C3660"/>
      <x:c r="D3660"/>
      <x:c r="E3660"/>
      <x:c r="F3660"/>
      <x:c r="G3660"/>
    </x:row>
    <x:row r="3661">
      <x:c r="A3661"/>
      <x:c r="B3661"/>
      <x:c r="C3661"/>
      <x:c r="D3661"/>
      <x:c r="E3661"/>
      <x:c r="F3661"/>
      <x:c r="G3661"/>
    </x:row>
    <x:row r="3662">
      <x:c r="A3662"/>
      <x:c r="B3662"/>
      <x:c r="C3662"/>
      <x:c r="D3662"/>
      <x:c r="E3662"/>
      <x:c r="F3662"/>
      <x:c r="G3662"/>
    </x:row>
    <x:row r="3663">
      <x:c r="A3663"/>
      <x:c r="B3663"/>
      <x:c r="C3663"/>
      <x:c r="D3663"/>
      <x:c r="E3663"/>
      <x:c r="F3663"/>
      <x:c r="G3663"/>
    </x:row>
    <x:row r="3664">
      <x:c r="A3664"/>
      <x:c r="B3664"/>
      <x:c r="C3664"/>
      <x:c r="D3664"/>
      <x:c r="E3664"/>
      <x:c r="F3664"/>
      <x:c r="G3664"/>
    </x:row>
    <x:row r="3665">
      <x:c r="A3665"/>
      <x:c r="B3665"/>
      <x:c r="C3665"/>
      <x:c r="D3665"/>
      <x:c r="E3665"/>
      <x:c r="F3665"/>
      <x:c r="G3665"/>
    </x:row>
    <x:row r="3666">
      <x:c r="A3666"/>
      <x:c r="B3666"/>
      <x:c r="C3666"/>
      <x:c r="D3666"/>
      <x:c r="E3666"/>
      <x:c r="F3666"/>
      <x:c r="G3666"/>
    </x:row>
    <x:row r="3667">
      <x:c r="A3667"/>
      <x:c r="B3667"/>
      <x:c r="C3667"/>
      <x:c r="D3667"/>
      <x:c r="E3667"/>
      <x:c r="F3667"/>
      <x:c r="G3667"/>
    </x:row>
    <x:row r="3668">
      <x:c r="A3668"/>
      <x:c r="B3668"/>
      <x:c r="C3668"/>
      <x:c r="D3668"/>
      <x:c r="E3668"/>
      <x:c r="F3668"/>
      <x:c r="G3668"/>
    </x:row>
    <x:row r="3669">
      <x:c r="A3669"/>
      <x:c r="B3669"/>
      <x:c r="C3669"/>
      <x:c r="D3669"/>
      <x:c r="E3669"/>
      <x:c r="F3669"/>
      <x:c r="G3669"/>
    </x:row>
    <x:row r="3670">
      <x:c r="A3670"/>
      <x:c r="B3670"/>
      <x:c r="C3670"/>
      <x:c r="D3670"/>
      <x:c r="E3670"/>
      <x:c r="F3670"/>
      <x:c r="G3670"/>
    </x:row>
    <x:row r="3671">
      <x:c r="A3671"/>
      <x:c r="B3671"/>
      <x:c r="C3671"/>
      <x:c r="D3671"/>
      <x:c r="E3671"/>
      <x:c r="F3671"/>
      <x:c r="G3671"/>
    </x:row>
    <x:row r="3672">
      <x:c r="A3672"/>
      <x:c r="B3672"/>
      <x:c r="C3672"/>
      <x:c r="D3672"/>
      <x:c r="E3672"/>
      <x:c r="F3672"/>
      <x:c r="G3672"/>
    </x:row>
    <x:row r="3673">
      <x:c r="A3673"/>
      <x:c r="B3673"/>
      <x:c r="C3673"/>
      <x:c r="D3673"/>
      <x:c r="E3673"/>
      <x:c r="F3673"/>
      <x:c r="G3673"/>
    </x:row>
    <x:row r="3674">
      <x:c r="A3674"/>
      <x:c r="B3674"/>
      <x:c r="C3674"/>
      <x:c r="D3674"/>
      <x:c r="E3674"/>
      <x:c r="F3674"/>
      <x:c r="G3674"/>
    </x:row>
    <x:row r="3675">
      <x:c r="A3675"/>
      <x:c r="B3675"/>
      <x:c r="C3675"/>
      <x:c r="D3675"/>
      <x:c r="E3675"/>
      <x:c r="F3675"/>
      <x:c r="G3675"/>
    </x:row>
    <x:row r="3676">
      <x:c r="A3676"/>
      <x:c r="B3676"/>
      <x:c r="C3676"/>
      <x:c r="D3676"/>
      <x:c r="E3676"/>
      <x:c r="F3676"/>
      <x:c r="G3676"/>
    </x:row>
    <x:row r="3677">
      <x:c r="A3677"/>
      <x:c r="B3677"/>
      <x:c r="C3677"/>
      <x:c r="D3677"/>
      <x:c r="E3677"/>
      <x:c r="F3677"/>
      <x:c r="G3677"/>
    </x:row>
    <x:row r="3678">
      <x:c r="A3678"/>
      <x:c r="B3678"/>
      <x:c r="C3678"/>
      <x:c r="D3678"/>
      <x:c r="E3678"/>
      <x:c r="F3678"/>
      <x:c r="G3678"/>
    </x:row>
    <x:row r="3679">
      <x:c r="A3679"/>
      <x:c r="B3679"/>
      <x:c r="C3679"/>
      <x:c r="D3679"/>
      <x:c r="E3679"/>
      <x:c r="F3679"/>
      <x:c r="G3679"/>
    </x:row>
    <x:row r="3680">
      <x:c r="A3680"/>
      <x:c r="B3680"/>
      <x:c r="C3680"/>
      <x:c r="D3680"/>
      <x:c r="E3680"/>
      <x:c r="F3680"/>
      <x:c r="G3680"/>
    </x:row>
    <x:row r="3681">
      <x:c r="A3681"/>
      <x:c r="B3681"/>
      <x:c r="C3681"/>
      <x:c r="D3681"/>
      <x:c r="E3681"/>
      <x:c r="F3681"/>
      <x:c r="G3681"/>
    </x:row>
    <x:row r="3682">
      <x:c r="A3682"/>
      <x:c r="B3682"/>
      <x:c r="C3682"/>
      <x:c r="D3682"/>
      <x:c r="E3682"/>
      <x:c r="F3682"/>
      <x:c r="G3682"/>
    </x:row>
    <x:row r="3683">
      <x:c r="A3683"/>
      <x:c r="B3683"/>
      <x:c r="C3683"/>
      <x:c r="D3683"/>
      <x:c r="E3683"/>
      <x:c r="F3683"/>
      <x:c r="G3683"/>
    </x:row>
    <x:row r="3684">
      <x:c r="A3684"/>
      <x:c r="B3684"/>
      <x:c r="C3684"/>
      <x:c r="D3684"/>
      <x:c r="E3684"/>
      <x:c r="F3684"/>
      <x:c r="G3684"/>
    </x:row>
    <x:row r="3685">
      <x:c r="A3685"/>
      <x:c r="B3685"/>
      <x:c r="C3685"/>
      <x:c r="D3685"/>
      <x:c r="E3685"/>
      <x:c r="F3685"/>
      <x:c r="G3685"/>
    </x:row>
    <x:row r="3686">
      <x:c r="A3686"/>
      <x:c r="B3686"/>
      <x:c r="C3686"/>
      <x:c r="D3686"/>
      <x:c r="E3686"/>
      <x:c r="F3686"/>
      <x:c r="G3686"/>
    </x:row>
    <x:row r="3687">
      <x:c r="A3687"/>
      <x:c r="B3687"/>
      <x:c r="C3687"/>
      <x:c r="D3687"/>
      <x:c r="E3687"/>
      <x:c r="F3687"/>
      <x:c r="G3687"/>
    </x:row>
    <x:row r="3688">
      <x:c r="A3688"/>
      <x:c r="B3688"/>
      <x:c r="C3688"/>
      <x:c r="D3688"/>
      <x:c r="E3688"/>
      <x:c r="F3688"/>
      <x:c r="G3688"/>
    </x:row>
    <x:row r="3689">
      <x:c r="A3689"/>
      <x:c r="B3689"/>
      <x:c r="C3689"/>
      <x:c r="D3689"/>
      <x:c r="E3689"/>
      <x:c r="F3689"/>
      <x:c r="G3689"/>
    </x:row>
    <x:row r="3690">
      <x:c r="A3690"/>
      <x:c r="B3690"/>
      <x:c r="C3690"/>
      <x:c r="D3690"/>
      <x:c r="E3690"/>
      <x:c r="F3690"/>
      <x:c r="G3690"/>
    </x:row>
    <x:row r="3691">
      <x:c r="A3691"/>
      <x:c r="B3691"/>
      <x:c r="C3691"/>
      <x:c r="D3691"/>
      <x:c r="E3691"/>
      <x:c r="F3691"/>
      <x:c r="G3691"/>
    </x:row>
    <x:row r="3692">
      <x:c r="A3692"/>
      <x:c r="B3692"/>
      <x:c r="C3692"/>
      <x:c r="D3692"/>
      <x:c r="E3692"/>
      <x:c r="F3692"/>
      <x:c r="G3692"/>
    </x:row>
    <x:row r="3693">
      <x:c r="A3693"/>
      <x:c r="B3693"/>
      <x:c r="C3693"/>
      <x:c r="D3693"/>
      <x:c r="E3693"/>
      <x:c r="F3693"/>
      <x:c r="G3693"/>
    </x:row>
    <x:row r="3694">
      <x:c r="A3694"/>
      <x:c r="B3694"/>
      <x:c r="C3694"/>
      <x:c r="D3694"/>
      <x:c r="E3694"/>
      <x:c r="F3694"/>
      <x:c r="G3694"/>
    </x:row>
    <x:row r="3695">
      <x:c r="A3695"/>
      <x:c r="B3695"/>
      <x:c r="C3695"/>
      <x:c r="D3695"/>
      <x:c r="E3695"/>
      <x:c r="F3695"/>
      <x:c r="G3695"/>
    </x:row>
    <x:row r="3696">
      <x:c r="A3696"/>
      <x:c r="B3696"/>
      <x:c r="C3696"/>
      <x:c r="D3696"/>
      <x:c r="E3696"/>
      <x:c r="F3696"/>
      <x:c r="G3696"/>
    </x:row>
    <x:row r="3697">
      <x:c r="A3697"/>
      <x:c r="B3697"/>
      <x:c r="C3697"/>
      <x:c r="D3697"/>
      <x:c r="E3697"/>
      <x:c r="F3697"/>
      <x:c r="G3697"/>
    </x:row>
    <x:row r="3698">
      <x:c r="A3698"/>
      <x:c r="B3698"/>
      <x:c r="C3698"/>
      <x:c r="D3698"/>
      <x:c r="E3698"/>
      <x:c r="F3698"/>
      <x:c r="G3698"/>
    </x:row>
    <x:row r="3699">
      <x:c r="A3699"/>
      <x:c r="B3699"/>
      <x:c r="C3699"/>
      <x:c r="D3699"/>
      <x:c r="E3699"/>
      <x:c r="F3699"/>
      <x:c r="G3699"/>
    </x:row>
    <x:row r="3700">
      <x:c r="A3700"/>
      <x:c r="B3700"/>
      <x:c r="C3700"/>
      <x:c r="D3700"/>
      <x:c r="E3700"/>
      <x:c r="F3700"/>
      <x:c r="G3700"/>
    </x:row>
    <x:row r="3701">
      <x:c r="A3701"/>
      <x:c r="B3701"/>
      <x:c r="C3701"/>
      <x:c r="D3701"/>
      <x:c r="E3701"/>
      <x:c r="F3701"/>
      <x:c r="G3701"/>
    </x:row>
    <x:row r="3702">
      <x:c r="A3702"/>
      <x:c r="B3702"/>
      <x:c r="C3702"/>
      <x:c r="D3702"/>
      <x:c r="E3702"/>
      <x:c r="F3702"/>
      <x:c r="G3702"/>
    </x:row>
    <x:row r="3703">
      <x:c r="A3703"/>
      <x:c r="B3703"/>
      <x:c r="C3703"/>
      <x:c r="D3703"/>
      <x:c r="E3703"/>
      <x:c r="F3703"/>
      <x:c r="G3703"/>
    </x:row>
    <x:row r="3704">
      <x:c r="A3704"/>
      <x:c r="B3704"/>
      <x:c r="C3704"/>
      <x:c r="D3704"/>
      <x:c r="E3704"/>
      <x:c r="F3704"/>
      <x:c r="G3704"/>
    </x:row>
    <x:row r="3705">
      <x:c r="A3705"/>
      <x:c r="B3705"/>
      <x:c r="C3705"/>
      <x:c r="D3705"/>
      <x:c r="E3705"/>
      <x:c r="F3705"/>
      <x:c r="G3705"/>
    </x:row>
    <x:row r="3706">
      <x:c r="A3706"/>
      <x:c r="B3706"/>
      <x:c r="C3706"/>
      <x:c r="D3706"/>
      <x:c r="E3706"/>
      <x:c r="F3706"/>
      <x:c r="G3706"/>
    </x:row>
    <x:row r="3707">
      <x:c r="A3707"/>
      <x:c r="B3707"/>
      <x:c r="C3707"/>
      <x:c r="D3707"/>
      <x:c r="E3707"/>
      <x:c r="F3707"/>
      <x:c r="G3707"/>
    </x:row>
    <x:row r="3708">
      <x:c r="A3708"/>
      <x:c r="B3708"/>
      <x:c r="C3708"/>
      <x:c r="D3708"/>
      <x:c r="E3708"/>
      <x:c r="F3708"/>
      <x:c r="G3708"/>
    </x:row>
    <x:row r="3709">
      <x:c r="A3709"/>
      <x:c r="B3709"/>
      <x:c r="C3709"/>
      <x:c r="D3709"/>
      <x:c r="E3709"/>
      <x:c r="F3709"/>
      <x:c r="G3709"/>
    </x:row>
    <x:row r="3710">
      <x:c r="A3710"/>
      <x:c r="B3710"/>
      <x:c r="C3710"/>
      <x:c r="D3710"/>
      <x:c r="E3710"/>
      <x:c r="F3710"/>
      <x:c r="G3710"/>
    </x:row>
    <x:row r="3711">
      <x:c r="A3711"/>
      <x:c r="B3711"/>
      <x:c r="C3711"/>
      <x:c r="D3711"/>
      <x:c r="E3711"/>
      <x:c r="F3711"/>
      <x:c r="G3711"/>
    </x:row>
    <x:row r="3712">
      <x:c r="A3712"/>
      <x:c r="B3712"/>
      <x:c r="C3712"/>
      <x:c r="D3712"/>
      <x:c r="E3712"/>
      <x:c r="F3712"/>
      <x:c r="G3712"/>
    </x:row>
    <x:row r="3713">
      <x:c r="A3713"/>
      <x:c r="B3713"/>
      <x:c r="C3713"/>
      <x:c r="D3713"/>
      <x:c r="E3713"/>
      <x:c r="F3713"/>
      <x:c r="G3713"/>
    </x:row>
    <x:row r="3714">
      <x:c r="A3714"/>
      <x:c r="B3714"/>
      <x:c r="C3714"/>
      <x:c r="D3714"/>
      <x:c r="E3714"/>
      <x:c r="F3714"/>
      <x:c r="G3714"/>
    </x:row>
    <x:row r="3715">
      <x:c r="A3715"/>
      <x:c r="B3715"/>
      <x:c r="C3715"/>
      <x:c r="D3715"/>
      <x:c r="E3715"/>
      <x:c r="F3715"/>
      <x:c r="G3715"/>
    </x:row>
    <x:row r="3716">
      <x:c r="A3716"/>
      <x:c r="B3716"/>
      <x:c r="C3716"/>
      <x:c r="D3716"/>
      <x:c r="E3716"/>
      <x:c r="F3716"/>
      <x:c r="G3716"/>
    </x:row>
    <x:row r="3717">
      <x:c r="A3717"/>
      <x:c r="B3717"/>
      <x:c r="C3717"/>
      <x:c r="D3717"/>
      <x:c r="E3717"/>
      <x:c r="F3717"/>
      <x:c r="G3717"/>
    </x:row>
    <x:row r="3718">
      <x:c r="A3718"/>
      <x:c r="B3718"/>
      <x:c r="C3718"/>
      <x:c r="D3718"/>
      <x:c r="E3718"/>
      <x:c r="F3718"/>
      <x:c r="G3718"/>
    </x:row>
    <x:row r="3719">
      <x:c r="A3719"/>
      <x:c r="B3719"/>
      <x:c r="C3719"/>
      <x:c r="D3719"/>
      <x:c r="E3719"/>
      <x:c r="F3719"/>
      <x:c r="G3719"/>
    </x:row>
    <x:row r="3720">
      <x:c r="A3720"/>
      <x:c r="B3720"/>
      <x:c r="C3720"/>
      <x:c r="D3720"/>
      <x:c r="E3720"/>
      <x:c r="F3720"/>
      <x:c r="G3720"/>
    </x:row>
    <x:row r="3721">
      <x:c r="A3721"/>
      <x:c r="B3721"/>
      <x:c r="C3721"/>
      <x:c r="D3721"/>
      <x:c r="E3721"/>
      <x:c r="F3721"/>
      <x:c r="G3721"/>
    </x:row>
    <x:row r="3722">
      <x:c r="A3722"/>
      <x:c r="B3722"/>
      <x:c r="C3722"/>
      <x:c r="D3722"/>
      <x:c r="E3722"/>
      <x:c r="F3722"/>
      <x:c r="G3722"/>
    </x:row>
    <x:row r="3723">
      <x:c r="A3723"/>
      <x:c r="B3723"/>
      <x:c r="C3723"/>
      <x:c r="D3723"/>
      <x:c r="E3723"/>
      <x:c r="F3723"/>
      <x:c r="G3723"/>
    </x:row>
    <x:row r="3724">
      <x:c r="A3724"/>
      <x:c r="B3724"/>
      <x:c r="C3724"/>
      <x:c r="D3724"/>
      <x:c r="E3724"/>
      <x:c r="F3724"/>
      <x:c r="G3724"/>
    </x:row>
    <x:row r="3725">
      <x:c r="A3725"/>
      <x:c r="B3725"/>
      <x:c r="C3725"/>
      <x:c r="D3725"/>
      <x:c r="E3725"/>
      <x:c r="F3725"/>
      <x:c r="G3725"/>
    </x:row>
    <x:row r="3726">
      <x:c r="A3726"/>
      <x:c r="B3726"/>
      <x:c r="C3726"/>
      <x:c r="D3726"/>
      <x:c r="E3726"/>
      <x:c r="F3726"/>
      <x:c r="G3726"/>
    </x:row>
    <x:row r="3727">
      <x:c r="A3727"/>
      <x:c r="B3727"/>
      <x:c r="C3727"/>
      <x:c r="D3727"/>
      <x:c r="E3727"/>
      <x:c r="F3727"/>
      <x:c r="G3727"/>
    </x:row>
    <x:row r="3728">
      <x:c r="A3728"/>
      <x:c r="B3728"/>
      <x:c r="C3728"/>
      <x:c r="D3728"/>
      <x:c r="E3728"/>
      <x:c r="F3728"/>
      <x:c r="G3728"/>
    </x:row>
    <x:row r="3729">
      <x:c r="A3729"/>
      <x:c r="B3729"/>
      <x:c r="C3729"/>
      <x:c r="D3729"/>
      <x:c r="E3729"/>
      <x:c r="F3729"/>
      <x:c r="G3729"/>
    </x:row>
    <x:row r="3730">
      <x:c r="A3730"/>
      <x:c r="B3730"/>
      <x:c r="C3730"/>
      <x:c r="D3730"/>
      <x:c r="E3730"/>
      <x:c r="F3730"/>
      <x:c r="G3730"/>
    </x:row>
    <x:row r="3731">
      <x:c r="A3731"/>
      <x:c r="B3731"/>
      <x:c r="C3731"/>
      <x:c r="D3731"/>
      <x:c r="E3731"/>
      <x:c r="F3731"/>
      <x:c r="G3731"/>
    </x:row>
    <x:row r="3732">
      <x:c r="A3732"/>
      <x:c r="B3732"/>
      <x:c r="C3732"/>
      <x:c r="D3732"/>
      <x:c r="E3732"/>
      <x:c r="F3732"/>
      <x:c r="G3732"/>
    </x:row>
    <x:row r="3733">
      <x:c r="A3733"/>
      <x:c r="B3733"/>
      <x:c r="C3733"/>
      <x:c r="D3733"/>
      <x:c r="E3733"/>
      <x:c r="F3733"/>
      <x:c r="G3733"/>
    </x:row>
    <x:row r="3734">
      <x:c r="A3734"/>
      <x:c r="B3734"/>
      <x:c r="C3734"/>
      <x:c r="D3734"/>
      <x:c r="E3734"/>
      <x:c r="F3734"/>
      <x:c r="G3734"/>
    </x:row>
    <x:row r="3735">
      <x:c r="A3735"/>
      <x:c r="B3735"/>
      <x:c r="C3735"/>
      <x:c r="D3735"/>
      <x:c r="E3735"/>
      <x:c r="F3735"/>
      <x:c r="G3735"/>
    </x:row>
    <x:row r="3736">
      <x:c r="A3736"/>
      <x:c r="B3736"/>
      <x:c r="C3736"/>
      <x:c r="D3736"/>
      <x:c r="E3736"/>
      <x:c r="F3736"/>
      <x:c r="G3736"/>
    </x:row>
    <x:row r="3737">
      <x:c r="A3737"/>
      <x:c r="B3737"/>
      <x:c r="C3737"/>
      <x:c r="D3737"/>
      <x:c r="E3737"/>
      <x:c r="F3737"/>
      <x:c r="G3737"/>
    </x:row>
    <x:row r="3738">
      <x:c r="A3738"/>
      <x:c r="B3738"/>
      <x:c r="C3738"/>
      <x:c r="D3738"/>
      <x:c r="E3738"/>
      <x:c r="F3738"/>
      <x:c r="G3738"/>
    </x:row>
    <x:row r="3739">
      <x:c r="A3739"/>
      <x:c r="B3739"/>
      <x:c r="C3739"/>
      <x:c r="D3739"/>
      <x:c r="E3739"/>
      <x:c r="F3739"/>
      <x:c r="G3739"/>
    </x:row>
    <x:row r="3740">
      <x:c r="A3740"/>
      <x:c r="B3740"/>
      <x:c r="C3740"/>
      <x:c r="D3740"/>
      <x:c r="E3740"/>
      <x:c r="F3740"/>
      <x:c r="G3740"/>
    </x:row>
    <x:row r="3741">
      <x:c r="A3741"/>
      <x:c r="B3741"/>
      <x:c r="C3741"/>
      <x:c r="D3741"/>
      <x:c r="E3741"/>
      <x:c r="F3741"/>
      <x:c r="G3741"/>
    </x:row>
    <x:row r="3742">
      <x:c r="A3742"/>
      <x:c r="B3742"/>
      <x:c r="C3742"/>
      <x:c r="D3742"/>
      <x:c r="E3742"/>
      <x:c r="F3742"/>
      <x:c r="G3742"/>
    </x:row>
    <x:row r="3743">
      <x:c r="A3743"/>
      <x:c r="B3743"/>
      <x:c r="C3743"/>
      <x:c r="D3743"/>
      <x:c r="E3743"/>
      <x:c r="F3743"/>
      <x:c r="G3743"/>
    </x:row>
    <x:row r="3744">
      <x:c r="A3744"/>
      <x:c r="B3744"/>
      <x:c r="C3744"/>
      <x:c r="D3744"/>
      <x:c r="E3744"/>
      <x:c r="F3744"/>
      <x:c r="G3744"/>
    </x:row>
    <x:row r="3745">
      <x:c r="A3745"/>
      <x:c r="B3745"/>
      <x:c r="C3745"/>
      <x:c r="D3745"/>
      <x:c r="E3745"/>
      <x:c r="F3745"/>
      <x:c r="G3745"/>
    </x:row>
    <x:row r="3746">
      <x:c r="A3746"/>
      <x:c r="B3746"/>
      <x:c r="C3746"/>
      <x:c r="D3746"/>
      <x:c r="E3746"/>
      <x:c r="F3746"/>
      <x:c r="G3746"/>
    </x:row>
    <x:row r="3747">
      <x:c r="A3747"/>
      <x:c r="B3747"/>
      <x:c r="C3747"/>
      <x:c r="D3747"/>
      <x:c r="E3747"/>
      <x:c r="F3747"/>
      <x:c r="G3747"/>
    </x:row>
    <x:row r="3748">
      <x:c r="A3748"/>
      <x:c r="B3748"/>
      <x:c r="C3748"/>
      <x:c r="D3748"/>
      <x:c r="E3748"/>
      <x:c r="F3748"/>
      <x:c r="G3748"/>
    </x:row>
    <x:row r="3749">
      <x:c r="A3749"/>
      <x:c r="B3749"/>
      <x:c r="C3749"/>
      <x:c r="D3749"/>
      <x:c r="E3749"/>
      <x:c r="F3749"/>
      <x:c r="G3749"/>
    </x:row>
    <x:row r="3750">
      <x:c r="A3750"/>
      <x:c r="B3750"/>
      <x:c r="C3750"/>
      <x:c r="D3750"/>
      <x:c r="E3750"/>
      <x:c r="F3750"/>
      <x:c r="G3750"/>
    </x:row>
    <x:row r="3751">
      <x:c r="A3751"/>
      <x:c r="B3751"/>
      <x:c r="C3751"/>
      <x:c r="D3751"/>
      <x:c r="E3751"/>
      <x:c r="F3751"/>
      <x:c r="G3751"/>
    </x:row>
    <x:row r="3752">
      <x:c r="A3752"/>
      <x:c r="B3752"/>
      <x:c r="C3752"/>
      <x:c r="D3752"/>
      <x:c r="E3752"/>
      <x:c r="F3752"/>
      <x:c r="G3752"/>
    </x:row>
    <x:row r="3753">
      <x:c r="A3753"/>
      <x:c r="B3753"/>
      <x:c r="C3753"/>
      <x:c r="D3753"/>
      <x:c r="E3753"/>
      <x:c r="F3753"/>
      <x:c r="G3753"/>
    </x:row>
    <x:row r="3754">
      <x:c r="A3754"/>
      <x:c r="B3754"/>
      <x:c r="C3754"/>
      <x:c r="D3754"/>
      <x:c r="E3754"/>
      <x:c r="F3754"/>
      <x:c r="G3754"/>
    </x:row>
    <x:row r="3755">
      <x:c r="A3755"/>
      <x:c r="B3755"/>
      <x:c r="C3755"/>
      <x:c r="D3755"/>
      <x:c r="E3755"/>
      <x:c r="F3755"/>
      <x:c r="G3755"/>
    </x:row>
    <x:row r="3756">
      <x:c r="A3756"/>
      <x:c r="B3756"/>
      <x:c r="C3756"/>
      <x:c r="D3756"/>
      <x:c r="E3756"/>
      <x:c r="F3756"/>
      <x:c r="G3756"/>
    </x:row>
    <x:row r="3757">
      <x:c r="A3757"/>
      <x:c r="B3757"/>
      <x:c r="C3757"/>
      <x:c r="D3757"/>
      <x:c r="E3757"/>
      <x:c r="F3757"/>
      <x:c r="G3757"/>
    </x:row>
    <x:row r="3758">
      <x:c r="A3758"/>
      <x:c r="B3758"/>
      <x:c r="C3758"/>
      <x:c r="D3758"/>
      <x:c r="E3758"/>
      <x:c r="F3758"/>
      <x:c r="G3758"/>
    </x:row>
    <x:row r="3759">
      <x:c r="A3759"/>
      <x:c r="B3759"/>
      <x:c r="C3759"/>
      <x:c r="D3759"/>
      <x:c r="E3759"/>
      <x:c r="F3759"/>
      <x:c r="G3759"/>
    </x:row>
    <x:row r="3760">
      <x:c r="A3760"/>
      <x:c r="B3760"/>
      <x:c r="C3760"/>
      <x:c r="D3760"/>
      <x:c r="E3760"/>
      <x:c r="F3760"/>
      <x:c r="G3760"/>
    </x:row>
    <x:row r="3761">
      <x:c r="A3761"/>
      <x:c r="B3761"/>
      <x:c r="C3761"/>
      <x:c r="D3761"/>
      <x:c r="E3761"/>
      <x:c r="F3761"/>
      <x:c r="G3761"/>
    </x:row>
    <x:row r="3762">
      <x:c r="A3762"/>
      <x:c r="B3762"/>
      <x:c r="C3762"/>
      <x:c r="D3762"/>
      <x:c r="E3762"/>
      <x:c r="F3762"/>
      <x:c r="G3762"/>
    </x:row>
    <x:row r="3763">
      <x:c r="A3763"/>
      <x:c r="B3763"/>
      <x:c r="C3763"/>
      <x:c r="D3763"/>
      <x:c r="E3763"/>
      <x:c r="F3763"/>
      <x:c r="G3763"/>
    </x:row>
    <x:row r="3764">
      <x:c r="A3764"/>
      <x:c r="B3764"/>
      <x:c r="C3764"/>
      <x:c r="D3764"/>
      <x:c r="E3764"/>
      <x:c r="F3764"/>
      <x:c r="G3764"/>
    </x:row>
    <x:row r="3765">
      <x:c r="A3765"/>
      <x:c r="B3765"/>
      <x:c r="C3765"/>
      <x:c r="D3765"/>
      <x:c r="E3765"/>
      <x:c r="F3765"/>
      <x:c r="G3765"/>
    </x:row>
    <x:row r="3766">
      <x:c r="A3766"/>
      <x:c r="B3766"/>
      <x:c r="C3766"/>
      <x:c r="D3766"/>
      <x:c r="E3766"/>
      <x:c r="F3766"/>
      <x:c r="G3766"/>
    </x:row>
    <x:row r="3767">
      <x:c r="A3767"/>
      <x:c r="B3767"/>
      <x:c r="C3767"/>
      <x:c r="D3767"/>
      <x:c r="E3767"/>
      <x:c r="F3767"/>
      <x:c r="G3767"/>
    </x:row>
    <x:row r="3768">
      <x:c r="A3768"/>
      <x:c r="B3768"/>
      <x:c r="C3768"/>
      <x:c r="D3768"/>
      <x:c r="E3768"/>
      <x:c r="F3768"/>
      <x:c r="G3768"/>
    </x:row>
    <x:row r="3769">
      <x:c r="A3769"/>
      <x:c r="B3769"/>
      <x:c r="C3769"/>
      <x:c r="D3769"/>
      <x:c r="E3769"/>
      <x:c r="F3769"/>
      <x:c r="G3769"/>
    </x:row>
    <x:row r="3770">
      <x:c r="A3770"/>
      <x:c r="B3770"/>
      <x:c r="C3770"/>
      <x:c r="D3770"/>
      <x:c r="E3770"/>
      <x:c r="F3770"/>
      <x:c r="G3770"/>
    </x:row>
    <x:row r="3771">
      <x:c r="A3771"/>
      <x:c r="B3771"/>
      <x:c r="C3771"/>
      <x:c r="D3771"/>
      <x:c r="E3771"/>
      <x:c r="F3771"/>
      <x:c r="G3771"/>
    </x:row>
    <x:row r="3772">
      <x:c r="A3772"/>
      <x:c r="B3772"/>
      <x:c r="C3772"/>
      <x:c r="D3772"/>
      <x:c r="E3772"/>
      <x:c r="F3772"/>
      <x:c r="G3772"/>
    </x:row>
    <x:row r="3773">
      <x:c r="A3773"/>
      <x:c r="B3773"/>
      <x:c r="C3773"/>
      <x:c r="D3773"/>
      <x:c r="E3773"/>
      <x:c r="F3773"/>
      <x:c r="G3773"/>
    </x:row>
    <x:row r="3774">
      <x:c r="A3774"/>
      <x:c r="B3774"/>
      <x:c r="C3774"/>
      <x:c r="D3774"/>
      <x:c r="E3774"/>
      <x:c r="F3774"/>
      <x:c r="G3774"/>
    </x:row>
    <x:row r="3775">
      <x:c r="A3775"/>
      <x:c r="B3775"/>
      <x:c r="C3775"/>
      <x:c r="D3775"/>
      <x:c r="E3775"/>
      <x:c r="F3775"/>
      <x:c r="G3775"/>
    </x:row>
    <x:row r="3776">
      <x:c r="A3776"/>
      <x:c r="B3776"/>
      <x:c r="C3776"/>
      <x:c r="D3776"/>
      <x:c r="E3776"/>
      <x:c r="F3776"/>
      <x:c r="G3776"/>
    </x:row>
    <x:row r="3777">
      <x:c r="A3777"/>
      <x:c r="B3777"/>
      <x:c r="C3777"/>
      <x:c r="D3777"/>
      <x:c r="E3777"/>
      <x:c r="F3777"/>
      <x:c r="G3777"/>
    </x:row>
    <x:row r="3778">
      <x:c r="A3778"/>
      <x:c r="B3778"/>
      <x:c r="C3778"/>
      <x:c r="D3778"/>
      <x:c r="E3778"/>
      <x:c r="F3778"/>
      <x:c r="G3778"/>
    </x:row>
    <x:row r="3779">
      <x:c r="A3779"/>
      <x:c r="B3779"/>
      <x:c r="C3779"/>
      <x:c r="D3779"/>
      <x:c r="E3779"/>
      <x:c r="F3779"/>
      <x:c r="G3779"/>
    </x:row>
    <x:row r="3780">
      <x:c r="A3780"/>
      <x:c r="B3780"/>
      <x:c r="C3780"/>
      <x:c r="D3780"/>
      <x:c r="E3780"/>
      <x:c r="F3780"/>
      <x:c r="G3780"/>
    </x:row>
    <x:row r="3781">
      <x:c r="A3781"/>
      <x:c r="B3781"/>
      <x:c r="C3781"/>
      <x:c r="D3781"/>
      <x:c r="E3781"/>
      <x:c r="F3781"/>
      <x:c r="G3781"/>
    </x:row>
    <x:row r="3782">
      <x:c r="A3782"/>
      <x:c r="B3782"/>
      <x:c r="C3782"/>
      <x:c r="D3782"/>
      <x:c r="E3782"/>
      <x:c r="F3782"/>
      <x:c r="G3782"/>
    </x:row>
    <x:row r="3783">
      <x:c r="A3783"/>
      <x:c r="B3783"/>
      <x:c r="C3783"/>
      <x:c r="D3783"/>
      <x:c r="E3783"/>
      <x:c r="F3783"/>
      <x:c r="G3783"/>
    </x:row>
    <x:row r="3784">
      <x:c r="A3784"/>
      <x:c r="B3784"/>
      <x:c r="C3784"/>
      <x:c r="D3784"/>
      <x:c r="E3784"/>
      <x:c r="F3784"/>
      <x:c r="G3784"/>
    </x:row>
    <x:row r="3785">
      <x:c r="A3785"/>
      <x:c r="B3785"/>
      <x:c r="C3785"/>
      <x:c r="D3785"/>
      <x:c r="E3785"/>
      <x:c r="F3785"/>
      <x:c r="G3785"/>
    </x:row>
    <x:row r="3786">
      <x:c r="A3786"/>
      <x:c r="B3786"/>
      <x:c r="C3786"/>
      <x:c r="D3786"/>
      <x:c r="E3786"/>
      <x:c r="F3786"/>
      <x:c r="G3786"/>
    </x:row>
    <x:row r="3787">
      <x:c r="A3787"/>
      <x:c r="B3787"/>
      <x:c r="C3787"/>
      <x:c r="D3787"/>
      <x:c r="E3787"/>
      <x:c r="F3787"/>
      <x:c r="G3787"/>
    </x:row>
    <x:row r="3788">
      <x:c r="A3788"/>
      <x:c r="B3788"/>
      <x:c r="C3788"/>
      <x:c r="D3788"/>
      <x:c r="E3788"/>
      <x:c r="F3788"/>
      <x:c r="G3788"/>
    </x:row>
    <x:row r="3789">
      <x:c r="A3789"/>
      <x:c r="B3789"/>
      <x:c r="C3789"/>
      <x:c r="D3789"/>
      <x:c r="E3789"/>
      <x:c r="F3789"/>
      <x:c r="G3789"/>
    </x:row>
    <x:row r="3790">
      <x:c r="A3790"/>
      <x:c r="B3790"/>
      <x:c r="C3790"/>
      <x:c r="D3790"/>
      <x:c r="E3790"/>
      <x:c r="F3790"/>
      <x:c r="G3790"/>
    </x:row>
    <x:row r="3791">
      <x:c r="A3791"/>
      <x:c r="B3791"/>
      <x:c r="C3791"/>
      <x:c r="D3791"/>
      <x:c r="E3791"/>
      <x:c r="F3791"/>
      <x:c r="G3791"/>
    </x:row>
    <x:row r="3792">
      <x:c r="A3792"/>
      <x:c r="B3792"/>
      <x:c r="C3792"/>
      <x:c r="D3792"/>
      <x:c r="E3792"/>
      <x:c r="F3792"/>
      <x:c r="G3792"/>
    </x:row>
    <x:row r="3793">
      <x:c r="A3793"/>
      <x:c r="B3793"/>
      <x:c r="C3793"/>
      <x:c r="D3793"/>
      <x:c r="E3793"/>
      <x:c r="F3793"/>
      <x:c r="G3793"/>
    </x:row>
    <x:row r="3794">
      <x:c r="A3794"/>
      <x:c r="B3794"/>
      <x:c r="C3794"/>
      <x:c r="D3794"/>
      <x:c r="E3794"/>
      <x:c r="F3794"/>
      <x:c r="G3794"/>
    </x:row>
    <x:row r="3795">
      <x:c r="A3795"/>
      <x:c r="B3795"/>
      <x:c r="C3795"/>
      <x:c r="D3795"/>
      <x:c r="E3795"/>
      <x:c r="F3795"/>
      <x:c r="G3795"/>
    </x:row>
    <x:row r="3796">
      <x:c r="A3796"/>
      <x:c r="B3796"/>
      <x:c r="C3796"/>
      <x:c r="D3796"/>
      <x:c r="E3796"/>
      <x:c r="F3796"/>
      <x:c r="G3796"/>
    </x:row>
    <x:row r="3797">
      <x:c r="A3797"/>
      <x:c r="B3797"/>
      <x:c r="C3797"/>
      <x:c r="D3797"/>
      <x:c r="E3797"/>
      <x:c r="F3797"/>
      <x:c r="G3797"/>
    </x:row>
    <x:row r="3798">
      <x:c r="A3798"/>
      <x:c r="B3798"/>
      <x:c r="C3798"/>
      <x:c r="D3798"/>
      <x:c r="E3798"/>
      <x:c r="F3798"/>
      <x:c r="G3798"/>
    </x:row>
    <x:row r="3799">
      <x:c r="A3799"/>
      <x:c r="B3799"/>
      <x:c r="C3799"/>
      <x:c r="D3799"/>
      <x:c r="E3799"/>
      <x:c r="F3799"/>
      <x:c r="G3799"/>
    </x:row>
    <x:row r="3800">
      <x:c r="A3800"/>
      <x:c r="B3800"/>
      <x:c r="C3800"/>
      <x:c r="D3800"/>
      <x:c r="E3800"/>
      <x:c r="F3800"/>
      <x:c r="G3800"/>
    </x:row>
    <x:row r="3801">
      <x:c r="A3801"/>
      <x:c r="B3801"/>
      <x:c r="C3801"/>
      <x:c r="D3801"/>
      <x:c r="E3801"/>
      <x:c r="F3801"/>
      <x:c r="G3801"/>
    </x:row>
    <x:row r="3802">
      <x:c r="A3802"/>
      <x:c r="B3802"/>
      <x:c r="C3802"/>
      <x:c r="D3802"/>
      <x:c r="E3802"/>
      <x:c r="F3802"/>
      <x:c r="G3802"/>
    </x:row>
    <x:row r="3803">
      <x:c r="A3803"/>
      <x:c r="B3803"/>
      <x:c r="C3803"/>
      <x:c r="D3803"/>
      <x:c r="E3803"/>
      <x:c r="F3803"/>
      <x:c r="G3803"/>
    </x:row>
    <x:row r="3804">
      <x:c r="A3804"/>
      <x:c r="B3804"/>
      <x:c r="C3804"/>
      <x:c r="D3804"/>
      <x:c r="E3804"/>
      <x:c r="F3804"/>
      <x:c r="G3804"/>
    </x:row>
    <x:row r="3805">
      <x:c r="A3805"/>
      <x:c r="B3805"/>
      <x:c r="C3805"/>
      <x:c r="D3805"/>
      <x:c r="E3805"/>
      <x:c r="F3805"/>
      <x:c r="G3805"/>
    </x:row>
    <x:row r="3806">
      <x:c r="A3806"/>
      <x:c r="B3806"/>
      <x:c r="C3806"/>
      <x:c r="D3806"/>
      <x:c r="E3806"/>
      <x:c r="F3806"/>
      <x:c r="G3806"/>
    </x:row>
    <x:row r="3807">
      <x:c r="A3807"/>
      <x:c r="B3807"/>
      <x:c r="C3807"/>
      <x:c r="D3807"/>
      <x:c r="E3807"/>
      <x:c r="F3807"/>
      <x:c r="G3807"/>
    </x:row>
    <x:row r="3808">
      <x:c r="A3808"/>
      <x:c r="B3808"/>
      <x:c r="C3808"/>
      <x:c r="D3808"/>
      <x:c r="E3808"/>
      <x:c r="F3808"/>
      <x:c r="G3808"/>
    </x:row>
    <x:row r="3809">
      <x:c r="A3809"/>
      <x:c r="B3809"/>
      <x:c r="C3809"/>
      <x:c r="D3809"/>
      <x:c r="E3809"/>
      <x:c r="F3809"/>
      <x:c r="G3809"/>
    </x:row>
    <x:row r="3810">
      <x:c r="A3810"/>
      <x:c r="B3810"/>
      <x:c r="C3810"/>
      <x:c r="D3810"/>
      <x:c r="E3810"/>
      <x:c r="F3810"/>
      <x:c r="G3810"/>
    </x:row>
    <x:row r="3811">
      <x:c r="A3811"/>
      <x:c r="B3811"/>
      <x:c r="C3811"/>
      <x:c r="D3811"/>
      <x:c r="E3811"/>
      <x:c r="F3811"/>
      <x:c r="G3811"/>
    </x:row>
    <x:row r="3812">
      <x:c r="A3812"/>
      <x:c r="B3812"/>
      <x:c r="C3812"/>
      <x:c r="D3812"/>
      <x:c r="E3812"/>
      <x:c r="F3812"/>
      <x:c r="G3812"/>
    </x:row>
    <x:row r="3813">
      <x:c r="A3813"/>
      <x:c r="B3813"/>
      <x:c r="C3813"/>
      <x:c r="D3813"/>
      <x:c r="E3813"/>
      <x:c r="F3813"/>
      <x:c r="G3813"/>
    </x:row>
    <x:row r="3814">
      <x:c r="A3814"/>
      <x:c r="B3814"/>
      <x:c r="C3814"/>
      <x:c r="D3814"/>
      <x:c r="E3814"/>
      <x:c r="F3814"/>
      <x:c r="G3814"/>
    </x:row>
    <x:row r="3815">
      <x:c r="A3815"/>
      <x:c r="B3815"/>
      <x:c r="C3815"/>
      <x:c r="D3815"/>
      <x:c r="E3815"/>
      <x:c r="F3815"/>
      <x:c r="G3815"/>
    </x:row>
    <x:row r="3816">
      <x:c r="A3816"/>
      <x:c r="B3816"/>
      <x:c r="C3816"/>
      <x:c r="D3816"/>
      <x:c r="E3816"/>
      <x:c r="F3816"/>
      <x:c r="G3816"/>
    </x:row>
    <x:row r="3817">
      <x:c r="A3817"/>
      <x:c r="B3817"/>
      <x:c r="C3817"/>
      <x:c r="D3817"/>
      <x:c r="E3817"/>
      <x:c r="F3817"/>
      <x:c r="G3817"/>
    </x:row>
    <x:row r="3818">
      <x:c r="A3818"/>
      <x:c r="B3818"/>
      <x:c r="C3818"/>
      <x:c r="D3818"/>
      <x:c r="E3818"/>
      <x:c r="F3818"/>
      <x:c r="G3818"/>
    </x:row>
    <x:row r="3819">
      <x:c r="A3819"/>
      <x:c r="B3819"/>
      <x:c r="C3819"/>
      <x:c r="D3819"/>
      <x:c r="E3819"/>
      <x:c r="F3819"/>
      <x:c r="G3819"/>
    </x:row>
    <x:row r="3820">
      <x:c r="A3820"/>
      <x:c r="B3820"/>
      <x:c r="C3820"/>
      <x:c r="D3820"/>
      <x:c r="E3820"/>
      <x:c r="F3820"/>
      <x:c r="G3820"/>
    </x:row>
    <x:row r="3821">
      <x:c r="A3821"/>
      <x:c r="B3821"/>
      <x:c r="C3821"/>
      <x:c r="D3821"/>
      <x:c r="E3821"/>
      <x:c r="F3821"/>
      <x:c r="G3821"/>
    </x:row>
    <x:row r="3822">
      <x:c r="A3822"/>
      <x:c r="B3822"/>
      <x:c r="C3822"/>
      <x:c r="D3822"/>
      <x:c r="E3822"/>
      <x:c r="F3822"/>
      <x:c r="G3822"/>
    </x:row>
    <x:row r="3823">
      <x:c r="A3823"/>
      <x:c r="B3823"/>
      <x:c r="C3823"/>
      <x:c r="D3823"/>
      <x:c r="E3823"/>
      <x:c r="F3823"/>
      <x:c r="G3823"/>
    </x:row>
    <x:row r="3824">
      <x:c r="A3824"/>
      <x:c r="B3824"/>
      <x:c r="C3824"/>
      <x:c r="D3824"/>
      <x:c r="E3824"/>
      <x:c r="F3824"/>
      <x:c r="G3824"/>
    </x:row>
    <x:row r="3825">
      <x:c r="A3825"/>
      <x:c r="B3825"/>
      <x:c r="C3825"/>
      <x:c r="D3825"/>
      <x:c r="E3825"/>
      <x:c r="F3825"/>
      <x:c r="G3825"/>
    </x:row>
    <x:row r="3826">
      <x:c r="A3826"/>
      <x:c r="B3826"/>
      <x:c r="C3826"/>
      <x:c r="D3826"/>
      <x:c r="E3826"/>
      <x:c r="F3826"/>
      <x:c r="G3826"/>
    </x:row>
    <x:row r="3827">
      <x:c r="A3827"/>
      <x:c r="B3827"/>
      <x:c r="C3827"/>
      <x:c r="D3827"/>
      <x:c r="E3827"/>
      <x:c r="F3827"/>
      <x:c r="G3827"/>
    </x:row>
    <x:row r="3828">
      <x:c r="A3828"/>
      <x:c r="B3828"/>
      <x:c r="C3828"/>
      <x:c r="D3828"/>
      <x:c r="E3828"/>
      <x:c r="F3828"/>
      <x:c r="G3828"/>
    </x:row>
    <x:row r="3829">
      <x:c r="A3829"/>
      <x:c r="B3829"/>
      <x:c r="C3829"/>
      <x:c r="D3829"/>
      <x:c r="E3829"/>
      <x:c r="F3829"/>
      <x:c r="G3829"/>
    </x:row>
    <x:row r="3830">
      <x:c r="A3830"/>
      <x:c r="B3830"/>
      <x:c r="C3830"/>
      <x:c r="D3830"/>
      <x:c r="E3830"/>
      <x:c r="F3830"/>
      <x:c r="G3830"/>
    </x:row>
    <x:row r="3831">
      <x:c r="A3831"/>
      <x:c r="B3831"/>
      <x:c r="C3831"/>
      <x:c r="D3831"/>
      <x:c r="E3831"/>
      <x:c r="F3831"/>
      <x:c r="G3831"/>
    </x:row>
    <x:row r="3832">
      <x:c r="A3832"/>
      <x:c r="B3832"/>
      <x:c r="C3832"/>
      <x:c r="D3832"/>
      <x:c r="E3832"/>
      <x:c r="F3832"/>
      <x:c r="G3832"/>
    </x:row>
    <x:row r="3833">
      <x:c r="A3833"/>
      <x:c r="B3833"/>
      <x:c r="C3833"/>
      <x:c r="D3833"/>
      <x:c r="E3833"/>
      <x:c r="F3833"/>
      <x:c r="G3833"/>
    </x:row>
    <x:row r="3834">
      <x:c r="A3834"/>
      <x:c r="B3834"/>
      <x:c r="C3834"/>
      <x:c r="D3834"/>
      <x:c r="E3834"/>
      <x:c r="F3834"/>
      <x:c r="G3834"/>
    </x:row>
    <x:row r="3835">
      <x:c r="A3835"/>
      <x:c r="B3835"/>
      <x:c r="C3835"/>
      <x:c r="D3835"/>
      <x:c r="E3835"/>
      <x:c r="F3835"/>
      <x:c r="G3835"/>
    </x:row>
    <x:row r="3836">
      <x:c r="A3836"/>
      <x:c r="B3836"/>
      <x:c r="C3836"/>
      <x:c r="D3836"/>
      <x:c r="E3836"/>
      <x:c r="F3836"/>
      <x:c r="G3836"/>
    </x:row>
    <x:row r="3837">
      <x:c r="A3837"/>
      <x:c r="B3837"/>
      <x:c r="C3837"/>
      <x:c r="D3837"/>
      <x:c r="E3837"/>
      <x:c r="F3837"/>
      <x:c r="G3837"/>
    </x:row>
    <x:row r="3838">
      <x:c r="A3838"/>
      <x:c r="B3838"/>
      <x:c r="C3838"/>
      <x:c r="D3838"/>
      <x:c r="E3838"/>
      <x:c r="F3838"/>
      <x:c r="G3838"/>
    </x:row>
    <x:row r="3839">
      <x:c r="A3839"/>
      <x:c r="B3839"/>
      <x:c r="C3839"/>
      <x:c r="D3839"/>
      <x:c r="E3839"/>
      <x:c r="F3839"/>
      <x:c r="G3839"/>
    </x:row>
    <x:row r="3840">
      <x:c r="A3840"/>
      <x:c r="B3840"/>
      <x:c r="C3840"/>
      <x:c r="D3840"/>
      <x:c r="E3840"/>
      <x:c r="F3840"/>
      <x:c r="G3840"/>
    </x:row>
    <x:row r="3841">
      <x:c r="A3841"/>
      <x:c r="B3841"/>
      <x:c r="C3841"/>
      <x:c r="D3841"/>
      <x:c r="E3841"/>
      <x:c r="F3841"/>
      <x:c r="G3841"/>
    </x:row>
    <x:row r="3842">
      <x:c r="A3842"/>
      <x:c r="B3842"/>
      <x:c r="C3842"/>
      <x:c r="D3842"/>
      <x:c r="E3842"/>
      <x:c r="F3842"/>
      <x:c r="G3842"/>
    </x:row>
    <x:row r="3843">
      <x:c r="A3843"/>
      <x:c r="B3843"/>
      <x:c r="C3843"/>
      <x:c r="D3843"/>
      <x:c r="E3843"/>
      <x:c r="F3843"/>
      <x:c r="G3843"/>
    </x:row>
    <x:row r="3844">
      <x:c r="A3844"/>
      <x:c r="B3844"/>
      <x:c r="C3844"/>
      <x:c r="D3844"/>
      <x:c r="E3844"/>
      <x:c r="F3844"/>
      <x:c r="G3844"/>
    </x:row>
    <x:row r="3845">
      <x:c r="A3845"/>
      <x:c r="B3845"/>
      <x:c r="C3845"/>
      <x:c r="D3845"/>
      <x:c r="E3845"/>
      <x:c r="F3845"/>
      <x:c r="G3845"/>
    </x:row>
    <x:row r="3846">
      <x:c r="A3846"/>
      <x:c r="B3846"/>
      <x:c r="C3846"/>
      <x:c r="D3846"/>
      <x:c r="E3846"/>
      <x:c r="F3846"/>
      <x:c r="G3846"/>
    </x:row>
    <x:row r="3847">
      <x:c r="A3847"/>
      <x:c r="B3847"/>
      <x:c r="C3847"/>
      <x:c r="D3847"/>
      <x:c r="E3847"/>
      <x:c r="F3847"/>
      <x:c r="G3847"/>
    </x:row>
    <x:row r="3848">
      <x:c r="A3848"/>
      <x:c r="B3848"/>
      <x:c r="C3848"/>
      <x:c r="D3848"/>
      <x:c r="E3848"/>
      <x:c r="F3848"/>
      <x:c r="G3848"/>
    </x:row>
    <x:row r="3849">
      <x:c r="A3849"/>
      <x:c r="B3849"/>
      <x:c r="C3849"/>
      <x:c r="D3849"/>
      <x:c r="E3849"/>
      <x:c r="F3849"/>
      <x:c r="G3849"/>
    </x:row>
    <x:row r="3850">
      <x:c r="A3850"/>
      <x:c r="B3850"/>
      <x:c r="C3850"/>
      <x:c r="D3850"/>
      <x:c r="E3850"/>
      <x:c r="F3850"/>
      <x:c r="G3850"/>
    </x:row>
    <x:row r="3851">
      <x:c r="A3851"/>
      <x:c r="B3851"/>
      <x:c r="C3851"/>
      <x:c r="D3851"/>
      <x:c r="E3851"/>
      <x:c r="F3851"/>
      <x:c r="G3851"/>
    </x:row>
    <x:row r="3852">
      <x:c r="A3852"/>
      <x:c r="B3852"/>
      <x:c r="C3852"/>
      <x:c r="D3852"/>
      <x:c r="E3852"/>
      <x:c r="F3852"/>
      <x:c r="G3852"/>
    </x:row>
    <x:row r="3853">
      <x:c r="A3853"/>
      <x:c r="B3853"/>
      <x:c r="C3853"/>
      <x:c r="D3853"/>
      <x:c r="E3853"/>
      <x:c r="F3853"/>
      <x:c r="G3853"/>
    </x:row>
    <x:row r="3854">
      <x:c r="A3854"/>
      <x:c r="B3854"/>
      <x:c r="C3854"/>
      <x:c r="D3854"/>
      <x:c r="E3854"/>
      <x:c r="F3854"/>
      <x:c r="G3854"/>
    </x:row>
    <x:row r="3855">
      <x:c r="A3855"/>
      <x:c r="B3855"/>
      <x:c r="C3855"/>
      <x:c r="D3855"/>
      <x:c r="E3855"/>
      <x:c r="F3855"/>
      <x:c r="G3855"/>
    </x:row>
    <x:row r="3856">
      <x:c r="A3856"/>
      <x:c r="B3856"/>
      <x:c r="C3856"/>
      <x:c r="D3856"/>
      <x:c r="E3856"/>
      <x:c r="F3856"/>
      <x:c r="G3856"/>
    </x:row>
    <x:row r="3857">
      <x:c r="A3857"/>
      <x:c r="B3857"/>
      <x:c r="C3857"/>
      <x:c r="D3857"/>
      <x:c r="E3857"/>
      <x:c r="F3857"/>
      <x:c r="G3857"/>
    </x:row>
    <x:row r="3858">
      <x:c r="A3858"/>
      <x:c r="B3858"/>
      <x:c r="C3858"/>
      <x:c r="D3858"/>
      <x:c r="E3858"/>
      <x:c r="F3858"/>
      <x:c r="G3858"/>
    </x:row>
    <x:row r="3859">
      <x:c r="A3859"/>
      <x:c r="B3859"/>
      <x:c r="C3859"/>
      <x:c r="D3859"/>
      <x:c r="E3859"/>
      <x:c r="F3859"/>
      <x:c r="G3859"/>
    </x:row>
    <x:row r="3860">
      <x:c r="A3860"/>
      <x:c r="B3860"/>
      <x:c r="C3860"/>
      <x:c r="D3860"/>
      <x:c r="E3860"/>
      <x:c r="F3860"/>
      <x:c r="G3860"/>
    </x:row>
    <x:row r="3861">
      <x:c r="A3861"/>
      <x:c r="B3861"/>
      <x:c r="C3861"/>
      <x:c r="D3861"/>
      <x:c r="E3861"/>
      <x:c r="F3861"/>
      <x:c r="G3861"/>
    </x:row>
    <x:row r="3862">
      <x:c r="A3862"/>
      <x:c r="B3862"/>
      <x:c r="C3862"/>
      <x:c r="D3862"/>
      <x:c r="E3862"/>
      <x:c r="F3862"/>
      <x:c r="G3862"/>
    </x:row>
    <x:row r="3863">
      <x:c r="A3863"/>
      <x:c r="B3863"/>
      <x:c r="C3863"/>
      <x:c r="D3863"/>
      <x:c r="E3863"/>
      <x:c r="F3863"/>
      <x:c r="G3863"/>
    </x:row>
    <x:row r="3864">
      <x:c r="A3864"/>
      <x:c r="B3864"/>
      <x:c r="C3864"/>
      <x:c r="D3864"/>
      <x:c r="E3864"/>
      <x:c r="F3864"/>
      <x:c r="G3864"/>
    </x:row>
    <x:row r="3865">
      <x:c r="A3865"/>
      <x:c r="B3865"/>
      <x:c r="C3865"/>
      <x:c r="D3865"/>
      <x:c r="E3865"/>
      <x:c r="F3865"/>
      <x:c r="G3865"/>
    </x:row>
    <x:row r="3866">
      <x:c r="A3866"/>
      <x:c r="B3866"/>
      <x:c r="C3866"/>
      <x:c r="D3866"/>
      <x:c r="E3866"/>
      <x:c r="F3866"/>
      <x:c r="G3866"/>
    </x:row>
    <x:row r="3867">
      <x:c r="A3867"/>
      <x:c r="B3867"/>
      <x:c r="C3867"/>
      <x:c r="D3867"/>
      <x:c r="E3867"/>
      <x:c r="F3867"/>
      <x:c r="G3867"/>
    </x:row>
    <x:row r="3868">
      <x:c r="A3868"/>
      <x:c r="B3868"/>
      <x:c r="C3868"/>
      <x:c r="D3868"/>
      <x:c r="E3868"/>
      <x:c r="F3868"/>
      <x:c r="G3868"/>
    </x:row>
    <x:row r="3869">
      <x:c r="A3869"/>
      <x:c r="B3869"/>
      <x:c r="C3869"/>
      <x:c r="D3869"/>
      <x:c r="E3869"/>
      <x:c r="F3869"/>
      <x:c r="G3869"/>
    </x:row>
    <x:row r="3870">
      <x:c r="A3870"/>
      <x:c r="B3870"/>
      <x:c r="C3870"/>
      <x:c r="D3870"/>
      <x:c r="E3870"/>
      <x:c r="F3870"/>
      <x:c r="G3870"/>
    </x:row>
    <x:row r="3871">
      <x:c r="A3871"/>
      <x:c r="B3871"/>
      <x:c r="C3871"/>
      <x:c r="D3871"/>
      <x:c r="E3871"/>
      <x:c r="F3871"/>
      <x:c r="G3871"/>
    </x:row>
    <x:row r="3872">
      <x:c r="A3872"/>
      <x:c r="B3872"/>
      <x:c r="C3872"/>
      <x:c r="D3872"/>
      <x:c r="E3872"/>
      <x:c r="F3872"/>
      <x:c r="G3872"/>
    </x:row>
    <x:row r="3873">
      <x:c r="A3873"/>
      <x:c r="B3873"/>
      <x:c r="C3873"/>
      <x:c r="D3873"/>
      <x:c r="E3873"/>
      <x:c r="F3873"/>
      <x:c r="G3873"/>
    </x:row>
    <x:row r="3874">
      <x:c r="A3874"/>
      <x:c r="B3874"/>
      <x:c r="C3874"/>
      <x:c r="D3874"/>
      <x:c r="E3874"/>
      <x:c r="F3874"/>
      <x:c r="G3874"/>
    </x:row>
    <x:row r="3875">
      <x:c r="A3875"/>
      <x:c r="B3875"/>
      <x:c r="C3875"/>
      <x:c r="D3875"/>
      <x:c r="E3875"/>
      <x:c r="F3875"/>
      <x:c r="G3875"/>
    </x:row>
    <x:row r="3876">
      <x:c r="A3876"/>
      <x:c r="B3876"/>
      <x:c r="C3876"/>
      <x:c r="D3876"/>
      <x:c r="E3876"/>
      <x:c r="F3876"/>
      <x:c r="G3876"/>
    </x:row>
    <x:row r="3877">
      <x:c r="A3877"/>
      <x:c r="B3877"/>
      <x:c r="C3877"/>
      <x:c r="D3877"/>
      <x:c r="E3877"/>
      <x:c r="F3877"/>
      <x:c r="G3877"/>
    </x:row>
    <x:row r="3878">
      <x:c r="A3878"/>
      <x:c r="B3878"/>
      <x:c r="C3878"/>
      <x:c r="D3878"/>
      <x:c r="E3878"/>
      <x:c r="F3878"/>
      <x:c r="G3878"/>
    </x:row>
    <x:row r="3879">
      <x:c r="A3879"/>
      <x:c r="B3879"/>
      <x:c r="C3879"/>
      <x:c r="D3879"/>
      <x:c r="E3879"/>
      <x:c r="F3879"/>
      <x:c r="G3879"/>
    </x:row>
    <x:row r="3880">
      <x:c r="A3880"/>
      <x:c r="B3880"/>
      <x:c r="C3880"/>
      <x:c r="D3880"/>
      <x:c r="E3880"/>
      <x:c r="F3880"/>
      <x:c r="G3880"/>
    </x:row>
    <x:row r="3881">
      <x:c r="A3881"/>
      <x:c r="B3881"/>
      <x:c r="C3881"/>
      <x:c r="D3881"/>
      <x:c r="E3881"/>
      <x:c r="F3881"/>
      <x:c r="G3881"/>
    </x:row>
    <x:row r="3882">
      <x:c r="A3882"/>
      <x:c r="B3882"/>
      <x:c r="C3882"/>
      <x:c r="D3882"/>
      <x:c r="E3882"/>
      <x:c r="F3882"/>
      <x:c r="G3882"/>
    </x:row>
    <x:row r="3883">
      <x:c r="A3883"/>
      <x:c r="B3883"/>
      <x:c r="C3883"/>
      <x:c r="D3883"/>
      <x:c r="E3883"/>
      <x:c r="F3883"/>
      <x:c r="G3883"/>
    </x:row>
    <x:row r="3884">
      <x:c r="A3884"/>
      <x:c r="B3884"/>
      <x:c r="C3884"/>
      <x:c r="D3884"/>
      <x:c r="E3884"/>
      <x:c r="F3884"/>
      <x:c r="G3884"/>
    </x:row>
    <x:row r="3885">
      <x:c r="A3885"/>
      <x:c r="B3885"/>
      <x:c r="C3885"/>
      <x:c r="D3885"/>
      <x:c r="E3885"/>
      <x:c r="F3885"/>
      <x:c r="G3885"/>
    </x:row>
    <x:row r="3886">
      <x:c r="A3886"/>
      <x:c r="B3886"/>
      <x:c r="C3886"/>
      <x:c r="D3886"/>
      <x:c r="E3886"/>
      <x:c r="F3886"/>
      <x:c r="G3886"/>
    </x:row>
    <x:row r="3887">
      <x:c r="A3887"/>
      <x:c r="B3887"/>
      <x:c r="C3887"/>
      <x:c r="D3887"/>
      <x:c r="E3887"/>
      <x:c r="F3887"/>
      <x:c r="G3887"/>
    </x:row>
    <x:row r="3888">
      <x:c r="A3888"/>
      <x:c r="B3888"/>
      <x:c r="C3888"/>
      <x:c r="D3888"/>
      <x:c r="E3888"/>
      <x:c r="F3888"/>
      <x:c r="G3888"/>
    </x:row>
    <x:row r="3889">
      <x:c r="A3889"/>
      <x:c r="B3889"/>
      <x:c r="C3889"/>
      <x:c r="D3889"/>
      <x:c r="E3889"/>
      <x:c r="F3889"/>
      <x:c r="G3889"/>
    </x:row>
    <x:row r="3890">
      <x:c r="A3890"/>
      <x:c r="B3890"/>
      <x:c r="C3890"/>
      <x:c r="D3890"/>
      <x:c r="E3890"/>
      <x:c r="F3890"/>
      <x:c r="G3890"/>
    </x:row>
    <x:row r="3891">
      <x:c r="A3891"/>
      <x:c r="B3891"/>
      <x:c r="C3891"/>
      <x:c r="D3891"/>
      <x:c r="E3891"/>
      <x:c r="F3891"/>
      <x:c r="G3891"/>
    </x:row>
    <x:row r="3892">
      <x:c r="A3892"/>
      <x:c r="B3892"/>
      <x:c r="C3892"/>
      <x:c r="D3892"/>
      <x:c r="E3892"/>
      <x:c r="F3892"/>
      <x:c r="G3892"/>
    </x:row>
    <x:row r="3893">
      <x:c r="A3893"/>
      <x:c r="B3893"/>
      <x:c r="C3893"/>
      <x:c r="D3893"/>
      <x:c r="E3893"/>
      <x:c r="F3893"/>
      <x:c r="G3893"/>
    </x:row>
    <x:row r="3894">
      <x:c r="A3894"/>
      <x:c r="B3894"/>
      <x:c r="C3894"/>
      <x:c r="D3894"/>
      <x:c r="E3894"/>
      <x:c r="F3894"/>
      <x:c r="G3894"/>
    </x:row>
    <x:row r="3895">
      <x:c r="A3895"/>
      <x:c r="B3895"/>
      <x:c r="C3895"/>
      <x:c r="D3895"/>
      <x:c r="E3895"/>
      <x:c r="F3895"/>
      <x:c r="G3895"/>
    </x:row>
    <x:row r="3896">
      <x:c r="A3896"/>
      <x:c r="B3896"/>
      <x:c r="C3896"/>
      <x:c r="D3896"/>
      <x:c r="E3896"/>
      <x:c r="F3896"/>
      <x:c r="G3896"/>
    </x:row>
    <x:row r="3897">
      <x:c r="A3897"/>
      <x:c r="B3897"/>
      <x:c r="C3897"/>
      <x:c r="D3897"/>
      <x:c r="E3897"/>
      <x:c r="F3897"/>
      <x:c r="G3897"/>
    </x:row>
    <x:row r="3898">
      <x:c r="A3898"/>
      <x:c r="B3898"/>
      <x:c r="C3898"/>
      <x:c r="D3898"/>
      <x:c r="E3898"/>
      <x:c r="F3898"/>
      <x:c r="G3898"/>
    </x:row>
    <x:row r="3899">
      <x:c r="A3899"/>
      <x:c r="B3899"/>
      <x:c r="C3899"/>
      <x:c r="D3899"/>
      <x:c r="E3899"/>
      <x:c r="F3899"/>
      <x:c r="G3899"/>
    </x:row>
    <x:row r="3900">
      <x:c r="A3900"/>
      <x:c r="B3900"/>
      <x:c r="C3900"/>
      <x:c r="D3900"/>
      <x:c r="E3900"/>
      <x:c r="F3900"/>
      <x:c r="G3900"/>
    </x:row>
    <x:row r="3901">
      <x:c r="A3901"/>
      <x:c r="B3901"/>
      <x:c r="C3901"/>
      <x:c r="D3901"/>
      <x:c r="E3901"/>
      <x:c r="F3901"/>
      <x:c r="G3901"/>
    </x:row>
    <x:row r="3902">
      <x:c r="A3902"/>
      <x:c r="B3902"/>
      <x:c r="C3902"/>
      <x:c r="D3902"/>
      <x:c r="E3902"/>
      <x:c r="F3902"/>
      <x:c r="G3902"/>
    </x:row>
    <x:row r="3903">
      <x:c r="A3903"/>
      <x:c r="B3903"/>
      <x:c r="C3903"/>
      <x:c r="D3903"/>
      <x:c r="E3903"/>
      <x:c r="F3903"/>
      <x:c r="G3903"/>
    </x:row>
    <x:row r="3904">
      <x:c r="A3904"/>
      <x:c r="B3904"/>
      <x:c r="C3904"/>
      <x:c r="D3904"/>
      <x:c r="E3904"/>
      <x:c r="F3904"/>
      <x:c r="G3904"/>
    </x:row>
    <x:row r="3905">
      <x:c r="A3905"/>
      <x:c r="B3905"/>
      <x:c r="C3905"/>
      <x:c r="D3905"/>
      <x:c r="E3905"/>
      <x:c r="F3905"/>
      <x:c r="G3905"/>
    </x:row>
    <x:row r="3906">
      <x:c r="A3906"/>
      <x:c r="B3906"/>
      <x:c r="C3906"/>
      <x:c r="D3906"/>
      <x:c r="E3906"/>
      <x:c r="F3906"/>
      <x:c r="G3906"/>
    </x:row>
    <x:row r="3907">
      <x:c r="A3907"/>
      <x:c r="B3907"/>
      <x:c r="C3907"/>
      <x:c r="D3907"/>
      <x:c r="E3907"/>
      <x:c r="F3907"/>
      <x:c r="G3907"/>
    </x:row>
    <x:row r="3908">
      <x:c r="A3908"/>
      <x:c r="B3908"/>
      <x:c r="C3908"/>
      <x:c r="D3908"/>
      <x:c r="E3908"/>
      <x:c r="F3908"/>
      <x:c r="G3908"/>
    </x:row>
    <x:row r="3909">
      <x:c r="A3909"/>
      <x:c r="B3909"/>
      <x:c r="C3909"/>
      <x:c r="D3909"/>
      <x:c r="E3909"/>
      <x:c r="F3909"/>
      <x:c r="G3909"/>
    </x:row>
    <x:row r="3910">
      <x:c r="A3910"/>
      <x:c r="B3910"/>
      <x:c r="C3910"/>
      <x:c r="D3910"/>
      <x:c r="E3910"/>
      <x:c r="F3910"/>
      <x:c r="G3910"/>
    </x:row>
    <x:row r="3911">
      <x:c r="A3911"/>
      <x:c r="B3911"/>
      <x:c r="C3911"/>
      <x:c r="D3911"/>
      <x:c r="E3911"/>
      <x:c r="F3911"/>
      <x:c r="G3911"/>
    </x:row>
    <x:row r="3912">
      <x:c r="A3912"/>
      <x:c r="B3912"/>
      <x:c r="C3912"/>
      <x:c r="D3912"/>
      <x:c r="E3912"/>
      <x:c r="F3912"/>
      <x:c r="G3912"/>
    </x:row>
    <x:row r="3913">
      <x:c r="A3913"/>
      <x:c r="B3913"/>
      <x:c r="C3913"/>
      <x:c r="D3913"/>
      <x:c r="E3913"/>
      <x:c r="F3913"/>
      <x:c r="G3913"/>
    </x:row>
    <x:row r="3914">
      <x:c r="A3914"/>
      <x:c r="B3914"/>
      <x:c r="C3914"/>
      <x:c r="D3914"/>
      <x:c r="E3914"/>
      <x:c r="F3914"/>
      <x:c r="G3914"/>
    </x:row>
    <x:row r="3915">
      <x:c r="A3915"/>
      <x:c r="B3915"/>
      <x:c r="C3915"/>
      <x:c r="D3915"/>
      <x:c r="E3915"/>
      <x:c r="F3915"/>
      <x:c r="G3915"/>
    </x:row>
    <x:row r="3916">
      <x:c r="A3916"/>
      <x:c r="B3916"/>
      <x:c r="C3916"/>
      <x:c r="D3916"/>
      <x:c r="E3916"/>
      <x:c r="F3916"/>
      <x:c r="G3916"/>
    </x:row>
    <x:row r="3917">
      <x:c r="A3917"/>
      <x:c r="B3917"/>
      <x:c r="C3917"/>
      <x:c r="D3917"/>
      <x:c r="E3917"/>
      <x:c r="F3917"/>
      <x:c r="G3917"/>
    </x:row>
    <x:row r="3918">
      <x:c r="A3918"/>
      <x:c r="B3918"/>
      <x:c r="C3918"/>
      <x:c r="D3918"/>
      <x:c r="E3918"/>
      <x:c r="F3918"/>
      <x:c r="G3918"/>
    </x:row>
    <x:row r="3919">
      <x:c r="A3919"/>
      <x:c r="B3919"/>
      <x:c r="C3919"/>
      <x:c r="D3919"/>
      <x:c r="E3919"/>
      <x:c r="F3919"/>
      <x:c r="G3919"/>
    </x:row>
    <x:row r="3920">
      <x:c r="A3920"/>
      <x:c r="B3920"/>
      <x:c r="C3920"/>
      <x:c r="D3920"/>
      <x:c r="E3920"/>
      <x:c r="F3920"/>
      <x:c r="G3920"/>
    </x:row>
    <x:row r="3921">
      <x:c r="A3921"/>
      <x:c r="B3921"/>
      <x:c r="C3921"/>
      <x:c r="D3921"/>
      <x:c r="E3921"/>
      <x:c r="F3921"/>
      <x:c r="G3921"/>
    </x:row>
    <x:row r="3922">
      <x:c r="A3922"/>
      <x:c r="B3922"/>
      <x:c r="C3922"/>
      <x:c r="D3922"/>
      <x:c r="E3922"/>
      <x:c r="F3922"/>
      <x:c r="G3922"/>
    </x:row>
    <x:row r="3923">
      <x:c r="A3923"/>
      <x:c r="B3923"/>
      <x:c r="C3923"/>
      <x:c r="D3923"/>
      <x:c r="E3923"/>
      <x:c r="F3923"/>
      <x:c r="G3923"/>
    </x:row>
    <x:row r="3924">
      <x:c r="A3924"/>
      <x:c r="B3924"/>
      <x:c r="C3924"/>
      <x:c r="D3924"/>
      <x:c r="E3924"/>
      <x:c r="F3924"/>
      <x:c r="G3924"/>
    </x:row>
    <x:row r="3925">
      <x:c r="A3925"/>
      <x:c r="B3925"/>
      <x:c r="C3925"/>
      <x:c r="D3925"/>
      <x:c r="E3925"/>
      <x:c r="F3925"/>
      <x:c r="G3925"/>
    </x:row>
    <x:row r="3926">
      <x:c r="A3926"/>
      <x:c r="B3926"/>
      <x:c r="C3926"/>
      <x:c r="D3926"/>
      <x:c r="E3926"/>
      <x:c r="F3926"/>
      <x:c r="G3926"/>
    </x:row>
    <x:row r="3927">
      <x:c r="A3927"/>
      <x:c r="B3927"/>
      <x:c r="C3927"/>
      <x:c r="D3927"/>
      <x:c r="E3927"/>
      <x:c r="F3927"/>
      <x:c r="G3927"/>
    </x:row>
    <x:row r="3928">
      <x:c r="A3928"/>
      <x:c r="B3928"/>
      <x:c r="C3928"/>
      <x:c r="D3928"/>
      <x:c r="E3928"/>
      <x:c r="F3928"/>
      <x:c r="G3928"/>
    </x:row>
    <x:row r="3929">
      <x:c r="A3929"/>
      <x:c r="B3929"/>
      <x:c r="C3929"/>
      <x:c r="D3929"/>
      <x:c r="E3929"/>
      <x:c r="F3929"/>
      <x:c r="G3929"/>
    </x:row>
    <x:row r="3930">
      <x:c r="A3930"/>
      <x:c r="B3930"/>
      <x:c r="C3930"/>
      <x:c r="D3930"/>
      <x:c r="E3930"/>
      <x:c r="F3930"/>
      <x:c r="G3930"/>
    </x:row>
    <x:row r="3931">
      <x:c r="A3931"/>
      <x:c r="B3931"/>
      <x:c r="C3931"/>
      <x:c r="D3931"/>
      <x:c r="E3931"/>
      <x:c r="F3931"/>
      <x:c r="G3931"/>
    </x:row>
    <x:row r="3932">
      <x:c r="A3932"/>
      <x:c r="B3932"/>
      <x:c r="C3932"/>
      <x:c r="D3932"/>
      <x:c r="E3932"/>
      <x:c r="F3932"/>
      <x:c r="G3932"/>
    </x:row>
    <x:row r="3933">
      <x:c r="A3933"/>
      <x:c r="B3933"/>
      <x:c r="C3933"/>
      <x:c r="D3933"/>
      <x:c r="E3933"/>
      <x:c r="F3933"/>
      <x:c r="G3933"/>
    </x:row>
    <x:row r="3934">
      <x:c r="A3934"/>
      <x:c r="B3934"/>
      <x:c r="C3934"/>
      <x:c r="D3934"/>
      <x:c r="E3934"/>
      <x:c r="F3934"/>
      <x:c r="G3934"/>
    </x:row>
    <x:row r="3935">
      <x:c r="A3935"/>
      <x:c r="B3935"/>
      <x:c r="C3935"/>
      <x:c r="D3935"/>
      <x:c r="E3935"/>
      <x:c r="F3935"/>
      <x:c r="G3935"/>
    </x:row>
    <x:row r="3936">
      <x:c r="A3936"/>
      <x:c r="B3936"/>
      <x:c r="C3936"/>
      <x:c r="D3936"/>
      <x:c r="E3936"/>
      <x:c r="F3936"/>
      <x:c r="G3936"/>
    </x:row>
    <x:row r="3937">
      <x:c r="A3937"/>
      <x:c r="B3937"/>
      <x:c r="C3937"/>
      <x:c r="D3937"/>
      <x:c r="E3937"/>
      <x:c r="F3937"/>
      <x:c r="G3937"/>
    </x:row>
    <x:row r="3938">
      <x:c r="A3938"/>
      <x:c r="B3938"/>
      <x:c r="C3938"/>
      <x:c r="D3938"/>
      <x:c r="E3938"/>
      <x:c r="F3938"/>
      <x:c r="G3938"/>
    </x:row>
    <x:row r="3939">
      <x:c r="A3939"/>
      <x:c r="B3939"/>
      <x:c r="C3939"/>
      <x:c r="D3939"/>
      <x:c r="E3939"/>
      <x:c r="F3939"/>
      <x:c r="G3939"/>
    </x:row>
    <x:row r="3940">
      <x:c r="A3940"/>
      <x:c r="B3940"/>
      <x:c r="C3940"/>
      <x:c r="D3940"/>
      <x:c r="E3940"/>
      <x:c r="F3940"/>
      <x:c r="G3940"/>
    </x:row>
    <x:row r="3941">
      <x:c r="A3941"/>
      <x:c r="B3941"/>
      <x:c r="C3941"/>
      <x:c r="D3941"/>
      <x:c r="E3941"/>
      <x:c r="F3941"/>
      <x:c r="G3941"/>
    </x:row>
    <x:row r="3942">
      <x:c r="A3942"/>
      <x:c r="B3942"/>
      <x:c r="C3942"/>
      <x:c r="D3942"/>
      <x:c r="E3942"/>
      <x:c r="F3942"/>
      <x:c r="G3942"/>
    </x:row>
    <x:row r="3943">
      <x:c r="A3943"/>
      <x:c r="B3943"/>
      <x:c r="C3943"/>
      <x:c r="D3943"/>
      <x:c r="E3943"/>
      <x:c r="F3943"/>
      <x:c r="G3943"/>
    </x:row>
    <x:row r="3944">
      <x:c r="A3944"/>
      <x:c r="B3944"/>
      <x:c r="C3944"/>
      <x:c r="D3944"/>
      <x:c r="E3944"/>
      <x:c r="F3944"/>
      <x:c r="G3944"/>
    </x:row>
    <x:row r="3945">
      <x:c r="A3945"/>
      <x:c r="B3945"/>
      <x:c r="C3945"/>
      <x:c r="D3945"/>
      <x:c r="E3945"/>
      <x:c r="F3945"/>
      <x:c r="G3945"/>
    </x:row>
    <x:row r="3946">
      <x:c r="A3946"/>
      <x:c r="B3946"/>
      <x:c r="C3946"/>
      <x:c r="D3946"/>
      <x:c r="E3946"/>
      <x:c r="F3946"/>
      <x:c r="G3946"/>
    </x:row>
    <x:row r="3947">
      <x:c r="A3947"/>
      <x:c r="B3947"/>
      <x:c r="C3947"/>
      <x:c r="D3947"/>
      <x:c r="E3947"/>
      <x:c r="F3947"/>
      <x:c r="G3947"/>
    </x:row>
    <x:row r="3948">
      <x:c r="A3948"/>
      <x:c r="B3948"/>
      <x:c r="C3948"/>
      <x:c r="D3948"/>
      <x:c r="E3948"/>
      <x:c r="F3948"/>
      <x:c r="G3948"/>
    </x:row>
    <x:row r="3949">
      <x:c r="A3949"/>
      <x:c r="B3949"/>
      <x:c r="C3949"/>
      <x:c r="D3949"/>
      <x:c r="E3949"/>
      <x:c r="F3949"/>
      <x:c r="G3949"/>
    </x:row>
    <x:row r="3950">
      <x:c r="A3950"/>
      <x:c r="B3950"/>
      <x:c r="C3950"/>
      <x:c r="D3950"/>
      <x:c r="E3950"/>
      <x:c r="F3950"/>
      <x:c r="G3950"/>
    </x:row>
    <x:row r="3951">
      <x:c r="A3951"/>
      <x:c r="B3951"/>
      <x:c r="C3951"/>
      <x:c r="D3951"/>
      <x:c r="E3951"/>
      <x:c r="F3951"/>
      <x:c r="G3951"/>
    </x:row>
    <x:row r="3952">
      <x:c r="A3952"/>
      <x:c r="B3952"/>
      <x:c r="C3952"/>
      <x:c r="D3952"/>
      <x:c r="E3952"/>
      <x:c r="F3952"/>
      <x:c r="G3952"/>
    </x:row>
    <x:row r="3953">
      <x:c r="A3953"/>
      <x:c r="B3953"/>
      <x:c r="C3953"/>
      <x:c r="D3953"/>
      <x:c r="E3953"/>
      <x:c r="F3953"/>
      <x:c r="G3953"/>
    </x:row>
    <x:row r="3954">
      <x:c r="A3954"/>
      <x:c r="B3954"/>
      <x:c r="C3954"/>
      <x:c r="D3954"/>
      <x:c r="E3954"/>
      <x:c r="F3954"/>
      <x:c r="G3954"/>
    </x:row>
    <x:row r="3955">
      <x:c r="A3955"/>
      <x:c r="B3955"/>
      <x:c r="C3955"/>
      <x:c r="D3955"/>
      <x:c r="E3955"/>
      <x:c r="F3955"/>
      <x:c r="G3955"/>
    </x:row>
    <x:row r="3956">
      <x:c r="A3956"/>
      <x:c r="B3956"/>
      <x:c r="C3956"/>
      <x:c r="D3956"/>
      <x:c r="E3956"/>
      <x:c r="F3956"/>
      <x:c r="G3956"/>
    </x:row>
    <x:row r="3957">
      <x:c r="A3957"/>
      <x:c r="B3957"/>
      <x:c r="C3957"/>
      <x:c r="D3957"/>
      <x:c r="E3957"/>
      <x:c r="F3957"/>
      <x:c r="G3957"/>
    </x:row>
    <x:row r="3958">
      <x:c r="A3958"/>
      <x:c r="B3958"/>
      <x:c r="C3958"/>
      <x:c r="D3958"/>
      <x:c r="E3958"/>
      <x:c r="F3958"/>
      <x:c r="G3958"/>
    </x:row>
    <x:row r="3959">
      <x:c r="A3959"/>
      <x:c r="B3959"/>
      <x:c r="C3959"/>
      <x:c r="D3959"/>
      <x:c r="E3959"/>
      <x:c r="F3959"/>
      <x:c r="G3959"/>
    </x:row>
    <x:row r="3960">
      <x:c r="A3960"/>
      <x:c r="B3960"/>
      <x:c r="C3960"/>
      <x:c r="D3960"/>
      <x:c r="E3960"/>
      <x:c r="F3960"/>
      <x:c r="G3960"/>
    </x:row>
    <x:row r="3961">
      <x:c r="A3961"/>
      <x:c r="B3961"/>
      <x:c r="C3961"/>
      <x:c r="D3961"/>
      <x:c r="E3961"/>
      <x:c r="F3961"/>
      <x:c r="G3961"/>
    </x:row>
    <x:row r="3962">
      <x:c r="A3962"/>
      <x:c r="B3962"/>
      <x:c r="C3962"/>
      <x:c r="D3962"/>
      <x:c r="E3962"/>
      <x:c r="F3962"/>
      <x:c r="G3962"/>
    </x:row>
    <x:row r="3963">
      <x:c r="A3963"/>
      <x:c r="B3963"/>
      <x:c r="C3963"/>
      <x:c r="D3963"/>
      <x:c r="E3963"/>
      <x:c r="F3963"/>
      <x:c r="G3963"/>
    </x:row>
    <x:row r="3964">
      <x:c r="A3964"/>
      <x:c r="B3964"/>
      <x:c r="C3964"/>
      <x:c r="D3964"/>
      <x:c r="E3964"/>
      <x:c r="F3964"/>
      <x:c r="G3964"/>
    </x:row>
    <x:row r="3965">
      <x:c r="A3965"/>
      <x:c r="B3965"/>
      <x:c r="C3965"/>
      <x:c r="D3965"/>
      <x:c r="E3965"/>
      <x:c r="F3965"/>
      <x:c r="G3965"/>
    </x:row>
    <x:row r="3966">
      <x:c r="A3966"/>
      <x:c r="B3966"/>
      <x:c r="C3966"/>
      <x:c r="D3966"/>
      <x:c r="E3966"/>
      <x:c r="F3966"/>
      <x:c r="G3966"/>
    </x:row>
    <x:row r="3967">
      <x:c r="A3967"/>
      <x:c r="B3967"/>
      <x:c r="C3967"/>
      <x:c r="D3967"/>
      <x:c r="E3967"/>
      <x:c r="F3967"/>
      <x:c r="G3967"/>
    </x:row>
    <x:row r="3968">
      <x:c r="A3968"/>
      <x:c r="B3968"/>
      <x:c r="C3968"/>
      <x:c r="D3968"/>
      <x:c r="E3968"/>
      <x:c r="F3968"/>
      <x:c r="G3968"/>
    </x:row>
    <x:row r="3969">
      <x:c r="A3969"/>
      <x:c r="B3969"/>
      <x:c r="C3969"/>
      <x:c r="D3969"/>
      <x:c r="E3969"/>
      <x:c r="F3969"/>
      <x:c r="G3969"/>
    </x:row>
    <x:row r="3970">
      <x:c r="A3970"/>
      <x:c r="B3970"/>
      <x:c r="C3970"/>
      <x:c r="D3970"/>
      <x:c r="E3970"/>
      <x:c r="F3970"/>
      <x:c r="G3970"/>
    </x:row>
    <x:row r="3971">
      <x:c r="A3971"/>
      <x:c r="B3971"/>
      <x:c r="C3971"/>
      <x:c r="D3971"/>
      <x:c r="E3971"/>
      <x:c r="F3971"/>
      <x:c r="G3971"/>
    </x:row>
    <x:row r="3972">
      <x:c r="A3972"/>
      <x:c r="B3972"/>
      <x:c r="C3972"/>
      <x:c r="D3972"/>
      <x:c r="E3972"/>
      <x:c r="F3972"/>
      <x:c r="G3972"/>
    </x:row>
    <x:row r="3973">
      <x:c r="A3973"/>
      <x:c r="B3973"/>
      <x:c r="C3973"/>
      <x:c r="D3973"/>
      <x:c r="E3973"/>
      <x:c r="F3973"/>
      <x:c r="G3973"/>
    </x:row>
    <x:row r="3974">
      <x:c r="A3974"/>
      <x:c r="B3974"/>
      <x:c r="C3974"/>
      <x:c r="D3974"/>
      <x:c r="E3974"/>
      <x:c r="F3974"/>
      <x:c r="G3974"/>
    </x:row>
    <x:row r="3975">
      <x:c r="A3975"/>
      <x:c r="B3975"/>
      <x:c r="C3975"/>
      <x:c r="D3975"/>
      <x:c r="E3975"/>
      <x:c r="F3975"/>
      <x:c r="G3975"/>
    </x:row>
    <x:row r="3976">
      <x:c r="A3976"/>
      <x:c r="B3976"/>
      <x:c r="C3976"/>
      <x:c r="D3976"/>
      <x:c r="E3976"/>
      <x:c r="F3976"/>
      <x:c r="G3976"/>
    </x:row>
    <x:row r="3977">
      <x:c r="A3977"/>
      <x:c r="B3977"/>
      <x:c r="C3977"/>
      <x:c r="D3977"/>
      <x:c r="E3977"/>
      <x:c r="F3977"/>
      <x:c r="G3977"/>
    </x:row>
    <x:row r="3978">
      <x:c r="A3978"/>
      <x:c r="B3978"/>
      <x:c r="C3978"/>
      <x:c r="D3978"/>
      <x:c r="E3978"/>
      <x:c r="F3978"/>
      <x:c r="G3978"/>
    </x:row>
    <x:row r="3979">
      <x:c r="A3979"/>
      <x:c r="B3979"/>
      <x:c r="C3979"/>
      <x:c r="D3979"/>
      <x:c r="E3979"/>
      <x:c r="F3979"/>
      <x:c r="G3979"/>
    </x:row>
    <x:row r="3980">
      <x:c r="A3980"/>
      <x:c r="B3980"/>
      <x:c r="C3980"/>
      <x:c r="D3980"/>
      <x:c r="E3980"/>
      <x:c r="F3980"/>
      <x:c r="G3980"/>
    </x:row>
    <x:row r="3981">
      <x:c r="A3981"/>
      <x:c r="B3981"/>
      <x:c r="C3981"/>
      <x:c r="D3981"/>
      <x:c r="E3981"/>
      <x:c r="F3981"/>
      <x:c r="G3981"/>
    </x:row>
    <x:row r="3982">
      <x:c r="A3982"/>
      <x:c r="B3982"/>
      <x:c r="C3982"/>
      <x:c r="D3982"/>
      <x:c r="E3982"/>
      <x:c r="F3982"/>
      <x:c r="G3982"/>
    </x:row>
    <x:row r="3983">
      <x:c r="A3983"/>
      <x:c r="B3983"/>
      <x:c r="C3983"/>
      <x:c r="D3983"/>
      <x:c r="E3983"/>
      <x:c r="F3983"/>
      <x:c r="G3983"/>
    </x:row>
    <x:row r="3984">
      <x:c r="A3984"/>
      <x:c r="B3984"/>
      <x:c r="C3984"/>
      <x:c r="D3984"/>
      <x:c r="E3984"/>
      <x:c r="F3984"/>
      <x:c r="G3984"/>
    </x:row>
    <x:row r="3985">
      <x:c r="A3985"/>
      <x:c r="B3985"/>
      <x:c r="C3985"/>
      <x:c r="D3985"/>
      <x:c r="E3985"/>
      <x:c r="F3985"/>
      <x:c r="G3985"/>
    </x:row>
    <x:row r="3986">
      <x:c r="A3986"/>
      <x:c r="B3986"/>
      <x:c r="C3986"/>
      <x:c r="D3986"/>
      <x:c r="E3986"/>
      <x:c r="F3986"/>
      <x:c r="G3986"/>
    </x:row>
    <x:row r="3987">
      <x:c r="A3987"/>
      <x:c r="B3987"/>
      <x:c r="C3987"/>
      <x:c r="D3987"/>
      <x:c r="E3987"/>
      <x:c r="F3987"/>
      <x:c r="G3987"/>
    </x:row>
    <x:row r="3988">
      <x:c r="A3988"/>
      <x:c r="B3988"/>
      <x:c r="C3988"/>
      <x:c r="D3988"/>
      <x:c r="E3988"/>
      <x:c r="F3988"/>
      <x:c r="G3988"/>
    </x:row>
    <x:row r="3989">
      <x:c r="A3989"/>
      <x:c r="B3989"/>
      <x:c r="C3989"/>
      <x:c r="D3989"/>
      <x:c r="E3989"/>
      <x:c r="F3989"/>
      <x:c r="G3989"/>
    </x:row>
    <x:row r="3990">
      <x:c r="A3990"/>
      <x:c r="B3990"/>
      <x:c r="C3990"/>
      <x:c r="D3990"/>
      <x:c r="E3990"/>
      <x:c r="F3990"/>
      <x:c r="G3990"/>
    </x:row>
    <x:row r="3991">
      <x:c r="A3991"/>
      <x:c r="B3991"/>
      <x:c r="C3991"/>
      <x:c r="D3991"/>
      <x:c r="E3991"/>
      <x:c r="F3991"/>
      <x:c r="G3991"/>
    </x:row>
    <x:row r="3992">
      <x:c r="A3992"/>
      <x:c r="B3992"/>
      <x:c r="C3992"/>
      <x:c r="D3992"/>
      <x:c r="E3992"/>
      <x:c r="F3992"/>
      <x:c r="G3992"/>
    </x:row>
    <x:row r="3993">
      <x:c r="A3993"/>
      <x:c r="B3993"/>
      <x:c r="C3993"/>
      <x:c r="D3993"/>
      <x:c r="E3993"/>
      <x:c r="F3993"/>
      <x:c r="G3993"/>
    </x:row>
    <x:row r="3994">
      <x:c r="A3994"/>
      <x:c r="B3994"/>
      <x:c r="C3994"/>
      <x:c r="D3994"/>
      <x:c r="E3994"/>
      <x:c r="F3994"/>
      <x:c r="G3994"/>
    </x:row>
    <x:row r="3995">
      <x:c r="A3995"/>
      <x:c r="B3995"/>
      <x:c r="C3995"/>
      <x:c r="D3995"/>
      <x:c r="E3995"/>
      <x:c r="F3995"/>
      <x:c r="G3995"/>
    </x:row>
    <x:row r="3996">
      <x:c r="A3996"/>
      <x:c r="B3996"/>
      <x:c r="C3996"/>
      <x:c r="D3996"/>
      <x:c r="E3996"/>
      <x:c r="F3996"/>
      <x:c r="G3996"/>
    </x:row>
    <x:row r="3997">
      <x:c r="A3997"/>
      <x:c r="B3997"/>
      <x:c r="C3997"/>
      <x:c r="D3997"/>
      <x:c r="E3997"/>
      <x:c r="F3997"/>
      <x:c r="G3997"/>
    </x:row>
    <x:row r="3998">
      <x:c r="A3998"/>
      <x:c r="B3998"/>
      <x:c r="C3998"/>
      <x:c r="D3998"/>
      <x:c r="E3998"/>
      <x:c r="F3998"/>
      <x:c r="G3998"/>
    </x:row>
    <x:row r="3999">
      <x:c r="A3999"/>
      <x:c r="B3999"/>
      <x:c r="C3999"/>
      <x:c r="D3999"/>
      <x:c r="E3999"/>
      <x:c r="F3999"/>
      <x:c r="G3999"/>
    </x:row>
    <x:row r="4000">
      <x:c r="A4000"/>
      <x:c r="B4000"/>
      <x:c r="C4000"/>
      <x:c r="D4000"/>
      <x:c r="E4000"/>
      <x:c r="F4000"/>
      <x:c r="G4000"/>
    </x:row>
    <x:row r="4001">
      <x:c r="A4001"/>
      <x:c r="B4001"/>
      <x:c r="C4001"/>
      <x:c r="D4001"/>
      <x:c r="E4001"/>
      <x:c r="F4001"/>
      <x:c r="G4001"/>
    </x:row>
    <x:row r="4002">
      <x:c r="A4002"/>
      <x:c r="B4002"/>
      <x:c r="C4002"/>
      <x:c r="D4002"/>
      <x:c r="E4002"/>
      <x:c r="F4002"/>
      <x:c r="G4002"/>
    </x:row>
    <x:row r="4003">
      <x:c r="A4003"/>
      <x:c r="B4003"/>
      <x:c r="C4003"/>
      <x:c r="D4003"/>
      <x:c r="E4003"/>
      <x:c r="F4003"/>
      <x:c r="G4003"/>
    </x:row>
    <x:row r="4004">
      <x:c r="A4004"/>
      <x:c r="B4004"/>
      <x:c r="C4004"/>
      <x:c r="D4004"/>
      <x:c r="E4004"/>
      <x:c r="F4004"/>
      <x:c r="G4004"/>
    </x:row>
    <x:row r="4005">
      <x:c r="A4005"/>
      <x:c r="B4005"/>
      <x:c r="C4005"/>
      <x:c r="D4005"/>
      <x:c r="E4005"/>
      <x:c r="F4005"/>
      <x:c r="G4005"/>
    </x:row>
    <x:row r="4006">
      <x:c r="A4006"/>
      <x:c r="B4006"/>
      <x:c r="C4006"/>
      <x:c r="D4006"/>
      <x:c r="E4006"/>
      <x:c r="F4006"/>
      <x:c r="G4006"/>
    </x:row>
    <x:row r="4007">
      <x:c r="A4007"/>
      <x:c r="B4007"/>
      <x:c r="C4007"/>
      <x:c r="D4007"/>
      <x:c r="E4007"/>
      <x:c r="F4007"/>
      <x:c r="G4007"/>
    </x:row>
    <x:row r="4008">
      <x:c r="A4008"/>
      <x:c r="B4008"/>
      <x:c r="C4008"/>
      <x:c r="D4008"/>
      <x:c r="E4008"/>
      <x:c r="F4008"/>
      <x:c r="G4008"/>
    </x:row>
    <x:row r="4009">
      <x:c r="A4009"/>
      <x:c r="B4009"/>
      <x:c r="C4009"/>
      <x:c r="D4009"/>
      <x:c r="E4009"/>
      <x:c r="F4009"/>
      <x:c r="G4009"/>
    </x:row>
    <x:row r="4010">
      <x:c r="A4010"/>
      <x:c r="B4010"/>
      <x:c r="C4010"/>
      <x:c r="D4010"/>
      <x:c r="E4010"/>
      <x:c r="F4010"/>
      <x:c r="G4010"/>
    </x:row>
    <x:row r="4011">
      <x:c r="A4011"/>
      <x:c r="B4011"/>
      <x:c r="C4011"/>
      <x:c r="D4011"/>
      <x:c r="E4011"/>
      <x:c r="F4011"/>
      <x:c r="G4011"/>
    </x:row>
    <x:row r="4012">
      <x:c r="A4012"/>
      <x:c r="B4012"/>
      <x:c r="C4012"/>
      <x:c r="D4012"/>
      <x:c r="E4012"/>
      <x:c r="F4012"/>
      <x:c r="G4012"/>
    </x:row>
    <x:row r="4013">
      <x:c r="A4013"/>
      <x:c r="B4013"/>
      <x:c r="C4013"/>
      <x:c r="D4013"/>
      <x:c r="E4013"/>
      <x:c r="F4013"/>
      <x:c r="G4013"/>
    </x:row>
    <x:row r="4014">
      <x:c r="A4014"/>
      <x:c r="B4014"/>
      <x:c r="C4014"/>
      <x:c r="D4014"/>
      <x:c r="E4014"/>
      <x:c r="F4014"/>
      <x:c r="G4014"/>
    </x:row>
    <x:row r="4015">
      <x:c r="A4015"/>
      <x:c r="B4015"/>
      <x:c r="C4015"/>
      <x:c r="D4015"/>
      <x:c r="E4015"/>
      <x:c r="F4015"/>
      <x:c r="G4015"/>
    </x:row>
    <x:row r="4016">
      <x:c r="A4016"/>
      <x:c r="B4016"/>
      <x:c r="C4016"/>
      <x:c r="D4016"/>
      <x:c r="E4016"/>
      <x:c r="F4016"/>
      <x:c r="G4016"/>
    </x:row>
    <x:row r="4017">
      <x:c r="A4017"/>
      <x:c r="B4017"/>
      <x:c r="C4017"/>
      <x:c r="D4017"/>
      <x:c r="E4017"/>
      <x:c r="F4017"/>
      <x:c r="G4017"/>
    </x:row>
    <x:row r="4018">
      <x:c r="A4018"/>
      <x:c r="B4018"/>
      <x:c r="C4018"/>
      <x:c r="D4018"/>
      <x:c r="E4018"/>
      <x:c r="F4018"/>
      <x:c r="G4018"/>
    </x:row>
    <x:row r="4019">
      <x:c r="A4019"/>
      <x:c r="B4019"/>
      <x:c r="C4019"/>
      <x:c r="D4019"/>
      <x:c r="E4019"/>
      <x:c r="F4019"/>
      <x:c r="G4019"/>
    </x:row>
    <x:row r="4020">
      <x:c r="A4020"/>
      <x:c r="B4020"/>
      <x:c r="C4020"/>
      <x:c r="D4020"/>
      <x:c r="E4020"/>
      <x:c r="F4020"/>
      <x:c r="G4020"/>
    </x:row>
    <x:row r="4021">
      <x:c r="A4021"/>
      <x:c r="B4021"/>
      <x:c r="C4021"/>
      <x:c r="D4021"/>
      <x:c r="E4021"/>
      <x:c r="F4021"/>
      <x:c r="G4021"/>
    </x:row>
    <x:row r="4022">
      <x:c r="A4022"/>
      <x:c r="B4022"/>
      <x:c r="C4022"/>
      <x:c r="D4022"/>
      <x:c r="E4022"/>
      <x:c r="F4022"/>
      <x:c r="G4022"/>
    </x:row>
    <x:row r="4023">
      <x:c r="A4023"/>
      <x:c r="B4023"/>
      <x:c r="C4023"/>
      <x:c r="D4023"/>
      <x:c r="E4023"/>
      <x:c r="F4023"/>
      <x:c r="G4023"/>
    </x:row>
    <x:row r="4024">
      <x:c r="A4024"/>
      <x:c r="B4024"/>
      <x:c r="C4024"/>
      <x:c r="D4024"/>
      <x:c r="E4024"/>
      <x:c r="F4024"/>
      <x:c r="G4024"/>
    </x:row>
    <x:row r="4025">
      <x:c r="A4025"/>
      <x:c r="B4025"/>
      <x:c r="C4025"/>
      <x:c r="D4025"/>
      <x:c r="E4025"/>
      <x:c r="F4025"/>
      <x:c r="G4025"/>
    </x:row>
    <x:row r="4026">
      <x:c r="A4026"/>
      <x:c r="B4026"/>
      <x:c r="C4026"/>
      <x:c r="D4026"/>
      <x:c r="E4026"/>
      <x:c r="F4026"/>
      <x:c r="G4026"/>
    </x:row>
    <x:row r="4027">
      <x:c r="A4027"/>
      <x:c r="B4027"/>
      <x:c r="C4027"/>
      <x:c r="D4027"/>
      <x:c r="E4027"/>
      <x:c r="F4027"/>
      <x:c r="G4027"/>
    </x:row>
    <x:row r="4028">
      <x:c r="A4028"/>
      <x:c r="B4028"/>
      <x:c r="C4028"/>
      <x:c r="D4028"/>
      <x:c r="E4028"/>
      <x:c r="F4028"/>
      <x:c r="G4028"/>
    </x:row>
    <x:row r="4029">
      <x:c r="A4029"/>
      <x:c r="B4029"/>
      <x:c r="C4029"/>
      <x:c r="D4029"/>
      <x:c r="E4029"/>
      <x:c r="F4029"/>
      <x:c r="G4029"/>
    </x:row>
    <x:row r="4030">
      <x:c r="A4030"/>
      <x:c r="B4030"/>
      <x:c r="C4030"/>
      <x:c r="D4030"/>
      <x:c r="E4030"/>
      <x:c r="F4030"/>
      <x:c r="G4030"/>
    </x:row>
    <x:row r="4031">
      <x:c r="A4031"/>
      <x:c r="B4031"/>
      <x:c r="C4031"/>
      <x:c r="D4031"/>
      <x:c r="E4031"/>
      <x:c r="F4031"/>
      <x:c r="G4031"/>
    </x:row>
    <x:row r="4032">
      <x:c r="A4032"/>
      <x:c r="B4032"/>
      <x:c r="C4032"/>
      <x:c r="D4032"/>
      <x:c r="E4032"/>
      <x:c r="F4032"/>
      <x:c r="G4032"/>
    </x:row>
    <x:row r="4033">
      <x:c r="A4033"/>
      <x:c r="B4033"/>
      <x:c r="C4033"/>
      <x:c r="D4033"/>
      <x:c r="E4033"/>
      <x:c r="F4033"/>
      <x:c r="G4033"/>
    </x:row>
    <x:row r="4034">
      <x:c r="A4034"/>
      <x:c r="B4034"/>
      <x:c r="C4034"/>
      <x:c r="D4034"/>
      <x:c r="E4034"/>
      <x:c r="F4034"/>
      <x:c r="G4034"/>
    </x:row>
    <x:row r="4035">
      <x:c r="A4035"/>
      <x:c r="B4035"/>
      <x:c r="C4035"/>
      <x:c r="D4035"/>
      <x:c r="E4035"/>
      <x:c r="F4035"/>
      <x:c r="G4035"/>
    </x:row>
    <x:row r="4036">
      <x:c r="A4036"/>
      <x:c r="B4036"/>
      <x:c r="C4036"/>
      <x:c r="D4036"/>
      <x:c r="E4036"/>
      <x:c r="F4036"/>
      <x:c r="G4036"/>
    </x:row>
    <x:row r="4037">
      <x:c r="A4037"/>
      <x:c r="B4037"/>
      <x:c r="C4037"/>
      <x:c r="D4037"/>
      <x:c r="E4037"/>
      <x:c r="F4037"/>
      <x:c r="G4037"/>
    </x:row>
    <x:row r="4038">
      <x:c r="A4038"/>
      <x:c r="B4038"/>
      <x:c r="C4038"/>
      <x:c r="D4038"/>
      <x:c r="E4038"/>
      <x:c r="F4038"/>
      <x:c r="G4038"/>
    </x:row>
    <x:row r="4039">
      <x:c r="A4039"/>
      <x:c r="B4039"/>
      <x:c r="C4039"/>
      <x:c r="D4039"/>
      <x:c r="E4039"/>
      <x:c r="F4039"/>
      <x:c r="G4039"/>
    </x:row>
    <x:row r="4040">
      <x:c r="A4040"/>
      <x:c r="B4040"/>
      <x:c r="C4040"/>
      <x:c r="D4040"/>
      <x:c r="E4040"/>
      <x:c r="F4040"/>
      <x:c r="G4040"/>
    </x:row>
    <x:row r="4041">
      <x:c r="A4041"/>
      <x:c r="B4041"/>
      <x:c r="C4041"/>
      <x:c r="D4041"/>
      <x:c r="E4041"/>
      <x:c r="F4041"/>
      <x:c r="G4041"/>
    </x:row>
    <x:row r="4042">
      <x:c r="A4042"/>
      <x:c r="B4042"/>
      <x:c r="C4042"/>
      <x:c r="D4042"/>
      <x:c r="E4042"/>
      <x:c r="F4042"/>
      <x:c r="G4042"/>
    </x:row>
    <x:row r="4043">
      <x:c r="A4043"/>
      <x:c r="B4043"/>
      <x:c r="C4043"/>
      <x:c r="D4043"/>
      <x:c r="E4043"/>
      <x:c r="F4043"/>
      <x:c r="G4043"/>
    </x:row>
    <x:row r="4044">
      <x:c r="A4044"/>
      <x:c r="B4044"/>
      <x:c r="C4044"/>
      <x:c r="D4044"/>
      <x:c r="E4044"/>
      <x:c r="F4044"/>
      <x:c r="G4044"/>
    </x:row>
    <x:row r="4045">
      <x:c r="A4045"/>
      <x:c r="B4045"/>
      <x:c r="C4045"/>
      <x:c r="D4045"/>
      <x:c r="E4045"/>
      <x:c r="F4045"/>
      <x:c r="G4045"/>
    </x:row>
    <x:row r="4046">
      <x:c r="A4046"/>
      <x:c r="B4046"/>
      <x:c r="C4046"/>
      <x:c r="D4046"/>
      <x:c r="E4046"/>
      <x:c r="F4046"/>
      <x:c r="G4046"/>
    </x:row>
    <x:row r="4047">
      <x:c r="A4047"/>
      <x:c r="B4047"/>
      <x:c r="C4047"/>
      <x:c r="D4047"/>
      <x:c r="E4047"/>
      <x:c r="F4047"/>
      <x:c r="G4047"/>
    </x:row>
    <x:row r="4048">
      <x:c r="A4048"/>
      <x:c r="B4048"/>
      <x:c r="C4048"/>
      <x:c r="D4048"/>
      <x:c r="E4048"/>
      <x:c r="F4048"/>
      <x:c r="G4048"/>
    </x:row>
    <x:row r="4049">
      <x:c r="A4049"/>
      <x:c r="B4049"/>
      <x:c r="C4049"/>
      <x:c r="D4049"/>
      <x:c r="E4049"/>
      <x:c r="F4049"/>
      <x:c r="G4049"/>
    </x:row>
    <x:row r="4050">
      <x:c r="A4050"/>
      <x:c r="B4050"/>
      <x:c r="C4050"/>
      <x:c r="D4050"/>
      <x:c r="E4050"/>
      <x:c r="F4050"/>
      <x:c r="G4050"/>
    </x:row>
    <x:row r="4051">
      <x:c r="A4051"/>
      <x:c r="B4051"/>
      <x:c r="C4051"/>
      <x:c r="D4051"/>
      <x:c r="E4051"/>
      <x:c r="F4051"/>
      <x:c r="G4051"/>
    </x:row>
    <x:row r="4052">
      <x:c r="A4052"/>
      <x:c r="B4052"/>
      <x:c r="C4052"/>
      <x:c r="D4052"/>
      <x:c r="E4052"/>
      <x:c r="F4052"/>
      <x:c r="G4052"/>
    </x:row>
    <x:row r="4053">
      <x:c r="A4053"/>
      <x:c r="B4053"/>
      <x:c r="C4053"/>
      <x:c r="D4053"/>
      <x:c r="E4053"/>
      <x:c r="F4053"/>
      <x:c r="G4053"/>
    </x:row>
    <x:row r="4054">
      <x:c r="A4054"/>
      <x:c r="B4054"/>
      <x:c r="C4054"/>
      <x:c r="D4054"/>
      <x:c r="E4054"/>
      <x:c r="F4054"/>
      <x:c r="G4054"/>
    </x:row>
    <x:row r="4055">
      <x:c r="A4055"/>
      <x:c r="B4055"/>
      <x:c r="C4055"/>
      <x:c r="D4055"/>
      <x:c r="E4055"/>
      <x:c r="F4055"/>
      <x:c r="G4055"/>
    </x:row>
    <x:row r="4056">
      <x:c r="A4056"/>
      <x:c r="B4056"/>
      <x:c r="C4056"/>
      <x:c r="D4056"/>
      <x:c r="E4056"/>
      <x:c r="F4056"/>
      <x:c r="G4056"/>
    </x:row>
    <x:row r="4057">
      <x:c r="A4057"/>
      <x:c r="B4057"/>
      <x:c r="C4057"/>
      <x:c r="D4057"/>
      <x:c r="E4057"/>
      <x:c r="F4057"/>
      <x:c r="G4057"/>
    </x:row>
    <x:row r="4058">
      <x:c r="A4058"/>
      <x:c r="B4058"/>
      <x:c r="C4058"/>
      <x:c r="D4058"/>
      <x:c r="E4058"/>
      <x:c r="F4058"/>
      <x:c r="G4058"/>
    </x:row>
    <x:row r="4059">
      <x:c r="A4059"/>
      <x:c r="B4059"/>
      <x:c r="C4059"/>
      <x:c r="D4059"/>
      <x:c r="E4059"/>
      <x:c r="F4059"/>
      <x:c r="G4059"/>
    </x:row>
    <x:row r="4060">
      <x:c r="A4060"/>
      <x:c r="B4060"/>
      <x:c r="C4060"/>
      <x:c r="D4060"/>
      <x:c r="E4060"/>
      <x:c r="F4060"/>
      <x:c r="G4060"/>
    </x:row>
    <x:row r="4061">
      <x:c r="A4061"/>
      <x:c r="B4061"/>
      <x:c r="C4061"/>
      <x:c r="D4061"/>
      <x:c r="E4061"/>
      <x:c r="F4061"/>
      <x:c r="G4061"/>
    </x:row>
    <x:row r="4062">
      <x:c r="A4062"/>
      <x:c r="B4062"/>
      <x:c r="C4062"/>
      <x:c r="D4062"/>
      <x:c r="E4062"/>
      <x:c r="F4062"/>
      <x:c r="G4062"/>
    </x:row>
    <x:row r="4063">
      <x:c r="A4063"/>
      <x:c r="B4063"/>
      <x:c r="C4063"/>
      <x:c r="D4063"/>
      <x:c r="E4063"/>
      <x:c r="F4063"/>
      <x:c r="G4063"/>
    </x:row>
    <x:row r="4064">
      <x:c r="A4064"/>
      <x:c r="B4064"/>
      <x:c r="C4064"/>
      <x:c r="D4064"/>
      <x:c r="E4064"/>
      <x:c r="F4064"/>
      <x:c r="G4064"/>
    </x:row>
    <x:row r="4065">
      <x:c r="A4065"/>
      <x:c r="B4065"/>
      <x:c r="C4065"/>
      <x:c r="D4065"/>
      <x:c r="E4065"/>
      <x:c r="F4065"/>
      <x:c r="G4065"/>
    </x:row>
    <x:row r="4066">
      <x:c r="A4066"/>
      <x:c r="B4066"/>
      <x:c r="C4066"/>
      <x:c r="D4066"/>
      <x:c r="E4066"/>
      <x:c r="F4066"/>
      <x:c r="G4066"/>
    </x:row>
    <x:row r="4067">
      <x:c r="A4067"/>
      <x:c r="B4067"/>
      <x:c r="C4067"/>
      <x:c r="D4067"/>
      <x:c r="E4067"/>
      <x:c r="F4067"/>
      <x:c r="G4067"/>
    </x:row>
    <x:row r="4068">
      <x:c r="A4068"/>
      <x:c r="B4068"/>
      <x:c r="C4068"/>
      <x:c r="D4068"/>
      <x:c r="E4068"/>
      <x:c r="F4068"/>
      <x:c r="G4068"/>
    </x:row>
    <x:row r="4069">
      <x:c r="A4069"/>
      <x:c r="B4069"/>
      <x:c r="C4069"/>
      <x:c r="D4069"/>
      <x:c r="E4069"/>
      <x:c r="F4069"/>
      <x:c r="G4069"/>
    </x:row>
    <x:row r="4070">
      <x:c r="A4070"/>
      <x:c r="B4070"/>
      <x:c r="C4070"/>
      <x:c r="D4070"/>
      <x:c r="E4070"/>
      <x:c r="F4070"/>
      <x:c r="G4070"/>
    </x:row>
    <x:row r="4071">
      <x:c r="A4071"/>
      <x:c r="B4071"/>
      <x:c r="C4071"/>
      <x:c r="D4071"/>
      <x:c r="E4071"/>
      <x:c r="F4071"/>
      <x:c r="G4071"/>
    </x:row>
    <x:row r="4072">
      <x:c r="A4072"/>
      <x:c r="B4072"/>
      <x:c r="C4072"/>
      <x:c r="D4072"/>
      <x:c r="E4072"/>
      <x:c r="F4072"/>
      <x:c r="G4072"/>
    </x:row>
    <x:row r="4073">
      <x:c r="A4073"/>
      <x:c r="B4073"/>
      <x:c r="C4073"/>
      <x:c r="D4073"/>
      <x:c r="E4073"/>
      <x:c r="F4073"/>
      <x:c r="G4073"/>
    </x:row>
    <x:row r="4074">
      <x:c r="A4074"/>
      <x:c r="B4074"/>
      <x:c r="C4074"/>
      <x:c r="D4074"/>
      <x:c r="E4074"/>
      <x:c r="F4074"/>
      <x:c r="G4074"/>
    </x:row>
    <x:row r="4075">
      <x:c r="A4075"/>
      <x:c r="B4075"/>
      <x:c r="C4075"/>
      <x:c r="D4075"/>
      <x:c r="E4075"/>
      <x:c r="F4075"/>
      <x:c r="G4075"/>
    </x:row>
    <x:row r="4076">
      <x:c r="A4076"/>
      <x:c r="B4076"/>
      <x:c r="C4076"/>
      <x:c r="D4076"/>
      <x:c r="E4076"/>
      <x:c r="F4076"/>
      <x:c r="G4076"/>
    </x:row>
    <x:row r="4077">
      <x:c r="A4077"/>
      <x:c r="B4077"/>
      <x:c r="C4077"/>
      <x:c r="D4077"/>
      <x:c r="E4077"/>
      <x:c r="F4077"/>
      <x:c r="G4077"/>
    </x:row>
    <x:row r="4078">
      <x:c r="A4078"/>
      <x:c r="B4078"/>
      <x:c r="C4078"/>
      <x:c r="D4078"/>
      <x:c r="E4078"/>
      <x:c r="F4078"/>
      <x:c r="G4078"/>
    </x:row>
    <x:row r="4079">
      <x:c r="A4079"/>
      <x:c r="B4079"/>
      <x:c r="C4079"/>
      <x:c r="D4079"/>
      <x:c r="E4079"/>
      <x:c r="F4079"/>
      <x:c r="G4079"/>
    </x:row>
    <x:row r="4080">
      <x:c r="A4080"/>
      <x:c r="B4080"/>
      <x:c r="C4080"/>
      <x:c r="D4080"/>
      <x:c r="E4080"/>
      <x:c r="F4080"/>
      <x:c r="G4080"/>
    </x:row>
    <x:row r="4081">
      <x:c r="A4081"/>
      <x:c r="B4081"/>
      <x:c r="C4081"/>
      <x:c r="D4081"/>
      <x:c r="E4081"/>
      <x:c r="F4081"/>
      <x:c r="G4081"/>
    </x:row>
    <x:row r="4082">
      <x:c r="A4082"/>
      <x:c r="B4082"/>
      <x:c r="C4082"/>
      <x:c r="D4082"/>
      <x:c r="E4082"/>
      <x:c r="F4082"/>
      <x:c r="G4082"/>
    </x:row>
    <x:row r="4083">
      <x:c r="A4083"/>
      <x:c r="B4083"/>
      <x:c r="C4083"/>
      <x:c r="D4083"/>
      <x:c r="E4083"/>
      <x:c r="F4083"/>
      <x:c r="G4083"/>
    </x:row>
    <x:row r="4084">
      <x:c r="A4084"/>
      <x:c r="B4084"/>
      <x:c r="C4084"/>
      <x:c r="D4084"/>
      <x:c r="E4084"/>
      <x:c r="F4084"/>
      <x:c r="G4084"/>
    </x:row>
    <x:row r="4085">
      <x:c r="A4085"/>
      <x:c r="B4085"/>
      <x:c r="C4085"/>
      <x:c r="D4085"/>
      <x:c r="E4085"/>
      <x:c r="F4085"/>
      <x:c r="G4085"/>
    </x:row>
    <x:row r="4086">
      <x:c r="A4086"/>
      <x:c r="B4086"/>
      <x:c r="C4086"/>
      <x:c r="D4086"/>
      <x:c r="E4086"/>
      <x:c r="F4086"/>
      <x:c r="G4086"/>
    </x:row>
    <x:row r="4087">
      <x:c r="A4087"/>
      <x:c r="B4087"/>
      <x:c r="C4087"/>
      <x:c r="D4087"/>
      <x:c r="E4087"/>
      <x:c r="F4087"/>
      <x:c r="G4087"/>
    </x:row>
    <x:row r="4088">
      <x:c r="A4088"/>
      <x:c r="B4088"/>
      <x:c r="C4088"/>
      <x:c r="D4088"/>
      <x:c r="E4088"/>
      <x:c r="F4088"/>
      <x:c r="G4088"/>
    </x:row>
    <x:row r="4089">
      <x:c r="A4089"/>
      <x:c r="B4089"/>
      <x:c r="C4089"/>
      <x:c r="D4089"/>
      <x:c r="E4089"/>
      <x:c r="F4089"/>
      <x:c r="G4089"/>
    </x:row>
    <x:row r="4090">
      <x:c r="A4090"/>
      <x:c r="B4090"/>
      <x:c r="C4090"/>
      <x:c r="D4090"/>
      <x:c r="E4090"/>
      <x:c r="F4090"/>
      <x:c r="G4090"/>
    </x:row>
    <x:row r="4091">
      <x:c r="A4091"/>
      <x:c r="B4091"/>
      <x:c r="C4091"/>
      <x:c r="D4091"/>
      <x:c r="E4091"/>
      <x:c r="F4091"/>
      <x:c r="G4091"/>
    </x:row>
    <x:row r="4092">
      <x:c r="A4092"/>
      <x:c r="B4092"/>
      <x:c r="C4092"/>
      <x:c r="D4092"/>
      <x:c r="E4092"/>
      <x:c r="F4092"/>
      <x:c r="G4092"/>
    </x:row>
    <x:row r="4093">
      <x:c r="A4093"/>
      <x:c r="B4093"/>
      <x:c r="C4093"/>
      <x:c r="D4093"/>
      <x:c r="E4093"/>
      <x:c r="F4093"/>
      <x:c r="G4093"/>
    </x:row>
    <x:row r="4094">
      <x:c r="A4094"/>
      <x:c r="B4094"/>
      <x:c r="C4094"/>
      <x:c r="D4094"/>
      <x:c r="E4094"/>
      <x:c r="F4094"/>
      <x:c r="G4094"/>
    </x:row>
    <x:row r="4095">
      <x:c r="A4095"/>
      <x:c r="B4095"/>
      <x:c r="C4095"/>
      <x:c r="D4095"/>
      <x:c r="E4095"/>
      <x:c r="F4095"/>
      <x:c r="G4095"/>
    </x:row>
    <x:row r="4096">
      <x:c r="A4096"/>
      <x:c r="B4096"/>
      <x:c r="C4096"/>
      <x:c r="D4096"/>
      <x:c r="E4096"/>
      <x:c r="F4096"/>
      <x:c r="G4096"/>
    </x:row>
    <x:row r="4097">
      <x:c r="A4097"/>
      <x:c r="B4097"/>
      <x:c r="C4097"/>
      <x:c r="D4097"/>
      <x:c r="E4097"/>
      <x:c r="F4097"/>
      <x:c r="G4097"/>
    </x:row>
    <x:row r="4098">
      <x:c r="A4098"/>
      <x:c r="B4098"/>
      <x:c r="C4098"/>
      <x:c r="D4098"/>
      <x:c r="E4098"/>
      <x:c r="F4098"/>
      <x:c r="G4098"/>
    </x:row>
    <x:row r="4099">
      <x:c r="A4099"/>
      <x:c r="B4099"/>
      <x:c r="C4099"/>
      <x:c r="D4099"/>
      <x:c r="E4099"/>
      <x:c r="F4099"/>
      <x:c r="G4099"/>
    </x:row>
    <x:row r="4100">
      <x:c r="A4100"/>
      <x:c r="B4100"/>
      <x:c r="C4100"/>
      <x:c r="D4100"/>
      <x:c r="E4100"/>
      <x:c r="F4100"/>
      <x:c r="G4100"/>
    </x:row>
    <x:row r="4101">
      <x:c r="A4101"/>
      <x:c r="B4101"/>
      <x:c r="C4101"/>
      <x:c r="D4101"/>
      <x:c r="E4101"/>
      <x:c r="F4101"/>
      <x:c r="G4101"/>
    </x:row>
    <x:row r="4102">
      <x:c r="A4102"/>
      <x:c r="B4102"/>
      <x:c r="C4102"/>
      <x:c r="D4102"/>
      <x:c r="E4102"/>
      <x:c r="F4102"/>
      <x:c r="G4102"/>
    </x:row>
    <x:row r="4103">
      <x:c r="A4103"/>
      <x:c r="B4103"/>
      <x:c r="C4103"/>
      <x:c r="D4103"/>
      <x:c r="E4103"/>
      <x:c r="F4103"/>
      <x:c r="G4103"/>
    </x:row>
    <x:row r="4104">
      <x:c r="A4104"/>
      <x:c r="B4104"/>
      <x:c r="C4104"/>
      <x:c r="D4104"/>
      <x:c r="E4104"/>
      <x:c r="F4104"/>
      <x:c r="G4104"/>
    </x:row>
    <x:row r="4105">
      <x:c r="A4105"/>
      <x:c r="B4105"/>
      <x:c r="C4105"/>
      <x:c r="D4105"/>
      <x:c r="E4105"/>
      <x:c r="F4105"/>
      <x:c r="G4105"/>
    </x:row>
    <x:row r="4106">
      <x:c r="A4106"/>
      <x:c r="B4106"/>
      <x:c r="C4106"/>
      <x:c r="D4106"/>
      <x:c r="E4106"/>
      <x:c r="F4106"/>
      <x:c r="G4106"/>
    </x:row>
    <x:row r="4107">
      <x:c r="A4107"/>
      <x:c r="B4107"/>
      <x:c r="C4107"/>
      <x:c r="D4107"/>
      <x:c r="E4107"/>
      <x:c r="F4107"/>
      <x:c r="G4107"/>
    </x:row>
    <x:row r="4108">
      <x:c r="A4108"/>
      <x:c r="B4108"/>
      <x:c r="C4108"/>
      <x:c r="D4108"/>
      <x:c r="E4108"/>
      <x:c r="F4108"/>
      <x:c r="G4108"/>
    </x:row>
    <x:row r="4109">
      <x:c r="A4109"/>
      <x:c r="B4109"/>
      <x:c r="C4109"/>
      <x:c r="D4109"/>
      <x:c r="E4109"/>
      <x:c r="F4109"/>
      <x:c r="G4109"/>
    </x:row>
    <x:row r="4110">
      <x:c r="A4110"/>
      <x:c r="B4110"/>
      <x:c r="C4110"/>
      <x:c r="D4110"/>
      <x:c r="E4110"/>
      <x:c r="F4110"/>
      <x:c r="G4110"/>
    </x:row>
    <x:row r="4111">
      <x:c r="A4111"/>
      <x:c r="B4111"/>
      <x:c r="C4111"/>
      <x:c r="D4111"/>
      <x:c r="E4111"/>
      <x:c r="F4111"/>
      <x:c r="G4111"/>
    </x:row>
    <x:row r="4112">
      <x:c r="A4112"/>
      <x:c r="B4112"/>
      <x:c r="C4112"/>
      <x:c r="D4112"/>
      <x:c r="E4112"/>
      <x:c r="F4112"/>
      <x:c r="G4112"/>
    </x:row>
    <x:row r="4113">
      <x:c r="A4113"/>
      <x:c r="B4113"/>
      <x:c r="C4113"/>
      <x:c r="D4113"/>
      <x:c r="E4113"/>
      <x:c r="F4113"/>
      <x:c r="G4113"/>
    </x:row>
    <x:row r="4114">
      <x:c r="A4114"/>
      <x:c r="B4114"/>
      <x:c r="C4114"/>
      <x:c r="D4114"/>
      <x:c r="E4114"/>
      <x:c r="F4114"/>
      <x:c r="G4114"/>
    </x:row>
    <x:row r="4115">
      <x:c r="A4115"/>
      <x:c r="B4115"/>
      <x:c r="C4115"/>
      <x:c r="D4115"/>
      <x:c r="E4115"/>
      <x:c r="F4115"/>
      <x:c r="G4115"/>
    </x:row>
    <x:row r="4116">
      <x:c r="A4116"/>
      <x:c r="B4116"/>
      <x:c r="C4116"/>
      <x:c r="D4116"/>
      <x:c r="E4116"/>
      <x:c r="F4116"/>
      <x:c r="G4116"/>
    </x:row>
    <x:row r="4117">
      <x:c r="A4117"/>
      <x:c r="B4117"/>
      <x:c r="C4117"/>
      <x:c r="D4117"/>
      <x:c r="E4117"/>
      <x:c r="F4117"/>
      <x:c r="G4117"/>
    </x:row>
    <x:row r="4118">
      <x:c r="A4118"/>
      <x:c r="B4118"/>
      <x:c r="C4118"/>
      <x:c r="D4118"/>
      <x:c r="E4118"/>
      <x:c r="F4118"/>
      <x:c r="G4118"/>
    </x:row>
    <x:row r="4119">
      <x:c r="A4119"/>
      <x:c r="B4119"/>
      <x:c r="C4119"/>
      <x:c r="D4119"/>
      <x:c r="E4119"/>
      <x:c r="F4119"/>
      <x:c r="G4119"/>
    </x:row>
    <x:row r="4120">
      <x:c r="A4120"/>
      <x:c r="B4120"/>
      <x:c r="C4120"/>
      <x:c r="D4120"/>
      <x:c r="E4120"/>
      <x:c r="F4120"/>
      <x:c r="G4120"/>
    </x:row>
    <x:row r="4121">
      <x:c r="A4121"/>
      <x:c r="B4121"/>
      <x:c r="C4121"/>
      <x:c r="D4121"/>
      <x:c r="E4121"/>
      <x:c r="F4121"/>
      <x:c r="G4121"/>
    </x:row>
    <x:row r="4122">
      <x:c r="A4122"/>
      <x:c r="B4122"/>
      <x:c r="C4122"/>
      <x:c r="D4122"/>
      <x:c r="E4122"/>
      <x:c r="F4122"/>
      <x:c r="G4122"/>
    </x:row>
    <x:row r="4123">
      <x:c r="A4123"/>
      <x:c r="B4123"/>
      <x:c r="C4123"/>
      <x:c r="D4123"/>
      <x:c r="E4123"/>
      <x:c r="F4123"/>
      <x:c r="G4123"/>
    </x:row>
    <x:row r="4124">
      <x:c r="A4124"/>
      <x:c r="B4124"/>
      <x:c r="C4124"/>
      <x:c r="D4124"/>
      <x:c r="E4124"/>
      <x:c r="F4124"/>
      <x:c r="G4124"/>
    </x:row>
    <x:row r="4125">
      <x:c r="A4125"/>
      <x:c r="B4125"/>
      <x:c r="C4125"/>
      <x:c r="D4125"/>
      <x:c r="E4125"/>
      <x:c r="F4125"/>
      <x:c r="G4125"/>
    </x:row>
    <x:row r="4126">
      <x:c r="A4126"/>
      <x:c r="B4126"/>
      <x:c r="C4126"/>
      <x:c r="D4126"/>
      <x:c r="E4126"/>
      <x:c r="F4126"/>
      <x:c r="G4126"/>
    </x:row>
    <x:row r="4127">
      <x:c r="A4127"/>
      <x:c r="B4127"/>
      <x:c r="C4127"/>
      <x:c r="D4127"/>
      <x:c r="E4127"/>
      <x:c r="F4127"/>
      <x:c r="G4127"/>
    </x:row>
    <x:row r="4128">
      <x:c r="A4128"/>
      <x:c r="B4128"/>
      <x:c r="C4128"/>
      <x:c r="D4128"/>
      <x:c r="E4128"/>
      <x:c r="F4128"/>
      <x:c r="G4128"/>
    </x:row>
    <x:row r="4129">
      <x:c r="A4129"/>
      <x:c r="B4129"/>
      <x:c r="C4129"/>
      <x:c r="D4129"/>
      <x:c r="E4129"/>
      <x:c r="F4129"/>
      <x:c r="G4129"/>
    </x:row>
    <x:row r="4130">
      <x:c r="A4130"/>
      <x:c r="B4130"/>
      <x:c r="C4130"/>
      <x:c r="D4130"/>
      <x:c r="E4130"/>
      <x:c r="F4130"/>
      <x:c r="G4130"/>
    </x:row>
    <x:row r="4131">
      <x:c r="A4131"/>
      <x:c r="B4131"/>
      <x:c r="C4131"/>
      <x:c r="D4131"/>
      <x:c r="E4131"/>
      <x:c r="F4131"/>
      <x:c r="G4131"/>
    </x:row>
    <x:row r="4132">
      <x:c r="A4132"/>
      <x:c r="B4132"/>
      <x:c r="C4132"/>
      <x:c r="D4132"/>
      <x:c r="E4132"/>
      <x:c r="F4132"/>
      <x:c r="G4132"/>
    </x:row>
    <x:row r="4133">
      <x:c r="A4133"/>
      <x:c r="B4133"/>
      <x:c r="C4133"/>
      <x:c r="D4133"/>
      <x:c r="E4133"/>
      <x:c r="F4133"/>
      <x:c r="G4133"/>
    </x:row>
    <x:row r="4134">
      <x:c r="A4134"/>
      <x:c r="B4134"/>
      <x:c r="C4134"/>
      <x:c r="D4134"/>
      <x:c r="E4134"/>
      <x:c r="F4134"/>
      <x:c r="G4134"/>
    </x:row>
    <x:row r="4135">
      <x:c r="A4135"/>
      <x:c r="B4135"/>
      <x:c r="C4135"/>
      <x:c r="D4135"/>
      <x:c r="E4135"/>
      <x:c r="F4135"/>
      <x:c r="G4135"/>
    </x:row>
    <x:row r="4136">
      <x:c r="A4136"/>
      <x:c r="B4136"/>
      <x:c r="C4136"/>
      <x:c r="D4136"/>
      <x:c r="E4136"/>
      <x:c r="F4136"/>
      <x:c r="G4136"/>
    </x:row>
    <x:row r="4137">
      <x:c r="A4137"/>
      <x:c r="B4137"/>
      <x:c r="C4137"/>
      <x:c r="D4137"/>
      <x:c r="E4137"/>
      <x:c r="F4137"/>
      <x:c r="G4137"/>
    </x:row>
    <x:row r="4138">
      <x:c r="A4138"/>
      <x:c r="B4138"/>
      <x:c r="C4138"/>
      <x:c r="D4138"/>
      <x:c r="E4138"/>
      <x:c r="F4138"/>
      <x:c r="G4138"/>
    </x:row>
    <x:row r="4139">
      <x:c r="A4139"/>
      <x:c r="B4139"/>
      <x:c r="C4139"/>
      <x:c r="D4139"/>
      <x:c r="E4139"/>
      <x:c r="F4139"/>
      <x:c r="G4139"/>
    </x:row>
    <x:row r="4140">
      <x:c r="A4140"/>
      <x:c r="B4140"/>
      <x:c r="C4140"/>
      <x:c r="D4140"/>
      <x:c r="E4140"/>
      <x:c r="F4140"/>
      <x:c r="G4140"/>
    </x:row>
    <x:row r="4141">
      <x:c r="A4141"/>
      <x:c r="B4141"/>
      <x:c r="C4141"/>
      <x:c r="D4141"/>
      <x:c r="E4141"/>
      <x:c r="F4141"/>
      <x:c r="G4141"/>
    </x:row>
    <x:row r="4142">
      <x:c r="A4142"/>
      <x:c r="B4142"/>
      <x:c r="C4142"/>
      <x:c r="D4142"/>
      <x:c r="E4142"/>
      <x:c r="F4142"/>
      <x:c r="G4142"/>
    </x:row>
    <x:row r="4143">
      <x:c r="A4143"/>
      <x:c r="B4143"/>
      <x:c r="C4143"/>
      <x:c r="D4143"/>
      <x:c r="E4143"/>
      <x:c r="F4143"/>
      <x:c r="G4143"/>
    </x:row>
    <x:row r="4144">
      <x:c r="A4144"/>
      <x:c r="B4144"/>
      <x:c r="C4144"/>
      <x:c r="D4144"/>
      <x:c r="E4144"/>
      <x:c r="F4144"/>
      <x:c r="G4144"/>
    </x:row>
    <x:row r="4145">
      <x:c r="A4145"/>
      <x:c r="B4145"/>
      <x:c r="C4145"/>
      <x:c r="D4145"/>
      <x:c r="E4145"/>
      <x:c r="F4145"/>
      <x:c r="G4145"/>
    </x:row>
    <x:row r="4146">
      <x:c r="A4146"/>
      <x:c r="B4146"/>
      <x:c r="C4146"/>
      <x:c r="D4146"/>
      <x:c r="E4146"/>
      <x:c r="F4146"/>
      <x:c r="G4146"/>
    </x:row>
    <x:row r="4147">
      <x:c r="A4147"/>
      <x:c r="B4147"/>
      <x:c r="C4147"/>
      <x:c r="D4147"/>
      <x:c r="E4147"/>
      <x:c r="F4147"/>
      <x:c r="G4147"/>
    </x:row>
    <x:row r="4148">
      <x:c r="A4148"/>
      <x:c r="B4148"/>
      <x:c r="C4148"/>
      <x:c r="D4148"/>
      <x:c r="E4148"/>
      <x:c r="F4148"/>
      <x:c r="G4148"/>
    </x:row>
    <x:row r="4149">
      <x:c r="A4149"/>
      <x:c r="B4149"/>
      <x:c r="C4149"/>
      <x:c r="D4149"/>
      <x:c r="E4149"/>
      <x:c r="F4149"/>
      <x:c r="G4149"/>
    </x:row>
    <x:row r="4150">
      <x:c r="A4150"/>
      <x:c r="B4150"/>
      <x:c r="C4150"/>
      <x:c r="D4150"/>
      <x:c r="E4150"/>
      <x:c r="F4150"/>
      <x:c r="G4150"/>
    </x:row>
    <x:row r="4151">
      <x:c r="A4151"/>
      <x:c r="B4151"/>
      <x:c r="C4151"/>
      <x:c r="D4151"/>
      <x:c r="E4151"/>
      <x:c r="F4151"/>
      <x:c r="G4151"/>
    </x:row>
    <x:row r="4152">
      <x:c r="A4152"/>
      <x:c r="B4152"/>
      <x:c r="C4152"/>
      <x:c r="D4152"/>
      <x:c r="E4152"/>
      <x:c r="F4152"/>
      <x:c r="G4152"/>
    </x:row>
    <x:row r="4153">
      <x:c r="A4153"/>
      <x:c r="B4153"/>
      <x:c r="C4153"/>
      <x:c r="D4153"/>
      <x:c r="E4153"/>
      <x:c r="F4153"/>
      <x:c r="G4153"/>
    </x:row>
    <x:row r="4154">
      <x:c r="A4154"/>
      <x:c r="B4154"/>
      <x:c r="C4154"/>
      <x:c r="D4154"/>
      <x:c r="E4154"/>
      <x:c r="F4154"/>
      <x:c r="G4154"/>
    </x:row>
    <x:row r="4155">
      <x:c r="A4155"/>
      <x:c r="B4155"/>
      <x:c r="C4155"/>
      <x:c r="D4155"/>
      <x:c r="E4155"/>
      <x:c r="F4155"/>
      <x:c r="G4155"/>
    </x:row>
    <x:row r="4156">
      <x:c r="A4156"/>
      <x:c r="B4156"/>
      <x:c r="C4156"/>
      <x:c r="D4156"/>
      <x:c r="E4156"/>
      <x:c r="F4156"/>
      <x:c r="G4156"/>
    </x:row>
    <x:row r="4157">
      <x:c r="A4157"/>
      <x:c r="B4157"/>
      <x:c r="C4157"/>
      <x:c r="D4157"/>
      <x:c r="E4157"/>
      <x:c r="F4157"/>
      <x:c r="G4157"/>
    </x:row>
    <x:row r="4158">
      <x:c r="A4158"/>
      <x:c r="B4158"/>
      <x:c r="C4158"/>
      <x:c r="D4158"/>
      <x:c r="E4158"/>
      <x:c r="F4158"/>
      <x:c r="G4158"/>
    </x:row>
    <x:row r="4159">
      <x:c r="A4159"/>
      <x:c r="B4159"/>
      <x:c r="C4159"/>
      <x:c r="D4159"/>
      <x:c r="E4159"/>
      <x:c r="F4159"/>
      <x:c r="G4159"/>
    </x:row>
    <x:row r="4160">
      <x:c r="A4160"/>
      <x:c r="B4160"/>
      <x:c r="C4160"/>
      <x:c r="D4160"/>
      <x:c r="E4160"/>
      <x:c r="F4160"/>
      <x:c r="G4160"/>
    </x:row>
    <x:row r="4161">
      <x:c r="A4161"/>
      <x:c r="B4161"/>
      <x:c r="C4161"/>
      <x:c r="D4161"/>
      <x:c r="E4161"/>
      <x:c r="F4161"/>
      <x:c r="G4161"/>
    </x:row>
    <x:row r="4162">
      <x:c r="A4162"/>
      <x:c r="B4162"/>
      <x:c r="C4162"/>
      <x:c r="D4162"/>
      <x:c r="E4162"/>
      <x:c r="F4162"/>
      <x:c r="G4162"/>
    </x:row>
    <x:row r="4163">
      <x:c r="A4163"/>
      <x:c r="B4163"/>
      <x:c r="C4163"/>
      <x:c r="D4163"/>
      <x:c r="E4163"/>
      <x:c r="F4163"/>
      <x:c r="G4163"/>
    </x:row>
    <x:row r="4164">
      <x:c r="A4164"/>
      <x:c r="B4164"/>
      <x:c r="C4164"/>
      <x:c r="D4164"/>
      <x:c r="E4164"/>
      <x:c r="F4164"/>
      <x:c r="G4164"/>
    </x:row>
    <x:row r="4165">
      <x:c r="A4165"/>
      <x:c r="B4165"/>
      <x:c r="C4165"/>
      <x:c r="D4165"/>
      <x:c r="E4165"/>
      <x:c r="F4165"/>
      <x:c r="G4165"/>
    </x:row>
    <x:row r="4166">
      <x:c r="A4166"/>
      <x:c r="B4166"/>
      <x:c r="C4166"/>
      <x:c r="D4166"/>
      <x:c r="E4166"/>
      <x:c r="F4166"/>
      <x:c r="G4166"/>
    </x:row>
    <x:row r="4167">
      <x:c r="A4167"/>
      <x:c r="B4167"/>
      <x:c r="C4167"/>
      <x:c r="D4167"/>
      <x:c r="E4167"/>
      <x:c r="F4167"/>
      <x:c r="G4167"/>
    </x:row>
    <x:row r="4168">
      <x:c r="A4168"/>
      <x:c r="B4168"/>
      <x:c r="C4168"/>
      <x:c r="D4168"/>
      <x:c r="E4168"/>
      <x:c r="F4168"/>
      <x:c r="G4168"/>
    </x:row>
    <x:row r="4169">
      <x:c r="A4169"/>
      <x:c r="B4169"/>
      <x:c r="C4169"/>
      <x:c r="D4169"/>
      <x:c r="E4169"/>
      <x:c r="F4169"/>
      <x:c r="G4169"/>
    </x:row>
    <x:row r="4170">
      <x:c r="A4170"/>
      <x:c r="B4170"/>
      <x:c r="C4170"/>
      <x:c r="D4170"/>
      <x:c r="E4170"/>
      <x:c r="F4170"/>
      <x:c r="G4170"/>
    </x:row>
    <x:row r="4171">
      <x:c r="A4171"/>
      <x:c r="B4171"/>
      <x:c r="C4171"/>
      <x:c r="D4171"/>
      <x:c r="E4171"/>
      <x:c r="F4171"/>
      <x:c r="G4171"/>
    </x:row>
    <x:row r="4172">
      <x:c r="A4172"/>
      <x:c r="B4172"/>
      <x:c r="C4172"/>
      <x:c r="D4172"/>
      <x:c r="E4172"/>
      <x:c r="F4172"/>
      <x:c r="G4172"/>
    </x:row>
    <x:row r="4173">
      <x:c r="A4173"/>
      <x:c r="B4173"/>
      <x:c r="C4173"/>
      <x:c r="D4173"/>
      <x:c r="E4173"/>
      <x:c r="F4173"/>
      <x:c r="G4173"/>
    </x:row>
    <x:row r="4174">
      <x:c r="A4174"/>
      <x:c r="B4174"/>
      <x:c r="C4174"/>
      <x:c r="D4174"/>
      <x:c r="E4174"/>
      <x:c r="F4174"/>
      <x:c r="G4174"/>
    </x:row>
    <x:row r="4175">
      <x:c r="A4175"/>
      <x:c r="B4175"/>
      <x:c r="C4175"/>
      <x:c r="D4175"/>
      <x:c r="E4175"/>
      <x:c r="F4175"/>
      <x:c r="G4175"/>
    </x:row>
    <x:row r="4176">
      <x:c r="A4176"/>
      <x:c r="B4176"/>
      <x:c r="C4176"/>
      <x:c r="D4176"/>
      <x:c r="E4176"/>
      <x:c r="F4176"/>
      <x:c r="G4176"/>
    </x:row>
    <x:row r="4177">
      <x:c r="A4177"/>
      <x:c r="B4177"/>
      <x:c r="C4177"/>
      <x:c r="D4177"/>
      <x:c r="E4177"/>
      <x:c r="F4177"/>
      <x:c r="G4177"/>
    </x:row>
    <x:row r="4178">
      <x:c r="A4178"/>
      <x:c r="B4178"/>
      <x:c r="C4178"/>
      <x:c r="D4178"/>
      <x:c r="E4178"/>
      <x:c r="F4178"/>
      <x:c r="G4178"/>
    </x:row>
    <x:row r="4179">
      <x:c r="A4179"/>
      <x:c r="B4179"/>
      <x:c r="C4179"/>
      <x:c r="D4179"/>
      <x:c r="E4179"/>
      <x:c r="F4179"/>
      <x:c r="G4179"/>
    </x:row>
    <x:row r="4180">
      <x:c r="A4180"/>
      <x:c r="B4180"/>
      <x:c r="C4180"/>
      <x:c r="D4180"/>
      <x:c r="E4180"/>
      <x:c r="F4180"/>
      <x:c r="G4180"/>
    </x:row>
    <x:row r="4181">
      <x:c r="A4181"/>
      <x:c r="B4181"/>
      <x:c r="C4181"/>
      <x:c r="D4181"/>
      <x:c r="E4181"/>
      <x:c r="F4181"/>
      <x:c r="G4181"/>
    </x:row>
    <x:row r="4182">
      <x:c r="A4182"/>
      <x:c r="B4182"/>
      <x:c r="C4182"/>
      <x:c r="D4182"/>
      <x:c r="E4182"/>
      <x:c r="F4182"/>
      <x:c r="G4182"/>
    </x:row>
    <x:row r="4183">
      <x:c r="A4183"/>
      <x:c r="B4183"/>
      <x:c r="C4183"/>
      <x:c r="D4183"/>
      <x:c r="E4183"/>
      <x:c r="F4183"/>
      <x:c r="G4183"/>
    </x:row>
    <x:row r="4184">
      <x:c r="A4184"/>
      <x:c r="B4184"/>
      <x:c r="C4184"/>
      <x:c r="D4184"/>
      <x:c r="E4184"/>
      <x:c r="F4184"/>
      <x:c r="G4184"/>
    </x:row>
    <x:row r="4185">
      <x:c r="A4185"/>
      <x:c r="B4185"/>
      <x:c r="C4185"/>
      <x:c r="D4185"/>
      <x:c r="E4185"/>
      <x:c r="F4185"/>
      <x:c r="G4185"/>
    </x:row>
    <x:row r="4186">
      <x:c r="A4186"/>
      <x:c r="B4186"/>
      <x:c r="C4186"/>
      <x:c r="D4186"/>
      <x:c r="E4186"/>
      <x:c r="F4186"/>
      <x:c r="G4186"/>
    </x:row>
    <x:row r="4187">
      <x:c r="A4187"/>
      <x:c r="B4187"/>
      <x:c r="C4187"/>
      <x:c r="D4187"/>
      <x:c r="E4187"/>
      <x:c r="F4187"/>
      <x:c r="G4187"/>
    </x:row>
    <x:row r="4188">
      <x:c r="A4188"/>
      <x:c r="B4188"/>
      <x:c r="C4188"/>
      <x:c r="D4188"/>
      <x:c r="E4188"/>
      <x:c r="F4188"/>
      <x:c r="G4188"/>
    </x:row>
    <x:row r="4189">
      <x:c r="A4189"/>
      <x:c r="B4189"/>
      <x:c r="C4189"/>
      <x:c r="D4189"/>
      <x:c r="E4189"/>
      <x:c r="F4189"/>
      <x:c r="G4189"/>
    </x:row>
    <x:row r="4190">
      <x:c r="A4190"/>
      <x:c r="B4190"/>
      <x:c r="C4190"/>
      <x:c r="D4190"/>
      <x:c r="E4190"/>
      <x:c r="F4190"/>
      <x:c r="G4190"/>
    </x:row>
    <x:row r="4191">
      <x:c r="A4191"/>
      <x:c r="B4191"/>
      <x:c r="C4191"/>
      <x:c r="D4191"/>
      <x:c r="E4191"/>
      <x:c r="F4191"/>
      <x:c r="G4191"/>
    </x:row>
    <x:row r="4192">
      <x:c r="A4192"/>
      <x:c r="B4192"/>
      <x:c r="C4192"/>
      <x:c r="D4192"/>
      <x:c r="E4192"/>
      <x:c r="F4192"/>
      <x:c r="G4192"/>
    </x:row>
    <x:row r="4193">
      <x:c r="A4193"/>
      <x:c r="B4193"/>
      <x:c r="C4193"/>
      <x:c r="D4193"/>
      <x:c r="E4193"/>
      <x:c r="F4193"/>
      <x:c r="G4193"/>
    </x:row>
    <x:row r="4194">
      <x:c r="A4194"/>
      <x:c r="B4194"/>
      <x:c r="C4194"/>
      <x:c r="D4194"/>
      <x:c r="E4194"/>
      <x:c r="F4194"/>
      <x:c r="G4194"/>
    </x:row>
    <x:row r="4195">
      <x:c r="A4195"/>
      <x:c r="B4195"/>
      <x:c r="C4195"/>
      <x:c r="D4195"/>
      <x:c r="E4195"/>
      <x:c r="F4195"/>
      <x:c r="G4195"/>
    </x:row>
    <x:row r="4196">
      <x:c r="A4196"/>
      <x:c r="B4196"/>
      <x:c r="C4196"/>
      <x:c r="D4196"/>
      <x:c r="E4196"/>
      <x:c r="F4196"/>
      <x:c r="G4196"/>
    </x:row>
    <x:row r="4197">
      <x:c r="A4197"/>
      <x:c r="B4197"/>
      <x:c r="C4197"/>
      <x:c r="D4197"/>
      <x:c r="E4197"/>
      <x:c r="F4197"/>
      <x:c r="G4197"/>
    </x:row>
    <x:row r="4198">
      <x:c r="A4198"/>
      <x:c r="B4198"/>
      <x:c r="C4198"/>
      <x:c r="D4198"/>
      <x:c r="E4198"/>
      <x:c r="F4198"/>
      <x:c r="G4198"/>
    </x:row>
    <x:row r="4199">
      <x:c r="A4199"/>
      <x:c r="B4199"/>
      <x:c r="C4199"/>
      <x:c r="D4199"/>
      <x:c r="E4199"/>
      <x:c r="F4199"/>
      <x:c r="G4199"/>
    </x:row>
    <x:row r="4200">
      <x:c r="A4200"/>
      <x:c r="B4200"/>
      <x:c r="C4200"/>
      <x:c r="D4200"/>
      <x:c r="E4200"/>
      <x:c r="F4200"/>
      <x:c r="G4200"/>
    </x:row>
    <x:row r="4201">
      <x:c r="A4201"/>
      <x:c r="B4201"/>
      <x:c r="C4201"/>
      <x:c r="D4201"/>
      <x:c r="E4201"/>
      <x:c r="F4201"/>
      <x:c r="G4201"/>
    </x:row>
    <x:row r="4202">
      <x:c r="A4202"/>
      <x:c r="B4202"/>
      <x:c r="C4202"/>
      <x:c r="D4202"/>
      <x:c r="E4202"/>
      <x:c r="F4202"/>
      <x:c r="G4202"/>
    </x:row>
    <x:row r="4203">
      <x:c r="A4203"/>
      <x:c r="B4203"/>
      <x:c r="C4203"/>
      <x:c r="D4203"/>
      <x:c r="E4203"/>
      <x:c r="F4203"/>
      <x:c r="G4203"/>
    </x:row>
    <x:row r="4204">
      <x:c r="A4204"/>
      <x:c r="B4204"/>
      <x:c r="C4204"/>
      <x:c r="D4204"/>
      <x:c r="E4204"/>
      <x:c r="F4204"/>
      <x:c r="G4204"/>
    </x:row>
    <x:row r="4205">
      <x:c r="A4205"/>
      <x:c r="B4205"/>
      <x:c r="C4205"/>
      <x:c r="D4205"/>
      <x:c r="E4205"/>
      <x:c r="F4205"/>
      <x:c r="G4205"/>
    </x:row>
    <x:row r="4206">
      <x:c r="A4206"/>
      <x:c r="B4206"/>
      <x:c r="C4206"/>
      <x:c r="D4206"/>
      <x:c r="E4206"/>
      <x:c r="F4206"/>
      <x:c r="G4206"/>
    </x:row>
    <x:row r="4207">
      <x:c r="A4207"/>
      <x:c r="B4207"/>
      <x:c r="C4207"/>
      <x:c r="D4207"/>
      <x:c r="E4207"/>
      <x:c r="F4207"/>
      <x:c r="G4207"/>
    </x:row>
    <x:row r="4208">
      <x:c r="A4208"/>
      <x:c r="B4208"/>
      <x:c r="C4208"/>
      <x:c r="D4208"/>
      <x:c r="E4208"/>
      <x:c r="F4208"/>
      <x:c r="G4208"/>
    </x:row>
    <x:row r="4209">
      <x:c r="A4209"/>
      <x:c r="B4209"/>
      <x:c r="C4209"/>
      <x:c r="D4209"/>
      <x:c r="E4209"/>
      <x:c r="F4209"/>
      <x:c r="G4209"/>
    </x:row>
    <x:row r="4210">
      <x:c r="A4210"/>
      <x:c r="B4210"/>
      <x:c r="C4210"/>
      <x:c r="D4210"/>
      <x:c r="E4210"/>
      <x:c r="F4210"/>
      <x:c r="G4210"/>
    </x:row>
    <x:row r="4211">
      <x:c r="A4211"/>
      <x:c r="B4211"/>
      <x:c r="C4211"/>
      <x:c r="D4211"/>
      <x:c r="E4211"/>
      <x:c r="F4211"/>
      <x:c r="G4211"/>
    </x:row>
    <x:row r="4212">
      <x:c r="A4212"/>
      <x:c r="B4212"/>
      <x:c r="C4212"/>
      <x:c r="D4212"/>
      <x:c r="E4212"/>
      <x:c r="F4212"/>
      <x:c r="G4212"/>
    </x:row>
    <x:row r="4213">
      <x:c r="A4213"/>
      <x:c r="B4213"/>
      <x:c r="C4213"/>
      <x:c r="D4213"/>
      <x:c r="E4213"/>
      <x:c r="F4213"/>
      <x:c r="G4213"/>
    </x:row>
    <x:row r="4214">
      <x:c r="A4214"/>
      <x:c r="B4214"/>
      <x:c r="C4214"/>
      <x:c r="D4214"/>
      <x:c r="E4214"/>
      <x:c r="F4214"/>
      <x:c r="G4214"/>
    </x:row>
    <x:row r="4215">
      <x:c r="A4215"/>
      <x:c r="B4215"/>
      <x:c r="C4215"/>
      <x:c r="D4215"/>
      <x:c r="E4215"/>
      <x:c r="F4215"/>
      <x:c r="G4215"/>
    </x:row>
    <x:row r="4216">
      <x:c r="A4216"/>
      <x:c r="B4216"/>
      <x:c r="C4216"/>
      <x:c r="D4216"/>
      <x:c r="E4216"/>
      <x:c r="F4216"/>
      <x:c r="G4216"/>
    </x:row>
    <x:row r="4217">
      <x:c r="A4217"/>
      <x:c r="B4217"/>
      <x:c r="C4217"/>
      <x:c r="D4217"/>
      <x:c r="E4217"/>
      <x:c r="F4217"/>
      <x:c r="G4217"/>
    </x:row>
    <x:row r="4218">
      <x:c r="A4218"/>
      <x:c r="B4218"/>
      <x:c r="C4218"/>
      <x:c r="D4218"/>
      <x:c r="E4218"/>
      <x:c r="F4218"/>
      <x:c r="G4218"/>
    </x:row>
    <x:row r="4219">
      <x:c r="A4219"/>
      <x:c r="B4219"/>
      <x:c r="C4219"/>
      <x:c r="D4219"/>
      <x:c r="E4219"/>
      <x:c r="F4219"/>
      <x:c r="G4219"/>
    </x:row>
    <x:row r="4220">
      <x:c r="A4220"/>
      <x:c r="B4220"/>
      <x:c r="C4220"/>
      <x:c r="D4220"/>
      <x:c r="E4220"/>
      <x:c r="F4220"/>
      <x:c r="G4220"/>
    </x:row>
    <x:row r="4221">
      <x:c r="A4221"/>
      <x:c r="B4221"/>
      <x:c r="C4221"/>
      <x:c r="D4221"/>
      <x:c r="E4221"/>
      <x:c r="F4221"/>
      <x:c r="G4221"/>
    </x:row>
    <x:row r="4222">
      <x:c r="A4222"/>
      <x:c r="B4222"/>
      <x:c r="C4222"/>
      <x:c r="D4222"/>
      <x:c r="E4222"/>
      <x:c r="F4222"/>
      <x:c r="G4222"/>
    </x:row>
    <x:row r="4223">
      <x:c r="A4223"/>
      <x:c r="B4223"/>
      <x:c r="C4223"/>
      <x:c r="D4223"/>
      <x:c r="E4223"/>
      <x:c r="F4223"/>
      <x:c r="G4223"/>
    </x:row>
    <x:row r="4224">
      <x:c r="A4224"/>
      <x:c r="B4224"/>
      <x:c r="C4224"/>
      <x:c r="D4224"/>
      <x:c r="E4224"/>
      <x:c r="F4224"/>
      <x:c r="G4224"/>
    </x:row>
    <x:row r="4225">
      <x:c r="A4225"/>
      <x:c r="B4225"/>
      <x:c r="C4225"/>
      <x:c r="D4225"/>
      <x:c r="E4225"/>
      <x:c r="F4225"/>
      <x:c r="G4225"/>
    </x:row>
    <x:row r="4226">
      <x:c r="A4226"/>
      <x:c r="B4226"/>
      <x:c r="C4226"/>
      <x:c r="D4226"/>
      <x:c r="E4226"/>
      <x:c r="F4226"/>
      <x:c r="G4226"/>
    </x:row>
    <x:row r="4227">
      <x:c r="A4227"/>
      <x:c r="B4227"/>
      <x:c r="C4227"/>
      <x:c r="D4227"/>
      <x:c r="E4227"/>
      <x:c r="F4227"/>
      <x:c r="G4227"/>
    </x:row>
    <x:row r="4228">
      <x:c r="A4228"/>
      <x:c r="B4228"/>
      <x:c r="C4228"/>
      <x:c r="D4228"/>
      <x:c r="E4228"/>
      <x:c r="F4228"/>
      <x:c r="G4228"/>
    </x:row>
    <x:row r="4229">
      <x:c r="A4229"/>
      <x:c r="B4229"/>
      <x:c r="C4229"/>
      <x:c r="D4229"/>
      <x:c r="E4229"/>
      <x:c r="F4229"/>
      <x:c r="G4229"/>
    </x:row>
    <x:row r="4230">
      <x:c r="A4230"/>
      <x:c r="B4230"/>
      <x:c r="C4230"/>
      <x:c r="D4230"/>
      <x:c r="E4230"/>
      <x:c r="F4230"/>
      <x:c r="G4230"/>
    </x:row>
    <x:row r="4231">
      <x:c r="A4231"/>
      <x:c r="B4231"/>
      <x:c r="C4231"/>
      <x:c r="D4231"/>
      <x:c r="E4231"/>
      <x:c r="F4231"/>
      <x:c r="G4231"/>
    </x:row>
    <x:row r="4232">
      <x:c r="A4232"/>
      <x:c r="B4232"/>
      <x:c r="C4232"/>
      <x:c r="D4232"/>
      <x:c r="E4232"/>
      <x:c r="F4232"/>
      <x:c r="G4232"/>
    </x:row>
    <x:row r="4233">
      <x:c r="A4233"/>
      <x:c r="B4233"/>
      <x:c r="C4233"/>
      <x:c r="D4233"/>
      <x:c r="E4233"/>
      <x:c r="F4233"/>
      <x:c r="G4233"/>
    </x:row>
    <x:row r="4234">
      <x:c r="A4234"/>
      <x:c r="B4234"/>
      <x:c r="C4234"/>
      <x:c r="D4234"/>
      <x:c r="E4234"/>
      <x:c r="F4234"/>
      <x:c r="G4234"/>
    </x:row>
    <x:row r="4235">
      <x:c r="A4235"/>
      <x:c r="B4235"/>
      <x:c r="C4235"/>
      <x:c r="D4235"/>
      <x:c r="E4235"/>
      <x:c r="F4235"/>
      <x:c r="G4235"/>
    </x:row>
    <x:row r="4236">
      <x:c r="A4236"/>
      <x:c r="B4236"/>
      <x:c r="C4236"/>
      <x:c r="D4236"/>
      <x:c r="E4236"/>
      <x:c r="F4236"/>
      <x:c r="G4236"/>
    </x:row>
    <x:row r="4237">
      <x:c r="A4237"/>
      <x:c r="B4237"/>
      <x:c r="C4237"/>
      <x:c r="D4237"/>
      <x:c r="E4237"/>
      <x:c r="F4237"/>
      <x:c r="G4237"/>
    </x:row>
    <x:row r="4238">
      <x:c r="A4238"/>
      <x:c r="B4238"/>
      <x:c r="C4238"/>
      <x:c r="D4238"/>
      <x:c r="E4238"/>
      <x:c r="F4238"/>
      <x:c r="G4238"/>
    </x:row>
    <x:row r="4239">
      <x:c r="A4239"/>
      <x:c r="B4239"/>
      <x:c r="C4239"/>
      <x:c r="D4239"/>
      <x:c r="E4239"/>
      <x:c r="F4239"/>
      <x:c r="G4239"/>
    </x:row>
    <x:row r="4240">
      <x:c r="A4240"/>
      <x:c r="B4240"/>
      <x:c r="C4240"/>
      <x:c r="D4240"/>
      <x:c r="E4240"/>
      <x:c r="F4240"/>
      <x:c r="G4240"/>
    </x:row>
    <x:row r="4241">
      <x:c r="A4241"/>
      <x:c r="B4241"/>
      <x:c r="C4241"/>
      <x:c r="D4241"/>
      <x:c r="E4241"/>
      <x:c r="F4241"/>
      <x:c r="G4241"/>
    </x:row>
    <x:row r="4242">
      <x:c r="A4242"/>
      <x:c r="B4242"/>
      <x:c r="C4242"/>
      <x:c r="D4242"/>
      <x:c r="E4242"/>
      <x:c r="F4242"/>
      <x:c r="G4242"/>
    </x:row>
    <x:row r="4243">
      <x:c r="A4243"/>
      <x:c r="B4243"/>
      <x:c r="C4243"/>
      <x:c r="D4243"/>
      <x:c r="E4243"/>
      <x:c r="F4243"/>
      <x:c r="G4243"/>
    </x:row>
    <x:row r="4244">
      <x:c r="A4244"/>
      <x:c r="B4244"/>
      <x:c r="C4244"/>
      <x:c r="D4244"/>
      <x:c r="E4244"/>
      <x:c r="F4244"/>
      <x:c r="G4244"/>
    </x:row>
    <x:row r="4245">
      <x:c r="A4245"/>
      <x:c r="B4245"/>
      <x:c r="C4245"/>
      <x:c r="D4245"/>
      <x:c r="E4245"/>
      <x:c r="F4245"/>
      <x:c r="G4245"/>
    </x:row>
    <x:row r="4246">
      <x:c r="A4246"/>
      <x:c r="B4246"/>
      <x:c r="C4246"/>
      <x:c r="D4246"/>
      <x:c r="E4246"/>
      <x:c r="F4246"/>
      <x:c r="G4246"/>
    </x:row>
    <x:row r="4247">
      <x:c r="A4247"/>
      <x:c r="B4247"/>
      <x:c r="C4247"/>
      <x:c r="D4247"/>
      <x:c r="E4247"/>
      <x:c r="F4247"/>
      <x:c r="G4247"/>
    </x:row>
    <x:row r="4248">
      <x:c r="A4248"/>
      <x:c r="B4248"/>
      <x:c r="C4248"/>
      <x:c r="D4248"/>
      <x:c r="E4248"/>
      <x:c r="F4248"/>
      <x:c r="G4248"/>
    </x:row>
    <x:row r="4249">
      <x:c r="A4249"/>
      <x:c r="B4249"/>
      <x:c r="C4249"/>
      <x:c r="D4249"/>
      <x:c r="E4249"/>
      <x:c r="F4249"/>
      <x:c r="G4249"/>
    </x:row>
    <x:row r="4250">
      <x:c r="A4250"/>
      <x:c r="B4250"/>
      <x:c r="C4250"/>
      <x:c r="D4250"/>
      <x:c r="E4250"/>
      <x:c r="F4250"/>
      <x:c r="G4250"/>
    </x:row>
    <x:row r="4251">
      <x:c r="A4251"/>
      <x:c r="B4251"/>
      <x:c r="C4251"/>
      <x:c r="D4251"/>
      <x:c r="E4251"/>
      <x:c r="F4251"/>
      <x:c r="G4251"/>
    </x:row>
    <x:row r="4252">
      <x:c r="A4252"/>
      <x:c r="B4252"/>
      <x:c r="C4252"/>
      <x:c r="D4252"/>
      <x:c r="E4252"/>
      <x:c r="F4252"/>
      <x:c r="G4252"/>
    </x:row>
    <x:row r="4253">
      <x:c r="A4253"/>
      <x:c r="B4253"/>
      <x:c r="C4253"/>
      <x:c r="D4253"/>
      <x:c r="E4253"/>
      <x:c r="F4253"/>
      <x:c r="G4253"/>
    </x:row>
    <x:row r="4254">
      <x:c r="A4254"/>
      <x:c r="B4254"/>
      <x:c r="C4254"/>
      <x:c r="D4254"/>
      <x:c r="E4254"/>
      <x:c r="F4254"/>
      <x:c r="G4254"/>
    </x:row>
    <x:row r="4255">
      <x:c r="A4255"/>
      <x:c r="B4255"/>
      <x:c r="C4255"/>
      <x:c r="D4255"/>
      <x:c r="E4255"/>
      <x:c r="F4255"/>
      <x:c r="G4255"/>
    </x:row>
    <x:row r="4256">
      <x:c r="A4256"/>
      <x:c r="B4256"/>
      <x:c r="C4256"/>
      <x:c r="D4256"/>
      <x:c r="E4256"/>
      <x:c r="F4256"/>
      <x:c r="G4256"/>
    </x:row>
    <x:row r="4257">
      <x:c r="A4257"/>
      <x:c r="B4257"/>
      <x:c r="C4257"/>
      <x:c r="D4257"/>
      <x:c r="E4257"/>
      <x:c r="F4257"/>
      <x:c r="G4257"/>
    </x:row>
    <x:row r="4258">
      <x:c r="A4258"/>
      <x:c r="B4258"/>
      <x:c r="C4258"/>
      <x:c r="D4258"/>
      <x:c r="E4258"/>
      <x:c r="F4258"/>
      <x:c r="G4258"/>
    </x:row>
    <x:row r="4259">
      <x:c r="A4259"/>
      <x:c r="B4259"/>
      <x:c r="C4259"/>
      <x:c r="D4259"/>
      <x:c r="E4259"/>
      <x:c r="F4259"/>
      <x:c r="G4259"/>
    </x:row>
    <x:row r="4260">
      <x:c r="A4260"/>
      <x:c r="B4260"/>
      <x:c r="C4260"/>
      <x:c r="D4260"/>
      <x:c r="E4260"/>
      <x:c r="F4260"/>
      <x:c r="G4260"/>
    </x:row>
    <x:row r="4261">
      <x:c r="A4261"/>
      <x:c r="B4261"/>
      <x:c r="C4261"/>
      <x:c r="D4261"/>
      <x:c r="E4261"/>
      <x:c r="F4261"/>
      <x:c r="G4261"/>
    </x:row>
    <x:row r="4262">
      <x:c r="A4262"/>
      <x:c r="B4262"/>
      <x:c r="C4262"/>
      <x:c r="D4262"/>
      <x:c r="E4262"/>
      <x:c r="F4262"/>
      <x:c r="G4262"/>
    </x:row>
    <x:row r="4263">
      <x:c r="A4263"/>
      <x:c r="B4263"/>
      <x:c r="C4263"/>
      <x:c r="D4263"/>
      <x:c r="E4263"/>
      <x:c r="F4263"/>
      <x:c r="G4263"/>
    </x:row>
    <x:row r="4264">
      <x:c r="A4264"/>
      <x:c r="B4264"/>
      <x:c r="C4264"/>
      <x:c r="D4264"/>
      <x:c r="E4264"/>
      <x:c r="F4264"/>
      <x:c r="G4264"/>
    </x:row>
    <x:row r="4265">
      <x:c r="A4265"/>
      <x:c r="B4265"/>
      <x:c r="C4265"/>
      <x:c r="D4265"/>
      <x:c r="E4265"/>
      <x:c r="F4265"/>
      <x:c r="G4265"/>
    </x:row>
    <x:row r="4266">
      <x:c r="A4266"/>
      <x:c r="B4266"/>
      <x:c r="C4266"/>
      <x:c r="D4266"/>
      <x:c r="E4266"/>
      <x:c r="F4266"/>
      <x:c r="G4266"/>
    </x:row>
    <x:row r="4267">
      <x:c r="A4267"/>
      <x:c r="B4267"/>
      <x:c r="C4267"/>
      <x:c r="D4267"/>
      <x:c r="E4267"/>
      <x:c r="F4267"/>
      <x:c r="G4267"/>
    </x:row>
    <x:row r="4268">
      <x:c r="A4268"/>
      <x:c r="B4268"/>
      <x:c r="C4268"/>
      <x:c r="D4268"/>
      <x:c r="E4268"/>
      <x:c r="F4268"/>
      <x:c r="G4268"/>
    </x:row>
    <x:row r="4269">
      <x:c r="A4269"/>
      <x:c r="B4269"/>
      <x:c r="C4269"/>
      <x:c r="D4269"/>
      <x:c r="E4269"/>
      <x:c r="F4269"/>
      <x:c r="G4269"/>
    </x:row>
    <x:row r="4270">
      <x:c r="A4270"/>
      <x:c r="B4270"/>
      <x:c r="C4270"/>
      <x:c r="D4270"/>
      <x:c r="E4270"/>
      <x:c r="F4270"/>
      <x:c r="G4270"/>
    </x:row>
    <x:row r="4271">
      <x:c r="A4271"/>
      <x:c r="B4271"/>
      <x:c r="C4271"/>
      <x:c r="D4271"/>
      <x:c r="E4271"/>
      <x:c r="F4271"/>
      <x:c r="G4271"/>
    </x:row>
    <x:row r="4272">
      <x:c r="A4272"/>
      <x:c r="B4272"/>
      <x:c r="C4272"/>
      <x:c r="D4272"/>
      <x:c r="E4272"/>
      <x:c r="F4272"/>
      <x:c r="G4272"/>
    </x:row>
    <x:row r="4273">
      <x:c r="A4273"/>
      <x:c r="B4273"/>
      <x:c r="C4273"/>
      <x:c r="D4273"/>
      <x:c r="E4273"/>
      <x:c r="F4273"/>
      <x:c r="G4273"/>
    </x:row>
    <x:row r="4274">
      <x:c r="A4274"/>
      <x:c r="B4274"/>
      <x:c r="C4274"/>
      <x:c r="D4274"/>
      <x:c r="E4274"/>
      <x:c r="F4274"/>
      <x:c r="G4274"/>
    </x:row>
    <x:row r="4275">
      <x:c r="A4275"/>
      <x:c r="B4275"/>
      <x:c r="C4275"/>
      <x:c r="D4275"/>
      <x:c r="E4275"/>
      <x:c r="F4275"/>
      <x:c r="G4275"/>
    </x:row>
    <x:row r="4276">
      <x:c r="A4276"/>
      <x:c r="B4276"/>
      <x:c r="C4276"/>
      <x:c r="D4276"/>
      <x:c r="E4276"/>
      <x:c r="F4276"/>
      <x:c r="G4276"/>
    </x:row>
    <x:row r="4277">
      <x:c r="A4277"/>
      <x:c r="B4277"/>
      <x:c r="C4277"/>
      <x:c r="D4277"/>
      <x:c r="E4277"/>
      <x:c r="F4277"/>
      <x:c r="G4277"/>
    </x:row>
    <x:row r="4278">
      <x:c r="A4278"/>
      <x:c r="B4278"/>
      <x:c r="C4278"/>
      <x:c r="D4278"/>
      <x:c r="E4278"/>
      <x:c r="F4278"/>
      <x:c r="G4278"/>
    </x:row>
    <x:row r="4279">
      <x:c r="A4279"/>
      <x:c r="B4279"/>
      <x:c r="C4279"/>
      <x:c r="D4279"/>
      <x:c r="E4279"/>
      <x:c r="F4279"/>
      <x:c r="G4279"/>
    </x:row>
    <x:row r="4280">
      <x:c r="A4280"/>
      <x:c r="B4280"/>
      <x:c r="C4280"/>
      <x:c r="D4280"/>
      <x:c r="E4280"/>
      <x:c r="F4280"/>
      <x:c r="G4280"/>
    </x:row>
    <x:row r="4281">
      <x:c r="A4281"/>
      <x:c r="B4281"/>
      <x:c r="C4281"/>
      <x:c r="D4281"/>
      <x:c r="E4281"/>
      <x:c r="F4281"/>
      <x:c r="G4281"/>
    </x:row>
    <x:row r="4282">
      <x:c r="A4282"/>
      <x:c r="B4282"/>
      <x:c r="C4282"/>
      <x:c r="D4282"/>
      <x:c r="E4282"/>
      <x:c r="F4282"/>
      <x:c r="G4282"/>
    </x:row>
    <x:row r="4283">
      <x:c r="A4283"/>
      <x:c r="B4283"/>
      <x:c r="C4283"/>
      <x:c r="D4283"/>
      <x:c r="E4283"/>
      <x:c r="F4283"/>
      <x:c r="G4283"/>
    </x:row>
    <x:row r="4284">
      <x:c r="A4284"/>
      <x:c r="B4284"/>
      <x:c r="C4284"/>
      <x:c r="D4284"/>
      <x:c r="E4284"/>
      <x:c r="F4284"/>
      <x:c r="G4284"/>
    </x:row>
    <x:row r="4285">
      <x:c r="A4285"/>
      <x:c r="B4285"/>
      <x:c r="C4285"/>
      <x:c r="D4285"/>
      <x:c r="E4285"/>
      <x:c r="F4285"/>
      <x:c r="G4285"/>
    </x:row>
    <x:row r="4286">
      <x:c r="A4286"/>
      <x:c r="B4286"/>
      <x:c r="C4286"/>
      <x:c r="D4286"/>
      <x:c r="E4286"/>
      <x:c r="F4286"/>
      <x:c r="G4286"/>
    </x:row>
    <x:row r="4287">
      <x:c r="A4287"/>
      <x:c r="B4287"/>
      <x:c r="C4287"/>
      <x:c r="D4287"/>
      <x:c r="E4287"/>
      <x:c r="F4287"/>
      <x:c r="G4287"/>
    </x:row>
    <x:row r="4288">
      <x:c r="A4288"/>
      <x:c r="B4288"/>
      <x:c r="C4288"/>
      <x:c r="D4288"/>
      <x:c r="E4288"/>
      <x:c r="F4288"/>
      <x:c r="G4288"/>
    </x:row>
    <x:row r="4289">
      <x:c r="A4289"/>
      <x:c r="B4289"/>
      <x:c r="C4289"/>
      <x:c r="D4289"/>
      <x:c r="E4289"/>
      <x:c r="F4289"/>
      <x:c r="G4289"/>
    </x:row>
    <x:row r="4290">
      <x:c r="A4290"/>
      <x:c r="B4290"/>
      <x:c r="C4290"/>
      <x:c r="D4290"/>
      <x:c r="E4290"/>
      <x:c r="F4290"/>
      <x:c r="G4290"/>
    </x:row>
    <x:row r="4291">
      <x:c r="A4291"/>
      <x:c r="B4291"/>
      <x:c r="C4291"/>
      <x:c r="D4291"/>
      <x:c r="E4291"/>
      <x:c r="F4291"/>
      <x:c r="G4291"/>
    </x:row>
    <x:row r="4292">
      <x:c r="A4292"/>
      <x:c r="B4292"/>
      <x:c r="C4292"/>
      <x:c r="D4292"/>
      <x:c r="E4292"/>
      <x:c r="F4292"/>
      <x:c r="G4292"/>
    </x:row>
    <x:row r="4293">
      <x:c r="A4293"/>
      <x:c r="B4293"/>
      <x:c r="C4293"/>
      <x:c r="D4293"/>
      <x:c r="E4293"/>
      <x:c r="F4293"/>
      <x:c r="G4293"/>
    </x:row>
    <x:row r="4294">
      <x:c r="A4294"/>
      <x:c r="B4294"/>
      <x:c r="C4294"/>
      <x:c r="D4294"/>
      <x:c r="E4294"/>
      <x:c r="F4294"/>
      <x:c r="G4294"/>
    </x:row>
    <x:row r="4295">
      <x:c r="A4295"/>
      <x:c r="B4295"/>
      <x:c r="C4295"/>
      <x:c r="D4295"/>
      <x:c r="E4295"/>
      <x:c r="F4295"/>
      <x:c r="G4295"/>
    </x:row>
    <x:row r="4296">
      <x:c r="A4296"/>
      <x:c r="B4296"/>
      <x:c r="C4296"/>
      <x:c r="D4296"/>
      <x:c r="E4296"/>
      <x:c r="F4296"/>
      <x:c r="G4296"/>
    </x:row>
    <x:row r="4297">
      <x:c r="A4297"/>
      <x:c r="B4297"/>
      <x:c r="C4297"/>
      <x:c r="D4297"/>
      <x:c r="E4297"/>
      <x:c r="F4297"/>
      <x:c r="G4297"/>
    </x:row>
    <x:row r="4298">
      <x:c r="A4298"/>
      <x:c r="B4298"/>
      <x:c r="C4298"/>
      <x:c r="D4298"/>
      <x:c r="E4298"/>
      <x:c r="F4298"/>
      <x:c r="G4298"/>
    </x:row>
    <x:row r="4299">
      <x:c r="A4299"/>
      <x:c r="B4299"/>
      <x:c r="C4299"/>
      <x:c r="D4299"/>
      <x:c r="E4299"/>
      <x:c r="F4299"/>
      <x:c r="G4299"/>
    </x:row>
    <x:row r="4300">
      <x:c r="A4300"/>
      <x:c r="B4300"/>
      <x:c r="C4300"/>
      <x:c r="D4300"/>
      <x:c r="E4300"/>
      <x:c r="F4300"/>
      <x:c r="G4300"/>
    </x:row>
    <x:row r="4301">
      <x:c r="A4301"/>
      <x:c r="B4301"/>
      <x:c r="C4301"/>
      <x:c r="D4301"/>
      <x:c r="E4301"/>
      <x:c r="F4301"/>
      <x:c r="G4301"/>
    </x:row>
    <x:row r="4302">
      <x:c r="A4302"/>
      <x:c r="B4302"/>
      <x:c r="C4302"/>
      <x:c r="D4302"/>
      <x:c r="E4302"/>
      <x:c r="F4302"/>
      <x:c r="G4302"/>
    </x:row>
    <x:row r="4303">
      <x:c r="A4303"/>
      <x:c r="B4303"/>
      <x:c r="C4303"/>
      <x:c r="D4303"/>
      <x:c r="E4303"/>
      <x:c r="F4303"/>
      <x:c r="G4303"/>
    </x:row>
    <x:row r="4304">
      <x:c r="A4304"/>
      <x:c r="B4304"/>
      <x:c r="C4304"/>
      <x:c r="D4304"/>
      <x:c r="E4304"/>
      <x:c r="F4304"/>
      <x:c r="G4304"/>
    </x:row>
    <x:row r="4305">
      <x:c r="A4305"/>
      <x:c r="B4305"/>
      <x:c r="C4305"/>
      <x:c r="D4305"/>
      <x:c r="E4305"/>
      <x:c r="F4305"/>
      <x:c r="G4305"/>
    </x:row>
    <x:row r="4306">
      <x:c r="A4306"/>
      <x:c r="B4306"/>
      <x:c r="C4306"/>
      <x:c r="D4306"/>
      <x:c r="E4306"/>
      <x:c r="F4306"/>
      <x:c r="G4306"/>
    </x:row>
    <x:row r="4307">
      <x:c r="A4307"/>
      <x:c r="B4307"/>
      <x:c r="C4307"/>
      <x:c r="D4307"/>
      <x:c r="E4307"/>
      <x:c r="F4307"/>
      <x:c r="G4307"/>
    </x:row>
    <x:row r="4308">
      <x:c r="A4308"/>
      <x:c r="B4308"/>
      <x:c r="C4308"/>
      <x:c r="D4308"/>
      <x:c r="E4308"/>
      <x:c r="F4308"/>
      <x:c r="G4308"/>
    </x:row>
    <x:row r="4309">
      <x:c r="A4309"/>
      <x:c r="B4309"/>
      <x:c r="C4309"/>
      <x:c r="D4309"/>
      <x:c r="E4309"/>
      <x:c r="F4309"/>
      <x:c r="G4309"/>
    </x:row>
    <x:row r="4310">
      <x:c r="A4310"/>
      <x:c r="B4310"/>
      <x:c r="C4310"/>
      <x:c r="D4310"/>
      <x:c r="E4310"/>
      <x:c r="F4310"/>
      <x:c r="G4310"/>
    </x:row>
    <x:row r="4311">
      <x:c r="A4311"/>
      <x:c r="B4311"/>
      <x:c r="C4311"/>
      <x:c r="D4311"/>
      <x:c r="E4311"/>
      <x:c r="F4311"/>
      <x:c r="G4311"/>
    </x:row>
    <x:row r="4312">
      <x:c r="A4312"/>
      <x:c r="B4312"/>
      <x:c r="C4312"/>
      <x:c r="D4312"/>
      <x:c r="E4312"/>
      <x:c r="F4312"/>
      <x:c r="G4312"/>
    </x:row>
    <x:row r="4313">
      <x:c r="A4313"/>
      <x:c r="B4313"/>
      <x:c r="C4313"/>
      <x:c r="D4313"/>
      <x:c r="E4313"/>
      <x:c r="F4313"/>
      <x:c r="G4313"/>
    </x:row>
    <x:row r="4314">
      <x:c r="A4314"/>
      <x:c r="B4314"/>
      <x:c r="C4314"/>
      <x:c r="D4314"/>
      <x:c r="E4314"/>
      <x:c r="F4314"/>
      <x:c r="G4314"/>
    </x:row>
    <x:row r="4315">
      <x:c r="A4315"/>
      <x:c r="B4315"/>
      <x:c r="C4315"/>
      <x:c r="D4315"/>
      <x:c r="E4315"/>
      <x:c r="F4315"/>
      <x:c r="G4315"/>
    </x:row>
    <x:row r="4316">
      <x:c r="A4316"/>
      <x:c r="B4316"/>
      <x:c r="C4316"/>
      <x:c r="D4316"/>
      <x:c r="E4316"/>
      <x:c r="F4316"/>
      <x:c r="G4316"/>
    </x:row>
    <x:row r="4317">
      <x:c r="A4317"/>
      <x:c r="B4317"/>
      <x:c r="C4317"/>
      <x:c r="D4317"/>
      <x:c r="E4317"/>
      <x:c r="F4317"/>
      <x:c r="G4317"/>
    </x:row>
    <x:row r="4318">
      <x:c r="A4318"/>
      <x:c r="B4318"/>
      <x:c r="C4318"/>
      <x:c r="D4318"/>
      <x:c r="E4318"/>
      <x:c r="F4318"/>
      <x:c r="G4318"/>
    </x:row>
    <x:row r="4319">
      <x:c r="A4319"/>
      <x:c r="B4319"/>
      <x:c r="C4319"/>
      <x:c r="D4319"/>
      <x:c r="E4319"/>
      <x:c r="F4319"/>
      <x:c r="G4319"/>
    </x:row>
    <x:row r="4320">
      <x:c r="A4320"/>
      <x:c r="B4320"/>
      <x:c r="C4320"/>
      <x:c r="D4320"/>
      <x:c r="E4320"/>
      <x:c r="F4320"/>
      <x:c r="G4320"/>
    </x:row>
    <x:row r="4321">
      <x:c r="A4321"/>
      <x:c r="B4321"/>
      <x:c r="C4321"/>
      <x:c r="D4321"/>
      <x:c r="E4321"/>
      <x:c r="F4321"/>
      <x:c r="G4321"/>
    </x:row>
    <x:row r="4322">
      <x:c r="A4322"/>
      <x:c r="B4322"/>
      <x:c r="C4322"/>
      <x:c r="D4322"/>
      <x:c r="E4322"/>
      <x:c r="F4322"/>
      <x:c r="G4322"/>
    </x:row>
    <x:row r="4323">
      <x:c r="A4323"/>
      <x:c r="B4323"/>
      <x:c r="C4323"/>
      <x:c r="D4323"/>
      <x:c r="E4323"/>
      <x:c r="F4323"/>
      <x:c r="G4323"/>
    </x:row>
    <x:row r="4324">
      <x:c r="A4324"/>
      <x:c r="B4324"/>
      <x:c r="C4324"/>
      <x:c r="D4324"/>
      <x:c r="E4324"/>
      <x:c r="F4324"/>
      <x:c r="G4324"/>
    </x:row>
    <x:row r="4325">
      <x:c r="A4325"/>
      <x:c r="B4325"/>
      <x:c r="C4325"/>
      <x:c r="D4325"/>
      <x:c r="E4325"/>
      <x:c r="F4325"/>
      <x:c r="G4325"/>
    </x:row>
    <x:row r="4326">
      <x:c r="A4326"/>
      <x:c r="B4326"/>
      <x:c r="C4326"/>
      <x:c r="D4326"/>
      <x:c r="E4326"/>
      <x:c r="F4326"/>
      <x:c r="G4326"/>
    </x:row>
    <x:row r="4327">
      <x:c r="A4327"/>
      <x:c r="B4327"/>
      <x:c r="C4327"/>
      <x:c r="D4327"/>
      <x:c r="E4327"/>
      <x:c r="F4327"/>
      <x:c r="G4327"/>
    </x:row>
    <x:row r="4328">
      <x:c r="A4328"/>
      <x:c r="B4328"/>
      <x:c r="C4328"/>
      <x:c r="D4328"/>
      <x:c r="E4328"/>
      <x:c r="F4328"/>
      <x:c r="G4328"/>
    </x:row>
    <x:row r="4329">
      <x:c r="A4329"/>
      <x:c r="B4329"/>
      <x:c r="C4329"/>
      <x:c r="D4329"/>
      <x:c r="E4329"/>
      <x:c r="F4329"/>
      <x:c r="G4329"/>
    </x:row>
    <x:row r="4330">
      <x:c r="A4330"/>
      <x:c r="B4330"/>
      <x:c r="C4330"/>
      <x:c r="D4330"/>
      <x:c r="E4330"/>
      <x:c r="F4330"/>
      <x:c r="G4330"/>
    </x:row>
    <x:row r="4331">
      <x:c r="A4331"/>
      <x:c r="B4331"/>
      <x:c r="C4331"/>
      <x:c r="D4331"/>
      <x:c r="E4331"/>
      <x:c r="F4331"/>
      <x:c r="G4331"/>
    </x:row>
    <x:row r="4332">
      <x:c r="A4332"/>
      <x:c r="B4332"/>
      <x:c r="C4332"/>
      <x:c r="D4332"/>
      <x:c r="E4332"/>
      <x:c r="F4332"/>
      <x:c r="G4332"/>
    </x:row>
    <x:row r="4333">
      <x:c r="A4333"/>
      <x:c r="B4333"/>
      <x:c r="C4333"/>
      <x:c r="D4333"/>
      <x:c r="E4333"/>
      <x:c r="F4333"/>
      <x:c r="G4333"/>
    </x:row>
    <x:row r="4334">
      <x:c r="A4334"/>
      <x:c r="B4334"/>
      <x:c r="C4334"/>
      <x:c r="D4334"/>
      <x:c r="E4334"/>
      <x:c r="F4334"/>
      <x:c r="G4334"/>
    </x:row>
    <x:row r="4335">
      <x:c r="A4335"/>
      <x:c r="B4335"/>
      <x:c r="C4335"/>
      <x:c r="D4335"/>
      <x:c r="E4335"/>
      <x:c r="F4335"/>
      <x:c r="G4335"/>
    </x:row>
    <x:row r="4336">
      <x:c r="A4336"/>
      <x:c r="B4336"/>
      <x:c r="C4336"/>
      <x:c r="D4336"/>
      <x:c r="E4336"/>
      <x:c r="F4336"/>
      <x:c r="G4336"/>
    </x:row>
    <x:row r="4337">
      <x:c r="A4337"/>
      <x:c r="B4337"/>
      <x:c r="C4337"/>
      <x:c r="D4337"/>
      <x:c r="E4337"/>
      <x:c r="F4337"/>
      <x:c r="G4337"/>
    </x:row>
    <x:row r="4338">
      <x:c r="A4338"/>
      <x:c r="B4338"/>
      <x:c r="C4338"/>
      <x:c r="D4338"/>
      <x:c r="E4338"/>
      <x:c r="F4338"/>
      <x:c r="G4338"/>
    </x:row>
    <x:row r="4339">
      <x:c r="A4339"/>
      <x:c r="B4339"/>
      <x:c r="C4339"/>
      <x:c r="D4339"/>
      <x:c r="E4339"/>
      <x:c r="F4339"/>
      <x:c r="G4339"/>
    </x:row>
    <x:row r="4340">
      <x:c r="A4340"/>
      <x:c r="B4340"/>
      <x:c r="C4340"/>
      <x:c r="D4340"/>
      <x:c r="E4340"/>
      <x:c r="F4340"/>
      <x:c r="G4340"/>
    </x:row>
    <x:row r="4341">
      <x:c r="A4341"/>
      <x:c r="B4341"/>
      <x:c r="C4341"/>
      <x:c r="D4341"/>
      <x:c r="E4341"/>
      <x:c r="F4341"/>
      <x:c r="G4341"/>
    </x:row>
    <x:row r="4342">
      <x:c r="A4342"/>
      <x:c r="B4342"/>
      <x:c r="C4342"/>
      <x:c r="D4342"/>
      <x:c r="E4342"/>
      <x:c r="F4342"/>
      <x:c r="G4342"/>
    </x:row>
    <x:row r="4343">
      <x:c r="A4343"/>
      <x:c r="B4343"/>
      <x:c r="C4343"/>
      <x:c r="D4343"/>
      <x:c r="E4343"/>
      <x:c r="F4343"/>
      <x:c r="G4343"/>
    </x:row>
    <x:row r="4344">
      <x:c r="A4344"/>
      <x:c r="B4344"/>
      <x:c r="C4344"/>
      <x:c r="D4344"/>
      <x:c r="E4344"/>
      <x:c r="F4344"/>
      <x:c r="G4344"/>
    </x:row>
    <x:row r="4345">
      <x:c r="A4345"/>
      <x:c r="B4345"/>
      <x:c r="C4345"/>
      <x:c r="D4345"/>
      <x:c r="E4345"/>
      <x:c r="F4345"/>
      <x:c r="G4345"/>
    </x:row>
    <x:row r="4346">
      <x:c r="A4346"/>
      <x:c r="B4346"/>
      <x:c r="C4346"/>
      <x:c r="D4346"/>
      <x:c r="E4346"/>
      <x:c r="F4346"/>
      <x:c r="G4346"/>
    </x:row>
    <x:row r="4347">
      <x:c r="A4347"/>
      <x:c r="B4347"/>
      <x:c r="C4347"/>
      <x:c r="D4347"/>
      <x:c r="E4347"/>
      <x:c r="F4347"/>
      <x:c r="G4347"/>
    </x:row>
    <x:row r="4348">
      <x:c r="A4348"/>
      <x:c r="B4348"/>
      <x:c r="C4348"/>
      <x:c r="D4348"/>
      <x:c r="E4348"/>
      <x:c r="F4348"/>
      <x:c r="G4348"/>
    </x:row>
    <x:row r="4349">
      <x:c r="A4349"/>
      <x:c r="B4349"/>
      <x:c r="C4349"/>
      <x:c r="D4349"/>
      <x:c r="E4349"/>
      <x:c r="F4349"/>
      <x:c r="G4349"/>
    </x:row>
    <x:row r="4350">
      <x:c r="A4350"/>
      <x:c r="B4350"/>
      <x:c r="C4350"/>
      <x:c r="D4350"/>
      <x:c r="E4350"/>
      <x:c r="F4350"/>
      <x:c r="G4350"/>
    </x:row>
    <x:row r="4351">
      <x:c r="A4351"/>
      <x:c r="B4351"/>
      <x:c r="C4351"/>
      <x:c r="D4351"/>
      <x:c r="E4351"/>
      <x:c r="F4351"/>
      <x:c r="G4351"/>
    </x:row>
    <x:row r="4352">
      <x:c r="A4352"/>
      <x:c r="B4352"/>
      <x:c r="C4352"/>
      <x:c r="D4352"/>
      <x:c r="E4352"/>
      <x:c r="F4352"/>
      <x:c r="G4352"/>
    </x:row>
    <x:row r="4353">
      <x:c r="A4353"/>
      <x:c r="B4353"/>
      <x:c r="C4353"/>
      <x:c r="D4353"/>
      <x:c r="E4353"/>
      <x:c r="F4353"/>
      <x:c r="G4353"/>
    </x:row>
    <x:row r="4354">
      <x:c r="A4354"/>
      <x:c r="B4354"/>
      <x:c r="C4354"/>
      <x:c r="D4354"/>
      <x:c r="E4354"/>
      <x:c r="F4354"/>
      <x:c r="G4354"/>
    </x:row>
    <x:row r="4355">
      <x:c r="A4355"/>
      <x:c r="B4355"/>
      <x:c r="C4355"/>
      <x:c r="D4355"/>
      <x:c r="E4355"/>
      <x:c r="F4355"/>
      <x:c r="G4355"/>
    </x:row>
    <x:row r="4356">
      <x:c r="A4356"/>
      <x:c r="B4356"/>
      <x:c r="C4356"/>
      <x:c r="D4356"/>
      <x:c r="E4356"/>
      <x:c r="F4356"/>
      <x:c r="G4356"/>
    </x:row>
    <x:row r="4357">
      <x:c r="A4357"/>
      <x:c r="B4357"/>
      <x:c r="C4357"/>
      <x:c r="D4357"/>
      <x:c r="E4357"/>
      <x:c r="F4357"/>
      <x:c r="G4357"/>
    </x:row>
    <x:row r="4358">
      <x:c r="A4358"/>
      <x:c r="B4358"/>
      <x:c r="C4358"/>
      <x:c r="D4358"/>
      <x:c r="E4358"/>
      <x:c r="F4358"/>
      <x:c r="G4358"/>
    </x:row>
    <x:row r="4359">
      <x:c r="A4359"/>
      <x:c r="B4359"/>
      <x:c r="C4359"/>
      <x:c r="D4359"/>
      <x:c r="E4359"/>
      <x:c r="F4359"/>
      <x:c r="G4359"/>
    </x:row>
    <x:row r="4360">
      <x:c r="A4360"/>
      <x:c r="B4360"/>
      <x:c r="C4360"/>
      <x:c r="D4360"/>
      <x:c r="E4360"/>
      <x:c r="F4360"/>
      <x:c r="G4360"/>
    </x:row>
    <x:row r="4361">
      <x:c r="A4361"/>
      <x:c r="B4361"/>
      <x:c r="C4361"/>
      <x:c r="D4361"/>
      <x:c r="E4361"/>
      <x:c r="F4361"/>
      <x:c r="G4361"/>
    </x:row>
    <x:row r="4362">
      <x:c r="A4362"/>
      <x:c r="B4362"/>
      <x:c r="C4362"/>
      <x:c r="D4362"/>
      <x:c r="E4362"/>
      <x:c r="F4362"/>
      <x:c r="G4362"/>
    </x:row>
    <x:row r="4363">
      <x:c r="A4363"/>
      <x:c r="B4363"/>
      <x:c r="C4363"/>
      <x:c r="D4363"/>
      <x:c r="E4363"/>
      <x:c r="F4363"/>
      <x:c r="G4363"/>
    </x:row>
    <x:row r="4364">
      <x:c r="A4364"/>
      <x:c r="B4364"/>
      <x:c r="C4364"/>
      <x:c r="D4364"/>
      <x:c r="E4364"/>
      <x:c r="F4364"/>
      <x:c r="G4364"/>
    </x:row>
    <x:row r="4365">
      <x:c r="A4365"/>
      <x:c r="B4365"/>
      <x:c r="C4365"/>
      <x:c r="D4365"/>
      <x:c r="E4365"/>
      <x:c r="F4365"/>
      <x:c r="G4365"/>
    </x:row>
    <x:row r="4366">
      <x:c r="A4366"/>
      <x:c r="B4366"/>
      <x:c r="C4366"/>
      <x:c r="D4366"/>
      <x:c r="E4366"/>
      <x:c r="F4366"/>
      <x:c r="G4366"/>
    </x:row>
    <x:row r="4367">
      <x:c r="A4367"/>
      <x:c r="B4367"/>
      <x:c r="C4367"/>
      <x:c r="D4367"/>
      <x:c r="E4367"/>
      <x:c r="F4367"/>
      <x:c r="G4367"/>
    </x:row>
    <x:row r="4368">
      <x:c r="A4368"/>
      <x:c r="B4368"/>
      <x:c r="C4368"/>
      <x:c r="D4368"/>
      <x:c r="E4368"/>
      <x:c r="F4368"/>
      <x:c r="G4368"/>
    </x:row>
    <x:row r="4369">
      <x:c r="A4369"/>
      <x:c r="B4369"/>
      <x:c r="C4369"/>
      <x:c r="D4369"/>
      <x:c r="E4369"/>
      <x:c r="F4369"/>
      <x:c r="G4369"/>
    </x:row>
    <x:row r="4370">
      <x:c r="A4370"/>
      <x:c r="B4370"/>
      <x:c r="C4370"/>
      <x:c r="D4370"/>
      <x:c r="E4370"/>
      <x:c r="F4370"/>
      <x:c r="G4370"/>
    </x:row>
    <x:row r="4371">
      <x:c r="A4371"/>
      <x:c r="B4371"/>
      <x:c r="C4371"/>
      <x:c r="D4371"/>
      <x:c r="E4371"/>
      <x:c r="F4371"/>
      <x:c r="G4371"/>
    </x:row>
    <x:row r="4372">
      <x:c r="A4372"/>
      <x:c r="B4372"/>
      <x:c r="C4372"/>
      <x:c r="D4372"/>
      <x:c r="E4372"/>
      <x:c r="F4372"/>
      <x:c r="G4372"/>
    </x:row>
    <x:row r="4373">
      <x:c r="A4373"/>
      <x:c r="B4373"/>
      <x:c r="C4373"/>
      <x:c r="D4373"/>
      <x:c r="E4373"/>
      <x:c r="F4373"/>
      <x:c r="G4373"/>
    </x:row>
    <x:row r="4374">
      <x:c r="A4374"/>
      <x:c r="B4374"/>
      <x:c r="C4374"/>
      <x:c r="D4374"/>
      <x:c r="E4374"/>
      <x:c r="F4374"/>
      <x:c r="G4374"/>
    </x:row>
    <x:row r="4375">
      <x:c r="A4375"/>
      <x:c r="B4375"/>
      <x:c r="C4375"/>
      <x:c r="D4375"/>
      <x:c r="E4375"/>
      <x:c r="F4375"/>
      <x:c r="G4375"/>
    </x:row>
    <x:row r="4376">
      <x:c r="A4376"/>
      <x:c r="B4376"/>
      <x:c r="C4376"/>
      <x:c r="D4376"/>
      <x:c r="E4376"/>
      <x:c r="F4376"/>
      <x:c r="G4376"/>
    </x:row>
    <x:row r="4377">
      <x:c r="A4377"/>
      <x:c r="B4377"/>
      <x:c r="C4377"/>
      <x:c r="D4377"/>
      <x:c r="E4377"/>
      <x:c r="F4377"/>
      <x:c r="G4377"/>
    </x:row>
    <x:row r="4378">
      <x:c r="A4378"/>
      <x:c r="B4378"/>
      <x:c r="C4378"/>
      <x:c r="D4378"/>
      <x:c r="E4378"/>
      <x:c r="F4378"/>
      <x:c r="G4378"/>
    </x:row>
    <x:row r="4379">
      <x:c r="A4379"/>
      <x:c r="B4379"/>
      <x:c r="C4379"/>
      <x:c r="D4379"/>
      <x:c r="E4379"/>
      <x:c r="F4379"/>
      <x:c r="G4379"/>
    </x:row>
    <x:row r="4380">
      <x:c r="A4380"/>
      <x:c r="B4380"/>
      <x:c r="C4380"/>
      <x:c r="D4380"/>
      <x:c r="E4380"/>
      <x:c r="F4380"/>
      <x:c r="G4380"/>
    </x:row>
    <x:row r="4381">
      <x:c r="A4381"/>
      <x:c r="B4381"/>
      <x:c r="C4381"/>
      <x:c r="D4381"/>
      <x:c r="E4381"/>
      <x:c r="F4381"/>
      <x:c r="G4381"/>
    </x:row>
    <x:row r="4382">
      <x:c r="A4382"/>
      <x:c r="B4382"/>
      <x:c r="C4382"/>
      <x:c r="D4382"/>
      <x:c r="E4382"/>
      <x:c r="F4382"/>
      <x:c r="G4382"/>
    </x:row>
    <x:row r="4383">
      <x:c r="A4383"/>
      <x:c r="B4383"/>
      <x:c r="C4383"/>
      <x:c r="D4383"/>
      <x:c r="E4383"/>
      <x:c r="F4383"/>
      <x:c r="G4383"/>
    </x:row>
    <x:row r="4384">
      <x:c r="A4384"/>
      <x:c r="B4384"/>
      <x:c r="C4384"/>
      <x:c r="D4384"/>
      <x:c r="E4384"/>
      <x:c r="F4384"/>
      <x:c r="G4384"/>
    </x:row>
    <x:row r="4385">
      <x:c r="A4385"/>
      <x:c r="B4385"/>
      <x:c r="C4385"/>
      <x:c r="D4385"/>
      <x:c r="E4385"/>
      <x:c r="F4385"/>
      <x:c r="G4385"/>
    </x:row>
    <x:row r="4386">
      <x:c r="A4386"/>
      <x:c r="B4386"/>
      <x:c r="C4386"/>
      <x:c r="D4386"/>
      <x:c r="E4386"/>
      <x:c r="F4386"/>
      <x:c r="G4386"/>
    </x:row>
    <x:row r="4387">
      <x:c r="A4387"/>
      <x:c r="B4387"/>
      <x:c r="C4387"/>
      <x:c r="D4387"/>
      <x:c r="E4387"/>
      <x:c r="F4387"/>
      <x:c r="G4387"/>
    </x:row>
    <x:row r="4388">
      <x:c r="A4388"/>
      <x:c r="B4388"/>
      <x:c r="C4388"/>
      <x:c r="D4388"/>
      <x:c r="E4388"/>
      <x:c r="F4388"/>
      <x:c r="G4388"/>
    </x:row>
    <x:row r="4389">
      <x:c r="A4389"/>
      <x:c r="B4389"/>
      <x:c r="C4389"/>
      <x:c r="D4389"/>
      <x:c r="E4389"/>
      <x:c r="F4389"/>
      <x:c r="G4389"/>
    </x:row>
    <x:row r="4390">
      <x:c r="A4390"/>
      <x:c r="B4390"/>
      <x:c r="C4390"/>
      <x:c r="D4390"/>
      <x:c r="E4390"/>
      <x:c r="F4390"/>
      <x:c r="G4390"/>
    </x:row>
    <x:row r="4391">
      <x:c r="A4391"/>
      <x:c r="B4391"/>
      <x:c r="C4391"/>
      <x:c r="D4391"/>
      <x:c r="E4391"/>
      <x:c r="F4391"/>
      <x:c r="G4391"/>
    </x:row>
    <x:row r="4392">
      <x:c r="A4392"/>
      <x:c r="B4392"/>
      <x:c r="C4392"/>
      <x:c r="D4392"/>
      <x:c r="E4392"/>
      <x:c r="F4392"/>
      <x:c r="G4392"/>
    </x:row>
    <x:row r="4393">
      <x:c r="A4393"/>
      <x:c r="B4393"/>
      <x:c r="C4393"/>
      <x:c r="D4393"/>
      <x:c r="E4393"/>
      <x:c r="F4393"/>
      <x:c r="G4393"/>
    </x:row>
    <x:row r="4394">
      <x:c r="A4394"/>
      <x:c r="B4394"/>
      <x:c r="C4394"/>
      <x:c r="D4394"/>
      <x:c r="E4394"/>
      <x:c r="F4394"/>
      <x:c r="G4394"/>
    </x:row>
    <x:row r="4395">
      <x:c r="A4395"/>
      <x:c r="B4395"/>
      <x:c r="C4395"/>
      <x:c r="D4395"/>
      <x:c r="E4395"/>
      <x:c r="F4395"/>
      <x:c r="G4395"/>
    </x:row>
    <x:row r="4396">
      <x:c r="A4396"/>
      <x:c r="B4396"/>
      <x:c r="C4396"/>
      <x:c r="D4396"/>
      <x:c r="E4396"/>
      <x:c r="F4396"/>
      <x:c r="G4396"/>
    </x:row>
    <x:row r="4397">
      <x:c r="A4397"/>
      <x:c r="B4397"/>
      <x:c r="C4397"/>
      <x:c r="D4397"/>
      <x:c r="E4397"/>
      <x:c r="F4397"/>
      <x:c r="G4397"/>
    </x:row>
    <x:row r="4398">
      <x:c r="A4398"/>
      <x:c r="B4398"/>
      <x:c r="C4398"/>
      <x:c r="D4398"/>
      <x:c r="E4398"/>
      <x:c r="F4398"/>
      <x:c r="G4398"/>
    </x:row>
    <x:row r="4399">
      <x:c r="A4399"/>
      <x:c r="B4399"/>
      <x:c r="C4399"/>
      <x:c r="D4399"/>
      <x:c r="E4399"/>
      <x:c r="F4399"/>
      <x:c r="G4399"/>
    </x:row>
    <x:row r="4400">
      <x:c r="A4400"/>
      <x:c r="B4400"/>
      <x:c r="C4400"/>
      <x:c r="D4400"/>
      <x:c r="E4400"/>
      <x:c r="F4400"/>
      <x:c r="G4400"/>
    </x:row>
    <x:row r="4401">
      <x:c r="A4401"/>
      <x:c r="B4401"/>
      <x:c r="C4401"/>
      <x:c r="D4401"/>
      <x:c r="E4401"/>
      <x:c r="F4401"/>
      <x:c r="G4401"/>
    </x:row>
    <x:row r="4402">
      <x:c r="A4402"/>
      <x:c r="B4402"/>
      <x:c r="C4402"/>
      <x:c r="D4402"/>
      <x:c r="E4402"/>
      <x:c r="F4402"/>
      <x:c r="G4402"/>
    </x:row>
    <x:row r="4403">
      <x:c r="A4403"/>
      <x:c r="B4403"/>
      <x:c r="C4403"/>
      <x:c r="D4403"/>
      <x:c r="E4403"/>
      <x:c r="F4403"/>
      <x:c r="G4403"/>
    </x:row>
    <x:row r="4404">
      <x:c r="A4404"/>
      <x:c r="B4404"/>
      <x:c r="C4404"/>
      <x:c r="D4404"/>
      <x:c r="E4404"/>
      <x:c r="F4404"/>
      <x:c r="G4404"/>
    </x:row>
    <x:row r="4405">
      <x:c r="A4405"/>
      <x:c r="B4405"/>
      <x:c r="C4405"/>
      <x:c r="D4405"/>
      <x:c r="E4405"/>
      <x:c r="F4405"/>
      <x:c r="G4405"/>
    </x:row>
    <x:row r="4406">
      <x:c r="A4406"/>
      <x:c r="B4406"/>
      <x:c r="C4406"/>
      <x:c r="D4406"/>
      <x:c r="E4406"/>
      <x:c r="F4406"/>
      <x:c r="G4406"/>
    </x:row>
    <x:row r="4407">
      <x:c r="A4407"/>
      <x:c r="B4407"/>
      <x:c r="C4407"/>
      <x:c r="D4407"/>
      <x:c r="E4407"/>
      <x:c r="F4407"/>
      <x:c r="G4407"/>
    </x:row>
    <x:row r="4408">
      <x:c r="A4408"/>
      <x:c r="B4408"/>
      <x:c r="C4408"/>
      <x:c r="D4408"/>
      <x:c r="E4408"/>
      <x:c r="F4408"/>
      <x:c r="G4408"/>
    </x:row>
    <x:row r="4409">
      <x:c r="A4409"/>
      <x:c r="B4409"/>
      <x:c r="C4409"/>
      <x:c r="D4409"/>
      <x:c r="E4409"/>
      <x:c r="F4409"/>
      <x:c r="G4409"/>
    </x:row>
    <x:row r="4410">
      <x:c r="A4410"/>
      <x:c r="B4410"/>
      <x:c r="C4410"/>
      <x:c r="D4410"/>
      <x:c r="E4410"/>
      <x:c r="F4410"/>
      <x:c r="G4410"/>
    </x:row>
    <x:row r="4411">
      <x:c r="A4411"/>
      <x:c r="B4411"/>
      <x:c r="C4411"/>
      <x:c r="D4411"/>
      <x:c r="E4411"/>
      <x:c r="F4411"/>
      <x:c r="G4411"/>
    </x:row>
    <x:row r="4412">
      <x:c r="A4412"/>
      <x:c r="B4412"/>
      <x:c r="C4412"/>
      <x:c r="D4412"/>
      <x:c r="E4412"/>
      <x:c r="F4412"/>
      <x:c r="G4412"/>
    </x:row>
    <x:row r="4413">
      <x:c r="A4413"/>
      <x:c r="B4413"/>
      <x:c r="C4413"/>
      <x:c r="D4413"/>
      <x:c r="E4413"/>
      <x:c r="F4413"/>
      <x:c r="G4413"/>
    </x:row>
    <x:row r="4414">
      <x:c r="A4414"/>
      <x:c r="B4414"/>
      <x:c r="C4414"/>
      <x:c r="D4414"/>
      <x:c r="E4414"/>
      <x:c r="F4414"/>
      <x:c r="G4414"/>
    </x:row>
    <x:row r="4415">
      <x:c r="A4415"/>
      <x:c r="B4415"/>
      <x:c r="C4415"/>
      <x:c r="D4415"/>
      <x:c r="E4415"/>
      <x:c r="F4415"/>
      <x:c r="G4415"/>
    </x:row>
    <x:row r="4416">
      <x:c r="A4416"/>
      <x:c r="B4416"/>
      <x:c r="C4416"/>
      <x:c r="D4416"/>
      <x:c r="E4416"/>
      <x:c r="F4416"/>
      <x:c r="G4416"/>
    </x:row>
    <x:row r="4417">
      <x:c r="A4417"/>
      <x:c r="B4417"/>
      <x:c r="C4417"/>
      <x:c r="D4417"/>
      <x:c r="E4417"/>
      <x:c r="F4417"/>
      <x:c r="G4417"/>
    </x:row>
    <x:row r="4418">
      <x:c r="A4418"/>
      <x:c r="B4418"/>
      <x:c r="C4418"/>
      <x:c r="D4418"/>
      <x:c r="E4418"/>
      <x:c r="F4418"/>
      <x:c r="G4418"/>
    </x:row>
    <x:row r="4419">
      <x:c r="A4419"/>
      <x:c r="B4419"/>
      <x:c r="C4419"/>
      <x:c r="D4419"/>
      <x:c r="E4419"/>
      <x:c r="F4419"/>
      <x:c r="G4419"/>
    </x:row>
    <x:row r="4420">
      <x:c r="A4420"/>
      <x:c r="B4420"/>
      <x:c r="C4420"/>
      <x:c r="D4420"/>
      <x:c r="E4420"/>
      <x:c r="F4420"/>
      <x:c r="G4420"/>
    </x:row>
    <x:row r="4421">
      <x:c r="A4421"/>
      <x:c r="B4421"/>
      <x:c r="C4421"/>
      <x:c r="D4421"/>
      <x:c r="E4421"/>
      <x:c r="F4421"/>
      <x:c r="G4421"/>
    </x:row>
    <x:row r="4422">
      <x:c r="A4422"/>
      <x:c r="B4422"/>
      <x:c r="C4422"/>
      <x:c r="D4422"/>
      <x:c r="E4422"/>
      <x:c r="F4422"/>
      <x:c r="G4422"/>
    </x:row>
    <x:row r="4423">
      <x:c r="A4423"/>
      <x:c r="B4423"/>
      <x:c r="C4423"/>
      <x:c r="D4423"/>
      <x:c r="E4423"/>
      <x:c r="F4423"/>
      <x:c r="G4423"/>
    </x:row>
    <x:row r="4424">
      <x:c r="A4424"/>
      <x:c r="B4424"/>
      <x:c r="C4424"/>
      <x:c r="D4424"/>
      <x:c r="E4424"/>
      <x:c r="F4424"/>
      <x:c r="G4424"/>
    </x:row>
    <x:row r="4425">
      <x:c r="A4425"/>
      <x:c r="B4425"/>
      <x:c r="C4425"/>
      <x:c r="D4425"/>
      <x:c r="E4425"/>
      <x:c r="F4425"/>
      <x:c r="G4425"/>
    </x:row>
    <x:row r="4426">
      <x:c r="A4426"/>
      <x:c r="B4426"/>
      <x:c r="C4426"/>
      <x:c r="D4426"/>
      <x:c r="E4426"/>
      <x:c r="F4426"/>
      <x:c r="G4426"/>
    </x:row>
    <x:row r="4427">
      <x:c r="A4427"/>
      <x:c r="B4427"/>
      <x:c r="C4427"/>
      <x:c r="D4427"/>
      <x:c r="E4427"/>
      <x:c r="F4427"/>
      <x:c r="G4427"/>
    </x:row>
    <x:row r="4428">
      <x:c r="A4428"/>
      <x:c r="B4428"/>
      <x:c r="C4428"/>
      <x:c r="D4428"/>
      <x:c r="E4428"/>
      <x:c r="F4428"/>
      <x:c r="G4428"/>
    </x:row>
    <x:row r="4429">
      <x:c r="A4429"/>
      <x:c r="B4429"/>
      <x:c r="C4429"/>
      <x:c r="D4429"/>
      <x:c r="E4429"/>
      <x:c r="F4429"/>
      <x:c r="G4429"/>
    </x:row>
    <x:row r="4430">
      <x:c r="A4430"/>
      <x:c r="B4430"/>
      <x:c r="C4430"/>
      <x:c r="D4430"/>
      <x:c r="E4430"/>
      <x:c r="F4430"/>
      <x:c r="G4430"/>
    </x:row>
    <x:row r="4431">
      <x:c r="A4431"/>
      <x:c r="B4431"/>
      <x:c r="C4431"/>
      <x:c r="D4431"/>
      <x:c r="E4431"/>
      <x:c r="F4431"/>
      <x:c r="G4431"/>
    </x:row>
    <x:row r="4432">
      <x:c r="A4432"/>
      <x:c r="B4432"/>
      <x:c r="C4432"/>
      <x:c r="D4432"/>
      <x:c r="E4432"/>
      <x:c r="F4432"/>
      <x:c r="G4432"/>
    </x:row>
    <x:row r="4433">
      <x:c r="A4433"/>
      <x:c r="B4433"/>
      <x:c r="C4433"/>
      <x:c r="D4433"/>
      <x:c r="E4433"/>
      <x:c r="F4433"/>
      <x:c r="G4433"/>
    </x:row>
    <x:row r="4434">
      <x:c r="A4434"/>
      <x:c r="B4434"/>
      <x:c r="C4434"/>
      <x:c r="D4434"/>
      <x:c r="E4434"/>
      <x:c r="F4434"/>
      <x:c r="G4434"/>
    </x:row>
    <x:row r="4435">
      <x:c r="A4435"/>
      <x:c r="B4435"/>
      <x:c r="C4435"/>
      <x:c r="D4435"/>
      <x:c r="E4435"/>
      <x:c r="F4435"/>
      <x:c r="G4435"/>
    </x:row>
    <x:row r="4436">
      <x:c r="A4436"/>
      <x:c r="B4436"/>
      <x:c r="C4436"/>
      <x:c r="D4436"/>
      <x:c r="E4436"/>
      <x:c r="F4436"/>
      <x:c r="G4436"/>
    </x:row>
    <x:row r="4437">
      <x:c r="A4437"/>
      <x:c r="B4437"/>
      <x:c r="C4437"/>
      <x:c r="D4437"/>
      <x:c r="E4437"/>
      <x:c r="F4437"/>
      <x:c r="G4437"/>
    </x:row>
    <x:row r="4438">
      <x:c r="A4438"/>
      <x:c r="B4438"/>
      <x:c r="C4438"/>
      <x:c r="D4438"/>
      <x:c r="E4438"/>
      <x:c r="F4438"/>
      <x:c r="G4438"/>
    </x:row>
    <x:row r="4439">
      <x:c r="A4439"/>
      <x:c r="B4439"/>
      <x:c r="C4439"/>
      <x:c r="D4439"/>
      <x:c r="E4439"/>
      <x:c r="F4439"/>
      <x:c r="G4439"/>
    </x:row>
    <x:row r="4440">
      <x:c r="A4440"/>
      <x:c r="B4440"/>
      <x:c r="C4440"/>
      <x:c r="D4440"/>
      <x:c r="E4440"/>
      <x:c r="F4440"/>
      <x:c r="G4440"/>
    </x:row>
    <x:row r="4441">
      <x:c r="A4441"/>
      <x:c r="B4441"/>
      <x:c r="C4441"/>
      <x:c r="D4441"/>
      <x:c r="E4441"/>
      <x:c r="F4441"/>
      <x:c r="G4441"/>
    </x:row>
    <x:row r="4442">
      <x:c r="A4442"/>
      <x:c r="B4442"/>
      <x:c r="C4442"/>
      <x:c r="D4442"/>
      <x:c r="E4442"/>
      <x:c r="F4442"/>
      <x:c r="G4442"/>
    </x:row>
    <x:row r="4443">
      <x:c r="A4443"/>
      <x:c r="B4443"/>
      <x:c r="C4443"/>
      <x:c r="D4443"/>
      <x:c r="E4443"/>
      <x:c r="F4443"/>
      <x:c r="G4443"/>
    </x:row>
    <x:row r="4444">
      <x:c r="A4444"/>
      <x:c r="B4444"/>
      <x:c r="C4444"/>
      <x:c r="D4444"/>
      <x:c r="E4444"/>
      <x:c r="F4444"/>
      <x:c r="G4444"/>
    </x:row>
    <x:row r="4445">
      <x:c r="A4445"/>
      <x:c r="B4445"/>
      <x:c r="C4445"/>
      <x:c r="D4445"/>
      <x:c r="E4445"/>
      <x:c r="F4445"/>
      <x:c r="G4445"/>
    </x:row>
    <x:row r="4446">
      <x:c r="A4446"/>
      <x:c r="B4446"/>
      <x:c r="C4446"/>
      <x:c r="D4446"/>
      <x:c r="E4446"/>
      <x:c r="F4446"/>
      <x:c r="G4446"/>
    </x:row>
    <x:row r="4447">
      <x:c r="A4447"/>
      <x:c r="B4447"/>
      <x:c r="C4447"/>
      <x:c r="D4447"/>
      <x:c r="E4447"/>
      <x:c r="F4447"/>
      <x:c r="G4447"/>
    </x:row>
    <x:row r="4448">
      <x:c r="A4448"/>
      <x:c r="B4448"/>
      <x:c r="C4448"/>
      <x:c r="D4448"/>
      <x:c r="E4448"/>
      <x:c r="F4448"/>
      <x:c r="G4448"/>
    </x:row>
    <x:row r="4449">
      <x:c r="A4449"/>
      <x:c r="B4449"/>
      <x:c r="C4449"/>
      <x:c r="D4449"/>
      <x:c r="E4449"/>
      <x:c r="F4449"/>
      <x:c r="G4449"/>
    </x:row>
    <x:row r="4450">
      <x:c r="A4450"/>
      <x:c r="B4450"/>
      <x:c r="C4450"/>
      <x:c r="D4450"/>
      <x:c r="E4450"/>
      <x:c r="F4450"/>
      <x:c r="G4450"/>
    </x:row>
    <x:row r="4451">
      <x:c r="A4451"/>
      <x:c r="B4451"/>
      <x:c r="C4451"/>
      <x:c r="D4451"/>
      <x:c r="E4451"/>
      <x:c r="F4451"/>
      <x:c r="G4451"/>
    </x:row>
    <x:row r="4452">
      <x:c r="A4452"/>
      <x:c r="B4452"/>
      <x:c r="C4452"/>
      <x:c r="D4452"/>
      <x:c r="E4452"/>
      <x:c r="F4452"/>
      <x:c r="G4452"/>
    </x:row>
    <x:row r="4453">
      <x:c r="A4453"/>
      <x:c r="B4453"/>
      <x:c r="C4453"/>
      <x:c r="D4453"/>
      <x:c r="E4453"/>
      <x:c r="F4453"/>
      <x:c r="G4453"/>
    </x:row>
    <x:row r="4454">
      <x:c r="A4454"/>
      <x:c r="B4454"/>
      <x:c r="C4454"/>
      <x:c r="D4454"/>
      <x:c r="E4454"/>
      <x:c r="F4454"/>
      <x:c r="G4454"/>
    </x:row>
    <x:row r="4455">
      <x:c r="A4455"/>
      <x:c r="B4455"/>
      <x:c r="C4455"/>
      <x:c r="D4455"/>
      <x:c r="E4455"/>
      <x:c r="F4455"/>
      <x:c r="G4455"/>
    </x:row>
    <x:row r="4456">
      <x:c r="A4456"/>
      <x:c r="B4456"/>
      <x:c r="C4456"/>
      <x:c r="D4456"/>
      <x:c r="E4456"/>
      <x:c r="F4456"/>
      <x:c r="G4456"/>
    </x:row>
    <x:row r="4457">
      <x:c r="A4457"/>
      <x:c r="B4457"/>
      <x:c r="C4457"/>
      <x:c r="D4457"/>
      <x:c r="E4457"/>
      <x:c r="F4457"/>
      <x:c r="G4457"/>
    </x:row>
    <x:row r="4458">
      <x:c r="A4458"/>
      <x:c r="B4458"/>
      <x:c r="C4458"/>
      <x:c r="D4458"/>
      <x:c r="E4458"/>
      <x:c r="F4458"/>
      <x:c r="G4458"/>
    </x:row>
    <x:row r="4459">
      <x:c r="A4459"/>
      <x:c r="B4459"/>
      <x:c r="C4459"/>
      <x:c r="D4459"/>
      <x:c r="E4459"/>
      <x:c r="F4459"/>
      <x:c r="G4459"/>
    </x:row>
    <x:row r="4460">
      <x:c r="A4460"/>
      <x:c r="B4460"/>
      <x:c r="C4460"/>
      <x:c r="D4460"/>
      <x:c r="E4460"/>
      <x:c r="F4460"/>
      <x:c r="G4460"/>
    </x:row>
    <x:row r="4461">
      <x:c r="A4461"/>
      <x:c r="B4461"/>
      <x:c r="C4461"/>
      <x:c r="D4461"/>
      <x:c r="E4461"/>
      <x:c r="F4461"/>
      <x:c r="G4461"/>
    </x:row>
    <x:row r="4462">
      <x:c r="A4462"/>
      <x:c r="B4462"/>
      <x:c r="C4462"/>
      <x:c r="D4462"/>
      <x:c r="E4462"/>
      <x:c r="F4462"/>
      <x:c r="G4462"/>
    </x:row>
    <x:row r="4463">
      <x:c r="A4463"/>
      <x:c r="B4463"/>
      <x:c r="C4463"/>
      <x:c r="D4463"/>
      <x:c r="E4463"/>
      <x:c r="F4463"/>
      <x:c r="G4463"/>
    </x:row>
    <x:row r="4464">
      <x:c r="A4464"/>
      <x:c r="B4464"/>
      <x:c r="C4464"/>
      <x:c r="D4464"/>
      <x:c r="E4464"/>
      <x:c r="F4464"/>
      <x:c r="G4464"/>
    </x:row>
    <x:row r="4465">
      <x:c r="A4465"/>
      <x:c r="B4465"/>
      <x:c r="C4465"/>
      <x:c r="D4465"/>
      <x:c r="E4465"/>
      <x:c r="F4465"/>
      <x:c r="G4465"/>
    </x:row>
    <x:row r="4466">
      <x:c r="A4466"/>
      <x:c r="B4466"/>
      <x:c r="C4466"/>
      <x:c r="D4466"/>
      <x:c r="E4466"/>
      <x:c r="F4466"/>
      <x:c r="G4466"/>
    </x:row>
    <x:row r="4467">
      <x:c r="A4467"/>
      <x:c r="B4467"/>
      <x:c r="C4467"/>
      <x:c r="D4467"/>
      <x:c r="E4467"/>
      <x:c r="F4467"/>
      <x:c r="G4467"/>
    </x:row>
    <x:row r="4468">
      <x:c r="A4468"/>
      <x:c r="B4468"/>
      <x:c r="C4468"/>
      <x:c r="D4468"/>
      <x:c r="E4468"/>
      <x:c r="F4468"/>
      <x:c r="G4468"/>
    </x:row>
    <x:row r="4469">
      <x:c r="A4469"/>
      <x:c r="B4469"/>
      <x:c r="C4469"/>
      <x:c r="D4469"/>
      <x:c r="E4469"/>
      <x:c r="F4469"/>
      <x:c r="G4469"/>
    </x:row>
    <x:row r="4470">
      <x:c r="A4470"/>
      <x:c r="B4470"/>
      <x:c r="C4470"/>
      <x:c r="D4470"/>
      <x:c r="E4470"/>
      <x:c r="F4470"/>
      <x:c r="G4470"/>
    </x:row>
    <x:row r="4471">
      <x:c r="A4471"/>
      <x:c r="B4471"/>
      <x:c r="C4471"/>
      <x:c r="D4471"/>
      <x:c r="E4471"/>
      <x:c r="F4471"/>
      <x:c r="G4471"/>
    </x:row>
    <x:row r="4472">
      <x:c r="A4472"/>
      <x:c r="B4472"/>
      <x:c r="C4472"/>
      <x:c r="D4472"/>
      <x:c r="E4472"/>
      <x:c r="F4472"/>
      <x:c r="G4472"/>
    </x:row>
    <x:row r="4473">
      <x:c r="A4473"/>
      <x:c r="B4473"/>
      <x:c r="C4473"/>
      <x:c r="D4473"/>
      <x:c r="E4473"/>
      <x:c r="F4473"/>
      <x:c r="G4473"/>
    </x:row>
    <x:row r="4474">
      <x:c r="A4474"/>
      <x:c r="B4474"/>
      <x:c r="C4474"/>
      <x:c r="D4474"/>
      <x:c r="E4474"/>
      <x:c r="F4474"/>
      <x:c r="G4474"/>
    </x:row>
    <x:row r="4475">
      <x:c r="A4475"/>
      <x:c r="B4475"/>
      <x:c r="C4475"/>
      <x:c r="D4475"/>
      <x:c r="E4475"/>
      <x:c r="F4475"/>
      <x:c r="G4475"/>
    </x:row>
    <x:row r="4476">
      <x:c r="A4476"/>
      <x:c r="B4476"/>
      <x:c r="C4476"/>
      <x:c r="D4476"/>
      <x:c r="E4476"/>
      <x:c r="F4476"/>
      <x:c r="G4476"/>
    </x:row>
    <x:row r="4477">
      <x:c r="A4477"/>
      <x:c r="B4477"/>
      <x:c r="C4477"/>
      <x:c r="D4477"/>
      <x:c r="E4477"/>
      <x:c r="F4477"/>
      <x:c r="G4477"/>
    </x:row>
    <x:row r="4478">
      <x:c r="A4478"/>
      <x:c r="B4478"/>
      <x:c r="C4478"/>
      <x:c r="D4478"/>
      <x:c r="E4478"/>
      <x:c r="F4478"/>
      <x:c r="G4478"/>
    </x:row>
    <x:row r="4479">
      <x:c r="A4479"/>
      <x:c r="B4479"/>
      <x:c r="C4479"/>
      <x:c r="D4479"/>
      <x:c r="E4479"/>
      <x:c r="F4479"/>
      <x:c r="G4479"/>
    </x:row>
    <x:row r="4480">
      <x:c r="A4480"/>
      <x:c r="B4480"/>
      <x:c r="C4480"/>
      <x:c r="D4480"/>
      <x:c r="E4480"/>
      <x:c r="F4480"/>
      <x:c r="G4480"/>
    </x:row>
    <x:row r="4481">
      <x:c r="A4481"/>
      <x:c r="B4481"/>
      <x:c r="C4481"/>
      <x:c r="D4481"/>
      <x:c r="E4481"/>
      <x:c r="F4481"/>
      <x:c r="G4481"/>
    </x:row>
    <x:row r="4482">
      <x:c r="A4482"/>
      <x:c r="B4482"/>
      <x:c r="C4482"/>
      <x:c r="D4482"/>
      <x:c r="E4482"/>
      <x:c r="F4482"/>
      <x:c r="G4482"/>
    </x:row>
    <x:row r="4483">
      <x:c r="A4483"/>
      <x:c r="B4483"/>
      <x:c r="C4483"/>
      <x:c r="D4483"/>
      <x:c r="E4483"/>
      <x:c r="F4483"/>
      <x:c r="G4483"/>
    </x:row>
    <x:row r="4484">
      <x:c r="A4484"/>
      <x:c r="B4484"/>
      <x:c r="C4484"/>
      <x:c r="D4484"/>
      <x:c r="E4484"/>
      <x:c r="F4484"/>
      <x:c r="G4484"/>
    </x:row>
    <x:row r="4485">
      <x:c r="A4485"/>
      <x:c r="B4485"/>
      <x:c r="C4485"/>
      <x:c r="D4485"/>
      <x:c r="E4485"/>
      <x:c r="F4485"/>
      <x:c r="G4485"/>
    </x:row>
    <x:row r="4486">
      <x:c r="A4486"/>
      <x:c r="B4486"/>
      <x:c r="C4486"/>
      <x:c r="D4486"/>
      <x:c r="E4486"/>
      <x:c r="F4486"/>
      <x:c r="G4486"/>
    </x:row>
    <x:row r="4487">
      <x:c r="A4487"/>
      <x:c r="B4487"/>
      <x:c r="C4487"/>
      <x:c r="D4487"/>
      <x:c r="E4487"/>
      <x:c r="F4487"/>
      <x:c r="G4487"/>
    </x:row>
    <x:row r="4488">
      <x:c r="A4488"/>
      <x:c r="B4488"/>
      <x:c r="C4488"/>
      <x:c r="D4488"/>
      <x:c r="E4488"/>
      <x:c r="F4488"/>
      <x:c r="G4488"/>
    </x:row>
    <x:row r="4489">
      <x:c r="A4489"/>
      <x:c r="B4489"/>
      <x:c r="C4489"/>
      <x:c r="D4489"/>
      <x:c r="E4489"/>
      <x:c r="F4489"/>
      <x:c r="G4489"/>
    </x:row>
    <x:row r="4490">
      <x:c r="A4490"/>
      <x:c r="B4490"/>
      <x:c r="C4490"/>
      <x:c r="D4490"/>
      <x:c r="E4490"/>
      <x:c r="F4490"/>
      <x:c r="G4490"/>
    </x:row>
    <x:row r="4491">
      <x:c r="A4491"/>
      <x:c r="B4491"/>
      <x:c r="C4491"/>
      <x:c r="D4491"/>
      <x:c r="E4491"/>
      <x:c r="F4491"/>
      <x:c r="G4491"/>
    </x:row>
    <x:row r="4492">
      <x:c r="A4492"/>
      <x:c r="B4492"/>
      <x:c r="C4492"/>
      <x:c r="D4492"/>
      <x:c r="E4492"/>
      <x:c r="F4492"/>
      <x:c r="G4492"/>
    </x:row>
    <x:row r="4493">
      <x:c r="A4493"/>
      <x:c r="B4493"/>
      <x:c r="C4493"/>
      <x:c r="D4493"/>
      <x:c r="E4493"/>
      <x:c r="F4493"/>
      <x:c r="G4493"/>
    </x:row>
    <x:row r="4494">
      <x:c r="A4494"/>
      <x:c r="B4494"/>
      <x:c r="C4494"/>
      <x:c r="D4494"/>
      <x:c r="E4494"/>
      <x:c r="F4494"/>
      <x:c r="G4494"/>
    </x:row>
    <x:row r="4495">
      <x:c r="A4495"/>
      <x:c r="B4495"/>
      <x:c r="C4495"/>
      <x:c r="D4495"/>
      <x:c r="E4495"/>
      <x:c r="F4495"/>
      <x:c r="G4495"/>
    </x:row>
    <x:row r="4496">
      <x:c r="A4496"/>
      <x:c r="B4496"/>
      <x:c r="C4496"/>
      <x:c r="D4496"/>
      <x:c r="E4496"/>
      <x:c r="F4496"/>
      <x:c r="G4496"/>
    </x:row>
    <x:row r="4497">
      <x:c r="A4497"/>
      <x:c r="B4497"/>
      <x:c r="C4497"/>
      <x:c r="D4497"/>
      <x:c r="E4497"/>
      <x:c r="F4497"/>
      <x:c r="G4497"/>
    </x:row>
    <x:row r="4498">
      <x:c r="A4498"/>
      <x:c r="B4498"/>
      <x:c r="C4498"/>
      <x:c r="D4498"/>
      <x:c r="E4498"/>
      <x:c r="F4498"/>
      <x:c r="G4498"/>
    </x:row>
    <x:row r="4499">
      <x:c r="A4499"/>
      <x:c r="B4499"/>
      <x:c r="C4499"/>
      <x:c r="D4499"/>
      <x:c r="E4499"/>
      <x:c r="F4499"/>
      <x:c r="G4499"/>
    </x:row>
    <x:row r="4500">
      <x:c r="A4500"/>
      <x:c r="B4500"/>
      <x:c r="C4500"/>
      <x:c r="D4500"/>
      <x:c r="E4500"/>
      <x:c r="F4500"/>
      <x:c r="G4500"/>
    </x:row>
    <x:row r="4501">
      <x:c r="A4501"/>
      <x:c r="B4501"/>
    </x:row>
    <x:row r="4502">
      <x:c r="A4502"/>
      <x:c r="B4502"/>
    </x:row>
    <x:row r="4503">
      <x:c r="A4503"/>
      <x:c r="B4503"/>
    </x:row>
    <x:row r="4504">
      <x:c r="A4504"/>
      <x:c r="B4504"/>
    </x:row>
    <x:row r="4505">
      <x:c r="A4505"/>
      <x:c r="B4505"/>
    </x:row>
    <x:row r="4506">
      <x:c r="A4506"/>
      <x:c r="B4506"/>
    </x:row>
    <x:row r="4507">
      <x:c r="A4507"/>
      <x:c r="B4507"/>
    </x:row>
    <x:row r="4508">
      <x:c r="A4508"/>
      <x:c r="B4508"/>
    </x:row>
    <x:row r="4509">
      <x:c r="A4509"/>
      <x:c r="B4509"/>
    </x:row>
    <x:row r="4510">
      <x:c r="A4510"/>
      <x:c r="B4510"/>
    </x:row>
    <x:row r="4511">
      <x:c r="A4511"/>
      <x:c r="B4511"/>
    </x:row>
    <x:row r="4512">
      <x:c r="A4512"/>
      <x:c r="B4512"/>
    </x:row>
    <x:row r="4513">
      <x:c r="A4513"/>
      <x:c r="B4513"/>
    </x:row>
    <x:row r="4514">
      <x:c r="A4514"/>
      <x:c r="B4514"/>
    </x:row>
    <x:row r="4515">
      <x:c r="A4515"/>
      <x:c r="B4515"/>
    </x:row>
    <x:row r="4516">
      <x:c r="A4516"/>
      <x:c r="B4516"/>
    </x:row>
    <x:row r="4517">
      <x:c r="A4517"/>
      <x:c r="B4517"/>
    </x:row>
    <x:row r="4518">
      <x:c r="A4518"/>
      <x:c r="B4518"/>
    </x:row>
    <x:row r="4519">
      <x:c r="A4519"/>
      <x:c r="B4519"/>
    </x:row>
    <x:row r="4520">
      <x:c r="A4520"/>
      <x:c r="B4520"/>
    </x:row>
    <x:row r="4521">
      <x:c r="A4521"/>
      <x:c r="B4521"/>
    </x:row>
    <x:row r="4522">
      <x:c r="A4522"/>
      <x:c r="B4522"/>
    </x:row>
    <x:row r="4523">
      <x:c r="A4523"/>
      <x:c r="B4523"/>
    </x:row>
    <x:row r="4524">
      <x:c r="A4524"/>
      <x:c r="B4524"/>
    </x:row>
    <x:row r="4525">
      <x:c r="A4525"/>
      <x:c r="B4525"/>
    </x:row>
    <x:row r="4526">
      <x:c r="A4526"/>
      <x:c r="B4526"/>
    </x:row>
    <x:row r="4527">
      <x:c r="A4527"/>
      <x:c r="B4527"/>
    </x:row>
    <x:row r="4528">
      <x:c r="A4528"/>
      <x:c r="B4528"/>
    </x:row>
    <x:row r="4529">
      <x:c r="A4529"/>
      <x:c r="B4529"/>
    </x:row>
    <x:row r="4530">
      <x:c r="A4530"/>
      <x:c r="B4530"/>
    </x:row>
    <x:row r="4531">
      <x:c r="A4531"/>
      <x:c r="B4531"/>
    </x:row>
    <x:row r="4532">
      <x:c r="A4532"/>
      <x:c r="B4532"/>
    </x:row>
    <x:row r="4533">
      <x:c r="A4533"/>
      <x:c r="B4533"/>
    </x:row>
    <x:row r="4534">
      <x:c r="A4534"/>
      <x:c r="B4534"/>
    </x:row>
    <x:row r="4535">
      <x:c r="A4535"/>
      <x:c r="B4535"/>
    </x:row>
    <x:row r="4536">
      <x:c r="A4536"/>
      <x:c r="B4536"/>
    </x:row>
    <x:row r="4537">
      <x:c r="A4537"/>
      <x:c r="B4537"/>
    </x:row>
    <x:row r="4538">
      <x:c r="A4538"/>
      <x:c r="B4538"/>
    </x:row>
    <x:row r="4539">
      <x:c r="A4539"/>
      <x:c r="B4539"/>
    </x:row>
    <x:row r="4540">
      <x:c r="A4540"/>
      <x:c r="B4540"/>
    </x:row>
    <x:row r="4541">
      <x:c r="A4541"/>
      <x:c r="B4541"/>
    </x:row>
    <x:row r="4542">
      <x:c r="A4542"/>
      <x:c r="B4542"/>
    </x:row>
    <x:row r="4543">
      <x:c r="A4543"/>
      <x:c r="B4543"/>
    </x:row>
    <x:row r="4544">
      <x:c r="A4544"/>
      <x:c r="B4544"/>
    </x:row>
    <x:row r="4545">
      <x:c r="A4545"/>
      <x:c r="B4545"/>
    </x:row>
    <x:row r="4546">
      <x:c r="A4546"/>
      <x:c r="B4546"/>
    </x:row>
    <x:row r="4547">
      <x:c r="A4547"/>
      <x:c r="B4547"/>
    </x:row>
    <x:row r="4548">
      <x:c r="A4548"/>
      <x:c r="B4548"/>
    </x:row>
    <x:row r="4549">
      <x:c r="A4549"/>
      <x:c r="B4549"/>
    </x:row>
    <x:row r="4550">
      <x:c r="A4550"/>
      <x:c r="B4550"/>
    </x:row>
    <x:row r="4551">
      <x:c r="A4551"/>
      <x:c r="B4551"/>
    </x:row>
    <x:row r="4552">
      <x:c r="A4552"/>
      <x:c r="B4552"/>
    </x:row>
    <x:row r="4553">
      <x:c r="A4553"/>
      <x:c r="B4553"/>
    </x:row>
    <x:row r="4554">
      <x:c r="A4554"/>
      <x:c r="B4554"/>
    </x:row>
    <x:row r="4555">
      <x:c r="A4555"/>
      <x:c r="B4555"/>
    </x:row>
    <x:row r="4556">
      <x:c r="A4556"/>
      <x:c r="B4556"/>
    </x:row>
    <x:row r="4557">
      <x:c r="A4557"/>
      <x:c r="B4557"/>
    </x:row>
    <x:row r="4558">
      <x:c r="A4558"/>
      <x:c r="B4558"/>
    </x:row>
    <x:row r="4559">
      <x:c r="A4559"/>
      <x:c r="B4559"/>
    </x:row>
    <x:row r="4560">
      <x:c r="A4560"/>
      <x:c r="B4560"/>
    </x:row>
    <x:row r="4561">
      <x:c r="A4561"/>
      <x:c r="B4561"/>
    </x:row>
    <x:row r="4562">
      <x:c r="A4562"/>
      <x:c r="B4562"/>
    </x:row>
    <x:row r="4563">
      <x:c r="A4563"/>
      <x:c r="B4563"/>
    </x:row>
    <x:row r="4564">
      <x:c r="A4564"/>
      <x:c r="B4564"/>
    </x:row>
    <x:row r="4565">
      <x:c r="A4565"/>
      <x:c r="B4565"/>
    </x:row>
    <x:row r="4566">
      <x:c r="A4566"/>
      <x:c r="B4566"/>
    </x:row>
    <x:row r="4567">
      <x:c r="A4567"/>
      <x:c r="B4567"/>
    </x:row>
    <x:row r="4568">
      <x:c r="A4568"/>
      <x:c r="B4568"/>
    </x:row>
    <x:row r="4569">
      <x:c r="A4569"/>
      <x:c r="B4569"/>
    </x:row>
    <x:row r="4570">
      <x:c r="A4570"/>
      <x:c r="B4570"/>
    </x:row>
    <x:row r="4571">
      <x:c r="A4571"/>
      <x:c r="B4571"/>
    </x:row>
    <x:row r="4572">
      <x:c r="A4572"/>
      <x:c r="B4572"/>
    </x:row>
    <x:row r="4573">
      <x:c r="A4573"/>
      <x:c r="B4573"/>
    </x:row>
    <x:row r="4574">
      <x:c r="A4574"/>
      <x:c r="B4574"/>
    </x:row>
    <x:row r="4575">
      <x:c r="A4575"/>
      <x:c r="B4575"/>
    </x:row>
    <x:row r="4576">
      <x:c r="A4576"/>
      <x:c r="B4576"/>
    </x:row>
    <x:row r="4577">
      <x:c r="A4577"/>
      <x:c r="B4577"/>
    </x:row>
    <x:row r="4578">
      <x:c r="A4578"/>
      <x:c r="B4578"/>
    </x:row>
    <x:row r="4579">
      <x:c r="A4579"/>
      <x:c r="B4579"/>
    </x:row>
    <x:row r="4580">
      <x:c r="A4580"/>
      <x:c r="B4580"/>
    </x:row>
    <x:row r="4581">
      <x:c r="A4581"/>
      <x:c r="B4581"/>
    </x:row>
    <x:row r="4582">
      <x:c r="A4582"/>
      <x:c r="B4582"/>
    </x:row>
    <x:row r="4583">
      <x:c r="A4583"/>
      <x:c r="B4583"/>
    </x:row>
    <x:row r="4584">
      <x:c r="A4584"/>
      <x:c r="B4584"/>
    </x:row>
    <x:row r="4585">
      <x:c r="A4585"/>
      <x:c r="B4585"/>
    </x:row>
    <x:row r="4586">
      <x:c r="A4586"/>
      <x:c r="B4586"/>
    </x:row>
    <x:row r="4587">
      <x:c r="A4587"/>
      <x:c r="B4587"/>
    </x:row>
    <x:row r="4588">
      <x:c r="A4588"/>
      <x:c r="B4588"/>
    </x:row>
    <x:row r="4589">
      <x:c r="A4589"/>
      <x:c r="B4589"/>
    </x:row>
    <x:row r="4590">
      <x:c r="A4590"/>
      <x:c r="B4590"/>
    </x:row>
    <x:row r="4591">
      <x:c r="A4591"/>
      <x:c r="B4591"/>
    </x:row>
    <x:row r="4592">
      <x:c r="A4592"/>
      <x:c r="B4592"/>
    </x:row>
    <x:row r="4593">
      <x:c r="A4593"/>
      <x:c r="B4593"/>
    </x:row>
    <x:row r="4594">
      <x:c r="A4594"/>
      <x:c r="B4594"/>
    </x:row>
    <x:row r="4595">
      <x:c r="A4595"/>
      <x:c r="B4595"/>
    </x:row>
    <x:row r="4596">
      <x:c r="A4596"/>
      <x:c r="B4596"/>
    </x:row>
    <x:row r="4597">
      <x:c r="A4597"/>
      <x:c r="B4597"/>
    </x:row>
    <x:row r="4598">
      <x:c r="A4598"/>
      <x:c r="B4598"/>
    </x:row>
    <x:row r="4599">
      <x:c r="A4599"/>
      <x:c r="B4599"/>
    </x:row>
    <x:row r="4600">
      <x:c r="A4600"/>
      <x:c r="B4600"/>
    </x:row>
    <x:row r="4601">
      <x:c r="A4601"/>
      <x:c r="B4601"/>
    </x:row>
    <x:row r="4602">
      <x:c r="A4602"/>
      <x:c r="B4602"/>
    </x:row>
    <x:row r="4603">
      <x:c r="A4603"/>
      <x:c r="B4603"/>
    </x:row>
    <x:row r="4604">
      <x:c r="A4604"/>
      <x:c r="B4604"/>
    </x:row>
    <x:row r="4605">
      <x:c r="A4605"/>
      <x:c r="B4605"/>
    </x:row>
    <x:row r="4606">
      <x:c r="A4606"/>
      <x:c r="B4606"/>
    </x:row>
    <x:row r="4607">
      <x:c r="A4607"/>
      <x:c r="B4607"/>
    </x:row>
    <x:row r="4608">
      <x:c r="A4608"/>
      <x:c r="B4608"/>
    </x:row>
    <x:row r="4609">
      <x:c r="A4609"/>
      <x:c r="B4609"/>
    </x:row>
    <x:row r="4610">
      <x:c r="A4610"/>
      <x:c r="B4610"/>
    </x:row>
    <x:row r="4611">
      <x:c r="A4611"/>
      <x:c r="B4611"/>
    </x:row>
    <x:row r="4612">
      <x:c r="A4612"/>
      <x:c r="B4612"/>
    </x:row>
    <x:row r="4613">
      <x:c r="A4613"/>
      <x:c r="B4613"/>
    </x:row>
    <x:row r="4614">
      <x:c r="A4614"/>
      <x:c r="B4614"/>
    </x:row>
    <x:row r="4615">
      <x:c r="A4615"/>
      <x:c r="B4615"/>
    </x:row>
    <x:row r="4616">
      <x:c r="A4616"/>
      <x:c r="B4616"/>
    </x:row>
    <x:row r="4617">
      <x:c r="A4617"/>
      <x:c r="B4617"/>
    </x:row>
    <x:row r="4618">
      <x:c r="A4618"/>
      <x:c r="B4618"/>
    </x:row>
    <x:row r="4619">
      <x:c r="A4619"/>
      <x:c r="B4619"/>
    </x:row>
    <x:row r="4620">
      <x:c r="A4620"/>
      <x:c r="B4620"/>
    </x:row>
    <x:row r="4621">
      <x:c r="A4621"/>
      <x:c r="B4621"/>
    </x:row>
    <x:row r="4622">
      <x:c r="A4622"/>
      <x:c r="B4622"/>
    </x:row>
    <x:row r="4623">
      <x:c r="A4623"/>
      <x:c r="B4623"/>
    </x:row>
    <x:row r="4624">
      <x:c r="A4624"/>
      <x:c r="B4624"/>
    </x:row>
    <x:row r="4625">
      <x:c r="A4625"/>
      <x:c r="B4625"/>
    </x:row>
    <x:row r="4626">
      <x:c r="A4626"/>
      <x:c r="B4626"/>
    </x:row>
    <x:row r="4627">
      <x:c r="A4627"/>
      <x:c r="B4627"/>
    </x:row>
    <x:row r="4628">
      <x:c r="A4628"/>
      <x:c r="B4628"/>
    </x:row>
    <x:row r="4629">
      <x:c r="A4629"/>
      <x:c r="B4629"/>
    </x:row>
    <x:row r="4630">
      <x:c r="A4630"/>
      <x:c r="B4630"/>
    </x:row>
    <x:row r="4631">
      <x:c r="A4631"/>
      <x:c r="B4631"/>
    </x:row>
    <x:row r="4632">
      <x:c r="A4632"/>
      <x:c r="B4632"/>
    </x:row>
    <x:row r="4633">
      <x:c r="A4633"/>
      <x:c r="B4633"/>
    </x:row>
    <x:row r="4634">
      <x:c r="A4634"/>
      <x:c r="B4634"/>
    </x:row>
    <x:row r="4635">
      <x:c r="A4635"/>
      <x:c r="B4635"/>
    </x:row>
    <x:row r="4636">
      <x:c r="A4636"/>
      <x:c r="B4636"/>
    </x:row>
    <x:row r="4637">
      <x:c r="A4637"/>
      <x:c r="B4637"/>
    </x:row>
    <x:row r="4638">
      <x:c r="A4638"/>
      <x:c r="B4638"/>
    </x:row>
    <x:row r="4639">
      <x:c r="A4639"/>
      <x:c r="B4639"/>
    </x:row>
    <x:row r="4640">
      <x:c r="A4640"/>
      <x:c r="B4640"/>
    </x:row>
    <x:row r="4641">
      <x:c r="A4641"/>
      <x:c r="B4641"/>
    </x:row>
    <x:row r="4642">
      <x:c r="A4642"/>
      <x:c r="B4642"/>
    </x:row>
    <x:row r="4643">
      <x:c r="A4643"/>
      <x:c r="B4643"/>
    </x:row>
    <x:row r="4644">
      <x:c r="A4644"/>
      <x:c r="B4644"/>
    </x:row>
    <x:row r="4645">
      <x:c r="A4645"/>
      <x:c r="B4645"/>
    </x:row>
    <x:row r="4646">
      <x:c r="A4646"/>
      <x:c r="B4646"/>
    </x:row>
    <x:row r="4647">
      <x:c r="A4647"/>
      <x:c r="B4647"/>
    </x:row>
    <x:row r="4648">
      <x:c r="A4648"/>
      <x:c r="B4648"/>
    </x:row>
    <x:row r="4649">
      <x:c r="A4649"/>
      <x:c r="B4649"/>
    </x:row>
    <x:row r="4650">
      <x:c r="A4650"/>
      <x:c r="B4650"/>
    </x:row>
    <x:row r="4651">
      <x:c r="A4651"/>
      <x:c r="B4651"/>
    </x:row>
    <x:row r="4652">
      <x:c r="A4652"/>
      <x:c r="B4652"/>
    </x:row>
    <x:row r="4653">
      <x:c r="A4653"/>
      <x:c r="B4653"/>
    </x:row>
    <x:row r="4654">
      <x:c r="A4654"/>
      <x:c r="B4654"/>
    </x:row>
    <x:row r="4655">
      <x:c r="A4655"/>
      <x:c r="B4655"/>
    </x:row>
    <x:row r="4656">
      <x:c r="A4656"/>
      <x:c r="B4656"/>
    </x:row>
    <x:row r="4657">
      <x:c r="A4657"/>
      <x:c r="B4657"/>
    </x:row>
    <x:row r="4658">
      <x:c r="A4658"/>
      <x:c r="B4658"/>
    </x:row>
    <x:row r="4659">
      <x:c r="A4659"/>
      <x:c r="B4659"/>
    </x:row>
    <x:row r="4660">
      <x:c r="A4660"/>
      <x:c r="B4660"/>
    </x:row>
    <x:row r="4661">
      <x:c r="A4661"/>
      <x:c r="B4661"/>
    </x:row>
    <x:row r="4662">
      <x:c r="A4662"/>
      <x:c r="B4662"/>
    </x:row>
    <x:row r="4663">
      <x:c r="A4663"/>
      <x:c r="B4663"/>
    </x:row>
    <x:row r="4664">
      <x:c r="A4664"/>
      <x:c r="B4664"/>
    </x:row>
    <x:row r="4665">
      <x:c r="A4665"/>
      <x:c r="B4665"/>
    </x:row>
    <x:row r="4666">
      <x:c r="A4666"/>
      <x:c r="B4666"/>
    </x:row>
    <x:row r="4667">
      <x:c r="A4667"/>
      <x:c r="B4667"/>
    </x:row>
    <x:row r="4668">
      <x:c r="A4668"/>
      <x:c r="B4668"/>
    </x:row>
    <x:row r="4669">
      <x:c r="A4669"/>
      <x:c r="B4669"/>
    </x:row>
    <x:row r="4670">
      <x:c r="A4670"/>
      <x:c r="B4670"/>
    </x:row>
    <x:row r="4671">
      <x:c r="A4671"/>
      <x:c r="B4671"/>
    </x:row>
    <x:row r="4672">
      <x:c r="A4672"/>
      <x:c r="B4672"/>
    </x:row>
    <x:row r="4673">
      <x:c r="A4673"/>
      <x:c r="B4673"/>
    </x:row>
    <x:row r="4674">
      <x:c r="A4674"/>
      <x:c r="B4674"/>
    </x:row>
    <x:row r="4675">
      <x:c r="A4675"/>
      <x:c r="B4675"/>
    </x:row>
    <x:row r="4676">
      <x:c r="A4676"/>
      <x:c r="B4676"/>
    </x:row>
    <x:row r="4677">
      <x:c r="A4677"/>
      <x:c r="B4677"/>
    </x:row>
    <x:row r="4678">
      <x:c r="A4678"/>
      <x:c r="B4678"/>
    </x:row>
    <x:row r="4679">
      <x:c r="A4679"/>
      <x:c r="B4679"/>
    </x:row>
    <x:row r="4680">
      <x:c r="A4680"/>
      <x:c r="B4680"/>
    </x:row>
    <x:row r="4681">
      <x:c r="A4681"/>
      <x:c r="B4681"/>
    </x:row>
    <x:row r="4682">
      <x:c r="A4682"/>
      <x:c r="B4682"/>
    </x:row>
    <x:row r="4683">
      <x:c r="A4683"/>
      <x:c r="B4683"/>
    </x:row>
    <x:row r="4684">
      <x:c r="A4684"/>
      <x:c r="B4684"/>
    </x:row>
    <x:row r="4685">
      <x:c r="A4685"/>
      <x:c r="B4685"/>
    </x:row>
    <x:row r="4686">
      <x:c r="A4686"/>
      <x:c r="B4686"/>
    </x:row>
    <x:row r="4687">
      <x:c r="A4687"/>
      <x:c r="B4687"/>
    </x:row>
    <x:row r="4688">
      <x:c r="A4688"/>
      <x:c r="B4688"/>
    </x:row>
    <x:row r="4689">
      <x:c r="A4689"/>
      <x:c r="B4689"/>
    </x:row>
    <x:row r="4690">
      <x:c r="A4690"/>
      <x:c r="B4690"/>
    </x:row>
    <x:row r="4691">
      <x:c r="A4691"/>
      <x:c r="B4691"/>
    </x:row>
    <x:row r="4692">
      <x:c r="A4692"/>
      <x:c r="B4692"/>
    </x:row>
    <x:row r="4693">
      <x:c r="A4693"/>
      <x:c r="B4693"/>
    </x:row>
    <x:row r="4694">
      <x:c r="A4694"/>
      <x:c r="B4694"/>
    </x:row>
    <x:row r="4695">
      <x:c r="A4695"/>
      <x:c r="B4695"/>
    </x:row>
    <x:row r="4696">
      <x:c r="A4696"/>
      <x:c r="B4696"/>
    </x:row>
    <x:row r="4697">
      <x:c r="A4697"/>
      <x:c r="B4697"/>
    </x:row>
    <x:row r="4698">
      <x:c r="A4698"/>
      <x:c r="B4698"/>
    </x:row>
    <x:row r="4699">
      <x:c r="A4699"/>
      <x:c r="B4699"/>
    </x:row>
    <x:row r="4700">
      <x:c r="A4700"/>
      <x:c r="B4700"/>
    </x:row>
    <x:row r="4701">
      <x:c r="A4701"/>
      <x:c r="B4701"/>
    </x:row>
    <x:row r="4702">
      <x:c r="A4702"/>
      <x:c r="B4702"/>
    </x:row>
    <x:row r="4703">
      <x:c r="A4703"/>
      <x:c r="B4703"/>
    </x:row>
    <x:row r="4704">
      <x:c r="A4704"/>
      <x:c r="B4704"/>
    </x:row>
    <x:row r="4705">
      <x:c r="A4705"/>
      <x:c r="B4705"/>
    </x:row>
    <x:row r="4706">
      <x:c r="A4706"/>
      <x:c r="B4706"/>
    </x:row>
    <x:row r="4707">
      <x:c r="A4707"/>
      <x:c r="B4707"/>
    </x:row>
    <x:row r="4708">
      <x:c r="A4708"/>
      <x:c r="B4708"/>
    </x:row>
    <x:row r="4709">
      <x:c r="A4709"/>
      <x:c r="B4709"/>
    </x:row>
    <x:row r="4710">
      <x:c r="A4710"/>
      <x:c r="B4710"/>
    </x:row>
    <x:row r="4711">
      <x:c r="A4711"/>
      <x:c r="B4711"/>
    </x:row>
    <x:row r="4712">
      <x:c r="A4712"/>
      <x:c r="B4712"/>
    </x:row>
    <x:row r="4713">
      <x:c r="A4713"/>
      <x:c r="B4713"/>
    </x:row>
    <x:row r="4714">
      <x:c r="A4714"/>
      <x:c r="B4714"/>
    </x:row>
    <x:row r="4715">
      <x:c r="A4715"/>
      <x:c r="B4715"/>
    </x:row>
    <x:row r="4716">
      <x:c r="A4716"/>
      <x:c r="B4716"/>
    </x:row>
    <x:row r="4717">
      <x:c r="A4717"/>
      <x:c r="B4717"/>
    </x:row>
    <x:row r="4718">
      <x:c r="A4718"/>
      <x:c r="B4718"/>
    </x:row>
    <x:row r="4719">
      <x:c r="A4719"/>
      <x:c r="B4719"/>
    </x:row>
    <x:row r="4720">
      <x:c r="A4720"/>
      <x:c r="B4720"/>
    </x:row>
    <x:row r="4721">
      <x:c r="A4721"/>
      <x:c r="B4721"/>
    </x:row>
    <x:row r="4722">
      <x:c r="A4722"/>
      <x:c r="B4722"/>
    </x:row>
    <x:row r="4723">
      <x:c r="A4723"/>
      <x:c r="B4723"/>
    </x:row>
    <x:row r="4724">
      <x:c r="A4724"/>
      <x:c r="B4724"/>
    </x:row>
    <x:row r="4725">
      <x:c r="A4725"/>
      <x:c r="B4725"/>
    </x:row>
    <x:row r="4726">
      <x:c r="A4726"/>
      <x:c r="B4726"/>
    </x:row>
    <x:row r="4727">
      <x:c r="A4727"/>
      <x:c r="B4727"/>
    </x:row>
    <x:row r="4728">
      <x:c r="A4728"/>
      <x:c r="B4728"/>
    </x:row>
    <x:row r="4729">
      <x:c r="A4729"/>
      <x:c r="B4729"/>
    </x:row>
    <x:row r="4730">
      <x:c r="A4730"/>
      <x:c r="B4730"/>
    </x:row>
    <x:row r="4731">
      <x:c r="A4731"/>
      <x:c r="B4731"/>
    </x:row>
    <x:row r="4732">
      <x:c r="A4732"/>
      <x:c r="B4732"/>
    </x:row>
    <x:row r="4733">
      <x:c r="A4733"/>
      <x:c r="B4733"/>
    </x:row>
    <x:row r="4734">
      <x:c r="A4734"/>
      <x:c r="B4734"/>
    </x:row>
    <x:row r="4735">
      <x:c r="A4735"/>
      <x:c r="B4735"/>
    </x:row>
    <x:row r="4736">
      <x:c r="A4736"/>
      <x:c r="B4736"/>
    </x:row>
    <x:row r="4737">
      <x:c r="A4737"/>
      <x:c r="B4737"/>
    </x:row>
    <x:row r="4738">
      <x:c r="A4738"/>
      <x:c r="B4738"/>
    </x:row>
    <x:row r="4739">
      <x:c r="A4739"/>
      <x:c r="B4739"/>
    </x:row>
    <x:row r="4740">
      <x:c r="A4740"/>
      <x:c r="B4740"/>
    </x:row>
    <x:row r="4741">
      <x:c r="A4741"/>
      <x:c r="B4741"/>
    </x:row>
    <x:row r="4742">
      <x:c r="A4742"/>
      <x:c r="B4742"/>
    </x:row>
    <x:row r="4743">
      <x:c r="A4743"/>
      <x:c r="B4743"/>
    </x:row>
    <x:row r="4744">
      <x:c r="A4744"/>
      <x:c r="B4744"/>
    </x:row>
    <x:row r="4745">
      <x:c r="A4745"/>
      <x:c r="B4745"/>
    </x:row>
    <x:row r="4746">
      <x:c r="A4746"/>
      <x:c r="B4746"/>
    </x:row>
    <x:row r="4747">
      <x:c r="A4747"/>
      <x:c r="B4747"/>
    </x:row>
    <x:row r="4748">
      <x:c r="A4748"/>
      <x:c r="B4748"/>
    </x:row>
    <x:row r="4749">
      <x:c r="A4749"/>
      <x:c r="B4749"/>
    </x:row>
    <x:row r="4750">
      <x:c r="A4750"/>
      <x:c r="B4750"/>
    </x:row>
    <x:row r="4751">
      <x:c r="A4751"/>
      <x:c r="B4751"/>
    </x:row>
    <x:row r="4752">
      <x:c r="A4752"/>
      <x:c r="B4752"/>
    </x:row>
    <x:row r="4753">
      <x:c r="A4753"/>
      <x:c r="B4753"/>
    </x:row>
    <x:row r="4754">
      <x:c r="A4754"/>
      <x:c r="B4754"/>
    </x:row>
    <x:row r="4755">
      <x:c r="A4755"/>
      <x:c r="B4755"/>
    </x:row>
    <x:row r="4756">
      <x:c r="A4756"/>
      <x:c r="B4756"/>
    </x:row>
    <x:row r="4757">
      <x:c r="A4757"/>
      <x:c r="B4757"/>
    </x:row>
    <x:row r="4758">
      <x:c r="A4758"/>
      <x:c r="B4758"/>
    </x:row>
    <x:row r="4759">
      <x:c r="A4759"/>
      <x:c r="B4759"/>
    </x:row>
    <x:row r="4760">
      <x:c r="A4760"/>
      <x:c r="B4760"/>
    </x:row>
    <x:row r="4761">
      <x:c r="A4761"/>
      <x:c r="B4761"/>
    </x:row>
    <x:row r="4762">
      <x:c r="A4762"/>
      <x:c r="B4762"/>
    </x:row>
    <x:row r="4763">
      <x:c r="A4763"/>
      <x:c r="B4763"/>
    </x:row>
    <x:row r="4764">
      <x:c r="A4764"/>
      <x:c r="B4764"/>
    </x:row>
    <x:row r="4765">
      <x:c r="A4765"/>
      <x:c r="B4765"/>
    </x:row>
    <x:row r="4766">
      <x:c r="A4766"/>
      <x:c r="B4766"/>
    </x:row>
    <x:row r="4767">
      <x:c r="A4767"/>
      <x:c r="B4767"/>
    </x:row>
    <x:row r="4768">
      <x:c r="A4768"/>
      <x:c r="B4768"/>
    </x:row>
    <x:row r="4769">
      <x:c r="A4769"/>
      <x:c r="B4769"/>
    </x:row>
    <x:row r="4770">
      <x:c r="A4770"/>
      <x:c r="B4770"/>
    </x:row>
    <x:row r="4771">
      <x:c r="A4771"/>
      <x:c r="B4771"/>
    </x:row>
    <x:row r="4772">
      <x:c r="A4772"/>
      <x:c r="B4772"/>
    </x:row>
    <x:row r="4773">
      <x:c r="A4773"/>
      <x:c r="B4773"/>
    </x:row>
    <x:row r="4774">
      <x:c r="A4774"/>
      <x:c r="B4774"/>
    </x:row>
    <x:row r="4775">
      <x:c r="A4775"/>
      <x:c r="B4775"/>
    </x:row>
    <x:row r="4776">
      <x:c r="A4776"/>
      <x:c r="B4776"/>
    </x:row>
    <x:row r="4777">
      <x:c r="A4777"/>
      <x:c r="B4777"/>
    </x:row>
    <x:row r="4778">
      <x:c r="A4778"/>
      <x:c r="B4778"/>
    </x:row>
    <x:row r="4779">
      <x:c r="A4779"/>
      <x:c r="B4779"/>
    </x:row>
    <x:row r="4780">
      <x:c r="A4780"/>
      <x:c r="B4780"/>
    </x:row>
    <x:row r="4781">
      <x:c r="A4781"/>
      <x:c r="B4781"/>
    </x:row>
    <x:row r="4782">
      <x:c r="A4782"/>
      <x:c r="B4782"/>
    </x:row>
    <x:row r="4783">
      <x:c r="A4783"/>
      <x:c r="B4783"/>
    </x:row>
    <x:row r="4784">
      <x:c r="A4784"/>
      <x:c r="B4784"/>
    </x:row>
    <x:row r="4785">
      <x:c r="A4785"/>
      <x:c r="B4785"/>
    </x:row>
    <x:row r="4786">
      <x:c r="A4786"/>
      <x:c r="B4786"/>
    </x:row>
    <x:row r="4787">
      <x:c r="A4787"/>
      <x:c r="B4787"/>
    </x:row>
    <x:row r="4788">
      <x:c r="A4788"/>
      <x:c r="B4788"/>
    </x:row>
    <x:row r="4789">
      <x:c r="A4789"/>
      <x:c r="B4789"/>
    </x:row>
    <x:row r="4790">
      <x:c r="A4790"/>
      <x:c r="B4790"/>
    </x:row>
    <x:row r="4791">
      <x:c r="A4791"/>
      <x:c r="B4791"/>
    </x:row>
    <x:row r="4792">
      <x:c r="A4792"/>
      <x:c r="B4792"/>
    </x:row>
    <x:row r="4793">
      <x:c r="A4793"/>
      <x:c r="B4793"/>
    </x:row>
    <x:row r="4794">
      <x:c r="A4794"/>
      <x:c r="B4794"/>
    </x:row>
    <x:row r="4795">
      <x:c r="A4795"/>
      <x:c r="B4795"/>
    </x:row>
    <x:row r="4796">
      <x:c r="A4796"/>
      <x:c r="B4796"/>
    </x:row>
    <x:row r="4797">
      <x:c r="A4797"/>
      <x:c r="B4797"/>
    </x:row>
    <x:row r="4798">
      <x:c r="A4798"/>
      <x:c r="B4798"/>
    </x:row>
    <x:row r="4799">
      <x:c r="A4799"/>
      <x:c r="B4799"/>
    </x:row>
    <x:row r="4800">
      <x:c r="A4800"/>
      <x:c r="B4800"/>
    </x:row>
    <x:row r="4801">
      <x:c r="A4801"/>
      <x:c r="B4801"/>
    </x:row>
    <x:row r="4802">
      <x:c r="A4802"/>
      <x:c r="B4802"/>
    </x:row>
    <x:row r="4803">
      <x:c r="A4803"/>
      <x:c r="B4803"/>
    </x:row>
    <x:row r="4804">
      <x:c r="A4804"/>
      <x:c r="B4804"/>
    </x:row>
    <x:row r="4805">
      <x:c r="A4805"/>
      <x:c r="B4805"/>
    </x:row>
    <x:row r="4806">
      <x:c r="A4806"/>
      <x:c r="B4806"/>
    </x:row>
    <x:row r="4807">
      <x:c r="A4807"/>
      <x:c r="B4807"/>
    </x:row>
    <x:row r="4808">
      <x:c r="A4808"/>
      <x:c r="B4808"/>
    </x:row>
    <x:row r="4809">
      <x:c r="A4809"/>
      <x:c r="B4809"/>
    </x:row>
    <x:row r="4810">
      <x:c r="A4810"/>
      <x:c r="B4810"/>
    </x:row>
    <x:row r="4811">
      <x:c r="A4811"/>
      <x:c r="B4811"/>
    </x:row>
    <x:row r="4812">
      <x:c r="A4812"/>
      <x:c r="B4812"/>
    </x:row>
    <x:row r="4813">
      <x:c r="A4813"/>
      <x:c r="B4813"/>
    </x:row>
    <x:row r="4814">
      <x:c r="A4814"/>
      <x:c r="B4814"/>
    </x:row>
    <x:row r="4815">
      <x:c r="A4815"/>
      <x:c r="B4815"/>
    </x:row>
    <x:row r="4816">
      <x:c r="A4816"/>
      <x:c r="B4816"/>
    </x:row>
    <x:row r="4817">
      <x:c r="A4817"/>
      <x:c r="B4817"/>
    </x:row>
    <x:row r="4818">
      <x:c r="A4818"/>
      <x:c r="B4818"/>
    </x:row>
    <x:row r="4819">
      <x:c r="A4819"/>
      <x:c r="B4819"/>
    </x:row>
    <x:row r="4820">
      <x:c r="A4820"/>
      <x:c r="B4820"/>
    </x:row>
    <x:row r="4821">
      <x:c r="A4821"/>
      <x:c r="B4821"/>
    </x:row>
    <x:row r="4822">
      <x:c r="A4822"/>
      <x:c r="B4822"/>
    </x:row>
    <x:row r="4823">
      <x:c r="A4823"/>
      <x:c r="B4823"/>
    </x:row>
    <x:row r="4824">
      <x:c r="A4824"/>
      <x:c r="B4824"/>
    </x:row>
    <x:row r="4825">
      <x:c r="A4825"/>
      <x:c r="B4825"/>
    </x:row>
    <x:row r="4826">
      <x:c r="A4826"/>
      <x:c r="B4826"/>
    </x:row>
    <x:row r="4827">
      <x:c r="A4827"/>
      <x:c r="B4827"/>
    </x:row>
    <x:row r="4828">
      <x:c r="A4828"/>
      <x:c r="B4828"/>
    </x:row>
    <x:row r="4829">
      <x:c r="A4829"/>
      <x:c r="B4829"/>
    </x:row>
    <x:row r="4830">
      <x:c r="A4830"/>
      <x:c r="B4830"/>
    </x:row>
    <x:row r="4831">
      <x:c r="A4831"/>
      <x:c r="B4831"/>
    </x:row>
    <x:row r="4832">
      <x:c r="A4832"/>
      <x:c r="B4832"/>
    </x:row>
    <x:row r="4833">
      <x:c r="A4833"/>
      <x:c r="B4833"/>
    </x:row>
    <x:row r="4834">
      <x:c r="A4834"/>
      <x:c r="B4834"/>
    </x:row>
    <x:row r="4835">
      <x:c r="A4835"/>
      <x:c r="B4835"/>
    </x:row>
    <x:row r="4836">
      <x:c r="A4836"/>
      <x:c r="B4836"/>
    </x:row>
    <x:row r="4837">
      <x:c r="A4837"/>
      <x:c r="B4837"/>
    </x:row>
    <x:row r="4838">
      <x:c r="A4838"/>
      <x:c r="B4838"/>
    </x:row>
    <x:row r="4839">
      <x:c r="A4839"/>
      <x:c r="B4839"/>
    </x:row>
    <x:row r="4840">
      <x:c r="A4840"/>
      <x:c r="B4840"/>
    </x:row>
    <x:row r="4841">
      <x:c r="A4841"/>
      <x:c r="B4841"/>
    </x:row>
    <x:row r="4842">
      <x:c r="A4842"/>
      <x:c r="B4842"/>
    </x:row>
    <x:row r="4843">
      <x:c r="A4843"/>
      <x:c r="B4843"/>
    </x:row>
    <x:row r="4844">
      <x:c r="A4844"/>
      <x:c r="B4844"/>
    </x:row>
    <x:row r="4845">
      <x:c r="A4845"/>
      <x:c r="B4845"/>
    </x:row>
    <x:row r="4846">
      <x:c r="A4846"/>
      <x:c r="B4846"/>
    </x:row>
    <x:row r="4847">
      <x:c r="A4847"/>
      <x:c r="B4847"/>
    </x:row>
    <x:row r="4848">
      <x:c r="A4848"/>
      <x:c r="B4848"/>
    </x:row>
    <x:row r="4849">
      <x:c r="A4849"/>
      <x:c r="B4849"/>
    </x:row>
    <x:row r="4850">
      <x:c r="A4850"/>
      <x:c r="B4850"/>
    </x:row>
    <x:row r="4851">
      <x:c r="A4851"/>
      <x:c r="B4851"/>
    </x:row>
    <x:row r="4852">
      <x:c r="A4852"/>
      <x:c r="B4852"/>
    </x:row>
    <x:row r="4853">
      <x:c r="A4853"/>
      <x:c r="B4853"/>
    </x:row>
    <x:row r="4854">
      <x:c r="A4854"/>
      <x:c r="B4854"/>
    </x:row>
    <x:row r="4855">
      <x:c r="A4855"/>
      <x:c r="B4855"/>
    </x:row>
    <x:row r="4856">
      <x:c r="A4856"/>
      <x:c r="B4856"/>
    </x:row>
    <x:row r="4857">
      <x:c r="A4857"/>
      <x:c r="B4857"/>
    </x:row>
    <x:row r="4858">
      <x:c r="A4858"/>
      <x:c r="B4858"/>
    </x:row>
    <x:row r="4859">
      <x:c r="A4859"/>
      <x:c r="B4859"/>
    </x:row>
    <x:row r="4860">
      <x:c r="A4860"/>
      <x:c r="B4860"/>
    </x:row>
    <x:row r="4861">
      <x:c r="A4861"/>
      <x:c r="B4861"/>
    </x:row>
    <x:row r="4862">
      <x:c r="A4862"/>
      <x:c r="B4862"/>
    </x:row>
    <x:row r="4863">
      <x:c r="A4863"/>
      <x:c r="B4863"/>
    </x:row>
    <x:row r="4864">
      <x:c r="A4864"/>
      <x:c r="B4864"/>
    </x:row>
    <x:row r="4865">
      <x:c r="A4865"/>
      <x:c r="B4865"/>
    </x:row>
    <x:row r="4866">
      <x:c r="A4866"/>
      <x:c r="B4866"/>
    </x:row>
    <x:row r="4867">
      <x:c r="A4867"/>
      <x:c r="B4867"/>
    </x:row>
    <x:row r="4868">
      <x:c r="A4868"/>
      <x:c r="B4868"/>
    </x:row>
    <x:row r="4869">
      <x:c r="A4869"/>
      <x:c r="B4869"/>
    </x:row>
    <x:row r="4870">
      <x:c r="A4870"/>
      <x:c r="B4870"/>
    </x:row>
    <x:row r="4871">
      <x:c r="A4871"/>
      <x:c r="B4871"/>
    </x:row>
    <x:row r="4872">
      <x:c r="A4872"/>
      <x:c r="B4872"/>
    </x:row>
    <x:row r="4873">
      <x:c r="A4873"/>
      <x:c r="B4873"/>
    </x:row>
    <x:row r="4874">
      <x:c r="A4874"/>
      <x:c r="B4874"/>
    </x:row>
    <x:row r="4875">
      <x:c r="A4875"/>
      <x:c r="B4875"/>
    </x:row>
    <x:row r="4876">
      <x:c r="A4876"/>
      <x:c r="B4876"/>
    </x:row>
    <x:row r="4877">
      <x:c r="A4877"/>
      <x:c r="B4877"/>
    </x:row>
    <x:row r="4878">
      <x:c r="A4878"/>
      <x:c r="B4878"/>
    </x:row>
    <x:row r="4879">
      <x:c r="A4879"/>
      <x:c r="B4879"/>
    </x:row>
    <x:row r="4880">
      <x:c r="A4880"/>
      <x:c r="B4880"/>
    </x:row>
    <x:row r="4881">
      <x:c r="A4881"/>
      <x:c r="B4881"/>
    </x:row>
    <x:row r="4882">
      <x:c r="A4882"/>
      <x:c r="B4882"/>
    </x:row>
    <x:row r="4883">
      <x:c r="A4883"/>
      <x:c r="B4883"/>
    </x:row>
    <x:row r="4884">
      <x:c r="A4884"/>
      <x:c r="B4884"/>
    </x:row>
    <x:row r="4885">
      <x:c r="A4885"/>
      <x:c r="B4885"/>
    </x:row>
    <x:row r="4886">
      <x:c r="A4886"/>
      <x:c r="B4886"/>
    </x:row>
    <x:row r="4887">
      <x:c r="A4887"/>
      <x:c r="B4887"/>
    </x:row>
    <x:row r="4888">
      <x:c r="A4888"/>
      <x:c r="B4888"/>
    </x:row>
    <x:row r="4889">
      <x:c r="A4889"/>
      <x:c r="B4889"/>
    </x:row>
    <x:row r="4890">
      <x:c r="A4890"/>
      <x:c r="B4890"/>
    </x:row>
    <x:row r="4891">
      <x:c r="A4891"/>
      <x:c r="B4891"/>
    </x:row>
    <x:row r="4892">
      <x:c r="A4892"/>
      <x:c r="B4892"/>
    </x:row>
    <x:row r="4893">
      <x:c r="A4893"/>
      <x:c r="B4893"/>
    </x:row>
    <x:row r="4894">
      <x:c r="A4894"/>
      <x:c r="B4894"/>
    </x:row>
    <x:row r="4895">
      <x:c r="A4895"/>
      <x:c r="B4895"/>
    </x:row>
    <x:row r="4896">
      <x:c r="A4896"/>
      <x:c r="B4896"/>
    </x:row>
    <x:row r="4897">
      <x:c r="A4897"/>
      <x:c r="B4897"/>
    </x:row>
    <x:row r="4898">
      <x:c r="A4898"/>
      <x:c r="B4898"/>
    </x:row>
    <x:row r="4899">
      <x:c r="A4899"/>
      <x:c r="B4899"/>
    </x:row>
    <x:row r="4900">
      <x:c r="A4900"/>
      <x:c r="B4900"/>
    </x:row>
    <x:row r="4901">
      <x:c r="A4901"/>
      <x:c r="B4901"/>
    </x:row>
    <x:row r="4902">
      <x:c r="A4902"/>
      <x:c r="B4902"/>
    </x:row>
    <x:row r="4903">
      <x:c r="A4903"/>
      <x:c r="B4903"/>
    </x:row>
    <x:row r="4904">
      <x:c r="A4904"/>
      <x:c r="B4904"/>
    </x:row>
    <x:row r="4905">
      <x:c r="A4905"/>
      <x:c r="B4905"/>
    </x:row>
    <x:row r="4906">
      <x:c r="A4906"/>
      <x:c r="B4906"/>
    </x:row>
    <x:row r="4907">
      <x:c r="A4907"/>
      <x:c r="B4907"/>
    </x:row>
    <x:row r="4908">
      <x:c r="A4908"/>
      <x:c r="B4908"/>
    </x:row>
    <x:row r="4909">
      <x:c r="A4909"/>
      <x:c r="B4909"/>
    </x:row>
    <x:row r="4910">
      <x:c r="A4910"/>
      <x:c r="B4910"/>
    </x:row>
    <x:row r="4911">
      <x:c r="A4911"/>
      <x:c r="B4911"/>
    </x:row>
    <x:row r="4912">
      <x:c r="A4912"/>
      <x:c r="B4912"/>
    </x:row>
    <x:row r="4913">
      <x:c r="A4913"/>
      <x:c r="B4913"/>
    </x:row>
    <x:row r="4914">
      <x:c r="A4914"/>
      <x:c r="B4914"/>
    </x:row>
    <x:row r="4915">
      <x:c r="A4915"/>
      <x:c r="B4915"/>
    </x:row>
    <x:row r="4916">
      <x:c r="A4916"/>
      <x:c r="B4916"/>
    </x:row>
    <x:row r="4917">
      <x:c r="A4917"/>
      <x:c r="B4917"/>
    </x:row>
    <x:row r="4918">
      <x:c r="A4918"/>
      <x:c r="B4918"/>
    </x:row>
    <x:row r="4919">
      <x:c r="A4919"/>
      <x:c r="B4919"/>
    </x:row>
    <x:row r="4920">
      <x:c r="A4920"/>
      <x:c r="B4920"/>
    </x:row>
    <x:row r="4921">
      <x:c r="A4921"/>
      <x:c r="B4921"/>
    </x:row>
    <x:row r="4922">
      <x:c r="A4922"/>
      <x:c r="B4922"/>
    </x:row>
    <x:row r="4923">
      <x:c r="A4923"/>
      <x:c r="B4923"/>
    </x:row>
    <x:row r="4924">
      <x:c r="A4924"/>
      <x:c r="B4924"/>
    </x:row>
    <x:row r="4925">
      <x:c r="A4925"/>
      <x:c r="B4925"/>
    </x:row>
    <x:row r="4926">
      <x:c r="A4926"/>
      <x:c r="B4926"/>
    </x:row>
    <x:row r="4927">
      <x:c r="A4927"/>
      <x:c r="B4927"/>
    </x:row>
    <x:row r="4928">
      <x:c r="A4928"/>
      <x:c r="B4928"/>
    </x:row>
    <x:row r="4929">
      <x:c r="A4929"/>
      <x:c r="B4929"/>
    </x:row>
    <x:row r="4930">
      <x:c r="A4930"/>
      <x:c r="B4930"/>
    </x:row>
    <x:row r="4931">
      <x:c r="A4931"/>
      <x:c r="B4931"/>
    </x:row>
    <x:row r="4932">
      <x:c r="A4932"/>
      <x:c r="B4932"/>
    </x:row>
    <x:row r="4933">
      <x:c r="A4933"/>
      <x:c r="B4933"/>
    </x:row>
    <x:row r="4934">
      <x:c r="A4934"/>
      <x:c r="B4934"/>
    </x:row>
    <x:row r="4935">
      <x:c r="A4935"/>
      <x:c r="B4935"/>
    </x:row>
    <x:row r="4936">
      <x:c r="A4936"/>
      <x:c r="B4936"/>
    </x:row>
    <x:row r="4937">
      <x:c r="A4937"/>
      <x:c r="B4937"/>
    </x:row>
    <x:row r="4938">
      <x:c r="A4938"/>
      <x:c r="B4938"/>
    </x:row>
    <x:row r="4939">
      <x:c r="A4939"/>
      <x:c r="B4939"/>
    </x:row>
    <x:row r="4940">
      <x:c r="A4940"/>
      <x:c r="B4940"/>
    </x:row>
    <x:row r="4941">
      <x:c r="A4941"/>
      <x:c r="B4941"/>
    </x:row>
    <x:row r="4942">
      <x:c r="A4942"/>
      <x:c r="B4942"/>
    </x:row>
    <x:row r="4943">
      <x:c r="A4943"/>
      <x:c r="B4943"/>
    </x:row>
    <x:row r="4944">
      <x:c r="A4944"/>
      <x:c r="B4944"/>
    </x:row>
    <x:row r="4945">
      <x:c r="A4945"/>
      <x:c r="B4945"/>
    </x:row>
    <x:row r="4946">
      <x:c r="A4946"/>
      <x:c r="B4946"/>
    </x:row>
    <x:row r="4947">
      <x:c r="A4947"/>
      <x:c r="B4947"/>
    </x:row>
    <x:row r="4948">
      <x:c r="A4948"/>
      <x:c r="B4948"/>
    </x:row>
    <x:row r="4949">
      <x:c r="A4949"/>
      <x:c r="B4949"/>
    </x:row>
    <x:row r="4950">
      <x:c r="A4950"/>
      <x:c r="B4950"/>
    </x:row>
    <x:row r="4951">
      <x:c r="A4951"/>
      <x:c r="B4951"/>
    </x:row>
    <x:row r="4952">
      <x:c r="A4952"/>
      <x:c r="B4952"/>
    </x:row>
    <x:row r="4953">
      <x:c r="A4953"/>
      <x:c r="B4953"/>
    </x:row>
    <x:row r="4954">
      <x:c r="A4954"/>
      <x:c r="B4954"/>
    </x:row>
    <x:row r="4955">
      <x:c r="A4955"/>
      <x:c r="B4955"/>
    </x:row>
    <x:row r="4956">
      <x:c r="A4956"/>
      <x:c r="B4956"/>
    </x:row>
    <x:row r="4957">
      <x:c r="A4957"/>
      <x:c r="B4957"/>
    </x:row>
    <x:row r="4958">
      <x:c r="A4958"/>
      <x:c r="B4958"/>
    </x:row>
    <x:row r="4959">
      <x:c r="A4959"/>
      <x:c r="B4959"/>
    </x:row>
    <x:row r="4960">
      <x:c r="A4960"/>
      <x:c r="B4960"/>
    </x:row>
    <x:row r="4961">
      <x:c r="A4961"/>
      <x:c r="B4961"/>
    </x:row>
    <x:row r="4962">
      <x:c r="A4962"/>
      <x:c r="B4962"/>
    </x:row>
    <x:row r="4963">
      <x:c r="A4963"/>
      <x:c r="B4963"/>
    </x:row>
    <x:row r="4964">
      <x:c r="A4964"/>
      <x:c r="B4964"/>
    </x:row>
    <x:row r="4965">
      <x:c r="A4965"/>
      <x:c r="B4965"/>
    </x:row>
    <x:row r="4966">
      <x:c r="A4966"/>
      <x:c r="B4966"/>
    </x:row>
    <x:row r="4967">
      <x:c r="A4967"/>
      <x:c r="B4967"/>
    </x:row>
    <x:row r="4968">
      <x:c r="A4968"/>
      <x:c r="B4968"/>
    </x:row>
    <x:row r="4969">
      <x:c r="A4969"/>
      <x:c r="B4969"/>
    </x:row>
    <x:row r="4970">
      <x:c r="A4970"/>
      <x:c r="B4970"/>
    </x:row>
    <x:row r="4971">
      <x:c r="A4971"/>
      <x:c r="B4971"/>
    </x:row>
    <x:row r="4972">
      <x:c r="A4972"/>
      <x:c r="B4972"/>
    </x:row>
    <x:row r="4973">
      <x:c r="A4973"/>
      <x:c r="B4973"/>
    </x:row>
    <x:row r="4974">
      <x:c r="A4974"/>
      <x:c r="B4974"/>
    </x:row>
    <x:row r="4975">
      <x:c r="A4975"/>
      <x:c r="B4975"/>
    </x:row>
    <x:row r="4976">
      <x:c r="A4976"/>
      <x:c r="B4976"/>
    </x:row>
    <x:row r="4977">
      <x:c r="A4977"/>
      <x:c r="B4977"/>
    </x:row>
    <x:row r="4978">
      <x:c r="A4978"/>
      <x:c r="B4978"/>
    </x:row>
    <x:row r="4979">
      <x:c r="A4979"/>
      <x:c r="B4979"/>
    </x:row>
    <x:row r="4980">
      <x:c r="A4980"/>
      <x:c r="B4980"/>
    </x:row>
    <x:row r="4981">
      <x:c r="A4981"/>
      <x:c r="B4981"/>
    </x:row>
    <x:row r="4982">
      <x:c r="A4982"/>
      <x:c r="B4982"/>
    </x:row>
    <x:row r="4983">
      <x:c r="A4983"/>
      <x:c r="B4983"/>
    </x:row>
    <x:row r="4984">
      <x:c r="A4984"/>
      <x:c r="B4984"/>
    </x:row>
    <x:row r="4985">
      <x:c r="A4985"/>
      <x:c r="B4985"/>
    </x:row>
    <x:row r="4986">
      <x:c r="A4986"/>
      <x:c r="B4986"/>
    </x:row>
    <x:row r="4987">
      <x:c r="A4987"/>
      <x:c r="B4987"/>
    </x:row>
    <x:row r="4988">
      <x:c r="A4988"/>
      <x:c r="B4988"/>
    </x:row>
    <x:row r="4989">
      <x:c r="A4989"/>
      <x:c r="B4989"/>
    </x:row>
    <x:row r="4990">
      <x:c r="A4990"/>
      <x:c r="B4990"/>
    </x:row>
    <x:row r="4991">
      <x:c r="A4991"/>
      <x:c r="B4991"/>
    </x:row>
    <x:row r="4992">
      <x:c r="A4992"/>
      <x:c r="B4992"/>
    </x:row>
    <x:row r="4993">
      <x:c r="A4993"/>
      <x:c r="B4993"/>
    </x:row>
    <x:row r="4994">
      <x:c r="A4994"/>
      <x:c r="B4994"/>
    </x:row>
    <x:row r="4995">
      <x:c r="A4995"/>
      <x:c r="B4995"/>
    </x:row>
    <x:row r="4996">
      <x:c r="A4996"/>
      <x:c r="B4996"/>
    </x:row>
    <x:row r="4997">
      <x:c r="A4997"/>
      <x:c r="B4997"/>
    </x:row>
    <x:row r="4998">
      <x:c r="A4998"/>
      <x:c r="B4998"/>
    </x:row>
    <x:row r="4999">
      <x:c r="A4999"/>
      <x:c r="B4999"/>
    </x:row>
    <x:row r="5000">
      <x:c r="A5000"/>
      <x:c r="B5000"/>
    </x:row>
  </x:sheetData>
  <x:conditionalFormatting sqref="E2:E21">
    <x:cfRule type="expression" dxfId="72" priority="1">
      <x:formula>AND(ISNUMBER(E2),E2=100)</x:formula>
    </x:cfRule>
    <x:cfRule type="expression" dxfId="73" priority="2">
      <x:formula>AND(ISNUMBER(E2),E2&gt;=90,E2&lt;100)</x:formula>
    </x:cfRule>
    <x:cfRule type="expression" dxfId="74" priority="3">
      <x:formula>AND(ISNUMBER(E2),E2&gt;=80,E2&lt;90)</x:formula>
    </x:cfRule>
    <x:cfRule type="expression" dxfId="75" priority="4">
      <x:formula>AND(ISNUMBER(E2),E2&gt;=70,E2&lt;80)</x:formula>
    </x:cfRule>
    <x:cfRule type="expression" dxfId="76" priority="5">
      <x:formula>AND(ISNUMBER(E2),E2&gt;=60,E2&lt;70)</x:formula>
    </x:cfRule>
    <x:cfRule type="expression" dxfId="77" priority="6">
      <x:formula>AND(ISNUMBER(E2),E2&gt;=50,E2&lt;60)</x:formula>
    </x:cfRule>
    <x:cfRule type="expression" dxfId="78" priority="7">
      <x:formula>AND(ISNUMBER(E2),E2&gt;=40,E2&lt;50)</x:formula>
    </x:cfRule>
    <x:cfRule type="expression" dxfId="79" priority="8">
      <x:formula>AND(ISNUMBER(E2),E2&gt;=20,E2&lt;40)</x:formula>
    </x:cfRule>
    <x:cfRule type="expression" dxfId="80" priority="9">
      <x:formula>AND(ISNUMBER(E2),E2&lt;20)</x:formula>
    </x:cfRule>
  </x:conditionalFormatting>
  <x:conditionalFormatting sqref="F2:F21">
    <x:cfRule type="expression" dxfId="81" priority="10">
      <x:formula>OR(F2="КРИТИЧЕСКАЯ ОШИБКА",F2="СУЩЕСТВЕННО",F2="ЗАМЕТНАЯ ОШИБКА")</x:formula>
    </x:cfRule>
  </x:conditionalFormatting>
  <x:conditionalFormatting sqref="E2:E82">
    <x:cfRule type="expression" dxfId="136" priority="11">
      <x:formula>AND(ISNUMBER(E2),E2=100)</x:formula>
    </x:cfRule>
    <x:cfRule type="expression" dxfId="137" priority="12">
      <x:formula>AND(ISNUMBER(E2),E2&gt;=90,E2&lt;100)</x:formula>
    </x:cfRule>
    <x:cfRule type="expression" dxfId="138" priority="13">
      <x:formula>AND(ISNUMBER(E2),E2&gt;=80,E2&lt;90)</x:formula>
    </x:cfRule>
    <x:cfRule type="expression" dxfId="139" priority="14">
      <x:formula>AND(ISNUMBER(E2),E2&gt;=70,E2&lt;80)</x:formula>
    </x:cfRule>
    <x:cfRule type="expression" dxfId="140" priority="15">
      <x:formula>AND(ISNUMBER(E2),E2&gt;=60,E2&lt;70)</x:formula>
    </x:cfRule>
    <x:cfRule type="expression" dxfId="141" priority="16">
      <x:formula>AND(ISNUMBER(E2),E2&gt;=50,E2&lt;60)</x:formula>
    </x:cfRule>
    <x:cfRule type="expression" dxfId="142" priority="17">
      <x:formula>AND(ISNUMBER(E2),E2&gt;=40,E2&lt;50)</x:formula>
    </x:cfRule>
    <x:cfRule type="expression" dxfId="143" priority="18">
      <x:formula>AND(ISNUMBER(E2),E2&gt;=20,E2&lt;40)</x:formula>
    </x:cfRule>
    <x:cfRule type="expression" dxfId="144" priority="19">
      <x:formula>AND(ISNUMBER(E2),E2&lt;20)</x:formula>
    </x:cfRule>
  </x:conditionalFormatting>
  <x:conditionalFormatting sqref="F2:F82">
    <x:cfRule type="expression" dxfId="145" priority="20">
      <x:formula>OR(F2="КРИТИЧЕСКАЯ ОШИБКА",F2="СУЩЕСТВЕННО",F2="ЗАМЕТНАЯ ОШИБКА",F2="ПРОПУСК")</x:formula>
    </x:cfRule>
  </x:conditionalFormatting>
  <x:conditionalFormatting sqref="E2:E121">
    <x:cfRule type="expression" dxfId="200" priority="21">
      <x:formula>AND(ISNUMBER(E2),E2=100)</x:formula>
    </x:cfRule>
    <x:cfRule type="expression" dxfId="201" priority="22">
      <x:formula>AND(ISNUMBER(E2),E2&gt;=90,E2&lt;100)</x:formula>
    </x:cfRule>
    <x:cfRule type="expression" dxfId="202" priority="23">
      <x:formula>AND(ISNUMBER(E2),E2&gt;=80,E2&lt;90)</x:formula>
    </x:cfRule>
    <x:cfRule type="expression" dxfId="203" priority="24">
      <x:formula>AND(ISNUMBER(E2),E2&gt;=70,E2&lt;80)</x:formula>
    </x:cfRule>
    <x:cfRule type="expression" dxfId="204" priority="25">
      <x:formula>AND(ISNUMBER(E2),E2&gt;=60,E2&lt;70)</x:formula>
    </x:cfRule>
    <x:cfRule type="expression" dxfId="205" priority="26">
      <x:formula>AND(ISNUMBER(E2),E2&gt;=50,E2&lt;60)</x:formula>
    </x:cfRule>
    <x:cfRule type="expression" dxfId="206" priority="27">
      <x:formula>AND(ISNUMBER(E2),E2&gt;=40,E2&lt;50)</x:formula>
    </x:cfRule>
    <x:cfRule type="expression" dxfId="207" priority="28">
      <x:formula>AND(ISNUMBER(E2),E2&gt;=20,E2&lt;40)</x:formula>
    </x:cfRule>
    <x:cfRule type="expression" dxfId="208" priority="29">
      <x:formula>AND(ISNUMBER(E2),E2&lt;20)</x:formula>
    </x:cfRule>
  </x:conditionalFormatting>
  <x:conditionalFormatting sqref="F2:F121">
    <x:cfRule type="expression" dxfId="209" priority="30">
      <x:formula>OR(F2="КРИТИЧЕСКАЯ ОШИБКА",F2="СУЩЕСТВЕННО",F2="ЗАМЕТНАЯ ОШИБКА",F2="ПРОПУСК")</x:formula>
    </x:cfRule>
  </x:conditionalFormatting>
  <x:conditionalFormatting sqref="E2:E169">
    <x:cfRule type="expression" dxfId="264" priority="31">
      <x:formula>AND(ISNUMBER(E2),E2=100)</x:formula>
    </x:cfRule>
    <x:cfRule type="expression" dxfId="265" priority="32">
      <x:formula>AND(ISNUMBER(E2),E2&gt;=90,E2&lt;100)</x:formula>
    </x:cfRule>
    <x:cfRule type="expression" dxfId="266" priority="33">
      <x:formula>AND(ISNUMBER(E2),E2&gt;=80,E2&lt;90)</x:formula>
    </x:cfRule>
    <x:cfRule type="expression" dxfId="267" priority="34">
      <x:formula>AND(ISNUMBER(E2),E2&gt;=70,E2&lt;80)</x:formula>
    </x:cfRule>
    <x:cfRule type="expression" dxfId="268" priority="35">
      <x:formula>AND(ISNUMBER(E2),E2&gt;=60,E2&lt;70)</x:formula>
    </x:cfRule>
    <x:cfRule type="expression" dxfId="269" priority="36">
      <x:formula>AND(ISNUMBER(E2),E2&gt;=50,E2&lt;60)</x:formula>
    </x:cfRule>
    <x:cfRule type="expression" dxfId="270" priority="37">
      <x:formula>AND(ISNUMBER(E2),E2&gt;=40,E2&lt;50)</x:formula>
    </x:cfRule>
    <x:cfRule type="expression" dxfId="271" priority="38">
      <x:formula>AND(ISNUMBER(E2),E2&gt;=20,E2&lt;40)</x:formula>
    </x:cfRule>
    <x:cfRule type="expression" dxfId="272" priority="39">
      <x:formula>AND(ISNUMBER(E2),E2&lt;20)</x:formula>
    </x:cfRule>
  </x:conditionalFormatting>
  <x:conditionalFormatting sqref="F2:F169">
    <x:cfRule type="expression" dxfId="273" priority="40">
      <x:formula>OR(F2="КРИТИЧЕСКАЯ ОШИБКА",F2="СУЩЕСТВЕННО",F2="ЗАМЕТНАЯ ОШИБКА",F2="ПРОПУСК")</x:formula>
    </x:cfRule>
  </x:conditionalFormatting>
  <x:conditionalFormatting sqref="E2:E210">
    <x:cfRule type="expression" dxfId="328" priority="41">
      <x:formula>AND(ISNUMBER(E2),E2=100)</x:formula>
    </x:cfRule>
    <x:cfRule type="expression" dxfId="329" priority="42">
      <x:formula>AND(ISNUMBER(E2),E2&gt;=90,E2&lt;100)</x:formula>
    </x:cfRule>
    <x:cfRule type="expression" dxfId="330" priority="43">
      <x:formula>AND(ISNUMBER(E2),E2&gt;=80,E2&lt;90)</x:formula>
    </x:cfRule>
    <x:cfRule type="expression" dxfId="331" priority="44">
      <x:formula>AND(ISNUMBER(E2),E2&gt;=70,E2&lt;80)</x:formula>
    </x:cfRule>
    <x:cfRule type="expression" dxfId="332" priority="45">
      <x:formula>AND(ISNUMBER(E2),E2&gt;=60,E2&lt;70)</x:formula>
    </x:cfRule>
    <x:cfRule type="expression" dxfId="333" priority="46">
      <x:formula>AND(ISNUMBER(E2),E2&gt;=50,E2&lt;60)</x:formula>
    </x:cfRule>
    <x:cfRule type="expression" dxfId="334" priority="47">
      <x:formula>AND(ISNUMBER(E2),E2&gt;=40,E2&lt;50)</x:formula>
    </x:cfRule>
    <x:cfRule type="expression" dxfId="335" priority="48">
      <x:formula>AND(ISNUMBER(E2),E2&gt;=20,E2&lt;40)</x:formula>
    </x:cfRule>
    <x:cfRule type="expression" dxfId="336" priority="49">
      <x:formula>AND(ISNUMBER(E2),E2&lt;20)</x:formula>
    </x:cfRule>
  </x:conditionalFormatting>
  <x:conditionalFormatting sqref="F2:F210">
    <x:cfRule type="expression" dxfId="337" priority="50">
      <x:formula>OR(F2="КРИТИЧЕСКАЯ ОШИБКА",F2="СУЩЕСТВЕННО",F2="ЗАМЕТНАЯ ОШИБКА",F2="ПРОПУСК")</x:formula>
    </x:cfRule>
  </x:conditionalFormatting>
  <x:conditionalFormatting sqref="F2:F254">
    <x:cfRule type="expression" dxfId="401" priority="60">
      <x:formula>OR(F2="КРИТИЧЕСКАЯ ОШИБКА",F2="СУЩЕСТВЕННО",F2="ЗАМЕТНАЯ ОШИБКА",F2="ПРОПУСК")</x:formula>
    </x:cfRule>
  </x:conditionalFormatting>
  <x:conditionalFormatting sqref="E2:E254">
    <x:cfRule type="expression" dxfId="447" priority="61">
      <x:formula>AND(ISNUMBER(E2),E2=100)</x:formula>
    </x:cfRule>
    <x:cfRule type="expression" dxfId="448" priority="62">
      <x:formula>AND(ISNUMBER(E2),E2&gt;=90,E2&lt;100)</x:formula>
    </x:cfRule>
    <x:cfRule type="expression" dxfId="449" priority="63">
      <x:formula>AND(ISNUMBER(E2),E2&gt;=80,E2&lt;90)</x:formula>
    </x:cfRule>
    <x:cfRule type="expression" dxfId="450" priority="64">
      <x:formula>AND(ISNUMBER(E2),E2&gt;=70,E2&lt;80)</x:formula>
    </x:cfRule>
    <x:cfRule type="expression" dxfId="451" priority="65">
      <x:formula>AND(ISNUMBER(E2),E2&gt;=60,E2&lt;70)</x:formula>
    </x:cfRule>
    <x:cfRule type="expression" dxfId="452" priority="66">
      <x:formula>AND(ISNUMBER(E2),E2&gt;=50,E2&lt;60)</x:formula>
    </x:cfRule>
    <x:cfRule type="expression" dxfId="453" priority="67">
      <x:formula>AND(ISNUMBER(E2),E2&gt;=40,E2&lt;50)</x:formula>
    </x:cfRule>
    <x:cfRule type="expression" dxfId="454" priority="68">
      <x:formula>AND(ISNUMBER(E2),E2&gt;=20,E2&lt;40)</x:formula>
    </x:cfRule>
    <x:cfRule type="expression" dxfId="455" priority="69">
      <x:formula>AND(ISNUMBER(E2),E2&lt;20)</x:formula>
    </x:cfRule>
  </x:conditionalFormatting>
  <x:conditionalFormatting sqref="E2:E258">
    <x:cfRule type="expression" dxfId="528" priority="70">
      <x:formula>AND(ISNUMBER(E2),E2=100)</x:formula>
    </x:cfRule>
    <x:cfRule type="expression" dxfId="529" priority="71">
      <x:formula>AND(ISNUMBER(E2),E2&gt;=90,E2&lt;100)</x:formula>
    </x:cfRule>
    <x:cfRule type="expression" dxfId="530" priority="72">
      <x:formula>AND(ISNUMBER(E2),E2&gt;=80,E2&lt;90)</x:formula>
    </x:cfRule>
    <x:cfRule type="expression" dxfId="531" priority="73">
      <x:formula>AND(ISNUMBER(E2),E2&gt;=70,E2&lt;80)</x:formula>
    </x:cfRule>
    <x:cfRule type="expression" dxfId="532" priority="74">
      <x:formula>AND(ISNUMBER(E2),E2&gt;=60,E2&lt;70)</x:formula>
    </x:cfRule>
    <x:cfRule type="expression" dxfId="533" priority="75">
      <x:formula>AND(ISNUMBER(E2),E2&gt;=50,E2&lt;60)</x:formula>
    </x:cfRule>
    <x:cfRule type="expression" dxfId="534" priority="76">
      <x:formula>AND(ISNUMBER(E2),E2&gt;=40,E2&lt;50)</x:formula>
    </x:cfRule>
    <x:cfRule type="expression" dxfId="535" priority="77">
      <x:formula>AND(ISNUMBER(E2),E2&gt;=20,E2&lt;40)</x:formula>
    </x:cfRule>
    <x:cfRule type="expression" dxfId="536" priority="78">
      <x:formula>AND(ISNUMBER(E2),E2&lt;20)</x:formula>
    </x:cfRule>
  </x:conditionalFormatting>
  <x:conditionalFormatting sqref="E2:E281">
    <x:cfRule type="expression" dxfId="1158" priority="79">
      <x:formula>AND(ISNUMBER(E2),E2=100)</x:formula>
    </x:cfRule>
    <x:cfRule type="expression" dxfId="1159" priority="80">
      <x:formula>AND(ISNUMBER(E2),E2&gt;=90,E2&lt;100)</x:formula>
    </x:cfRule>
    <x:cfRule type="expression" dxfId="1160" priority="81">
      <x:formula>AND(ISNUMBER(E2),E2&gt;=80,E2&lt;90)</x:formula>
    </x:cfRule>
    <x:cfRule type="expression" dxfId="1161" priority="82">
      <x:formula>AND(ISNUMBER(E2),E2&gt;=70,E2&lt;80)</x:formula>
    </x:cfRule>
    <x:cfRule type="expression" dxfId="1162" priority="83">
      <x:formula>AND(ISNUMBER(E2),E2&gt;=60,E2&lt;70)</x:formula>
    </x:cfRule>
    <x:cfRule type="expression" dxfId="1163" priority="84">
      <x:formula>AND(ISNUMBER(E2),E2&gt;=50,E2&lt;60)</x:formula>
    </x:cfRule>
    <x:cfRule type="expression" dxfId="1164" priority="85">
      <x:formula>AND(ISNUMBER(E2),E2&gt;=40,E2&lt;50)</x:formula>
    </x:cfRule>
    <x:cfRule type="expression" dxfId="1165" priority="86">
      <x:formula>AND(ISNUMBER(E2),E2&gt;=20,E2&lt;40)</x:formula>
    </x:cfRule>
    <x:cfRule type="expression" dxfId="1166" priority="87">
      <x:formula>AND(ISNUMBER(E2),E2&lt;20)</x:formula>
    </x:cfRule>
  </x:conditionalFormatting>
  <x:conditionalFormatting sqref="E2:E317">
    <x:cfRule type="expression" dxfId="1644" priority="88">
      <x:formula>AND(ISNUMBER(E2),E2=100)</x:formula>
    </x:cfRule>
    <x:cfRule type="expression" dxfId="1645" priority="89">
      <x:formula>AND(ISNUMBER(E2),E2&gt;=90,E2&lt;100)</x:formula>
    </x:cfRule>
    <x:cfRule type="expression" dxfId="1646" priority="90">
      <x:formula>AND(ISNUMBER(E2),E2&gt;=80,E2&lt;90)</x:formula>
    </x:cfRule>
    <x:cfRule type="expression" dxfId="1647" priority="91">
      <x:formula>AND(ISNUMBER(E2),E2&gt;=70,E2&lt;80)</x:formula>
    </x:cfRule>
    <x:cfRule type="expression" dxfId="1648" priority="92">
      <x:formula>AND(ISNUMBER(E2),E2&gt;=60,E2&lt;70)</x:formula>
    </x:cfRule>
    <x:cfRule type="expression" dxfId="1649" priority="93">
      <x:formula>AND(ISNUMBER(E2),E2&gt;=50,E2&lt;60)</x:formula>
    </x:cfRule>
    <x:cfRule type="expression" dxfId="1650" priority="94">
      <x:formula>AND(ISNUMBER(E2),E2&gt;=40,E2&lt;50)</x:formula>
    </x:cfRule>
    <x:cfRule type="expression" dxfId="1651" priority="95">
      <x:formula>AND(ISNUMBER(E2),E2&gt;=20,E2&lt;40)</x:formula>
    </x:cfRule>
    <x:cfRule type="expression" dxfId="1652" priority="96">
      <x:formula>AND(ISNUMBER(E2),E2&lt;20)</x:formula>
    </x:cfRule>
  </x:conditionalFormatting>
  <x:conditionalFormatting sqref="E2:E340">
    <x:cfRule type="expression" dxfId="2130" priority="97">
      <x:formula>AND(ISNUMBER(E2),E2=100)</x:formula>
    </x:cfRule>
    <x:cfRule type="expression" dxfId="2131" priority="98">
      <x:formula>AND(ISNUMBER(E2),E2&gt;=90,E2&lt;100)</x:formula>
    </x:cfRule>
    <x:cfRule type="expression" dxfId="2132" priority="99">
      <x:formula>AND(ISNUMBER(E2),E2&gt;=80,E2&lt;90)</x:formula>
    </x:cfRule>
    <x:cfRule type="expression" dxfId="2133" priority="100">
      <x:formula>AND(ISNUMBER(E2),E2&gt;=70,E2&lt;80)</x:formula>
    </x:cfRule>
    <x:cfRule type="expression" dxfId="2134" priority="101">
      <x:formula>AND(ISNUMBER(E2),E2&gt;=60,E2&lt;70)</x:formula>
    </x:cfRule>
    <x:cfRule type="expression" dxfId="2135" priority="102">
      <x:formula>AND(ISNUMBER(E2),E2&gt;=50,E2&lt;60)</x:formula>
    </x:cfRule>
    <x:cfRule type="expression" dxfId="2136" priority="103">
      <x:formula>AND(ISNUMBER(E2),E2&gt;=40,E2&lt;50)</x:formula>
    </x:cfRule>
    <x:cfRule type="expression" dxfId="2137" priority="104">
      <x:formula>AND(ISNUMBER(E2),E2&gt;=20,E2&lt;40)</x:formula>
    </x:cfRule>
    <x:cfRule type="expression" dxfId="2138" priority="105">
      <x:formula>AND(ISNUMBER(E2),E2&lt;20)</x:formula>
    </x:cfRule>
  </x:conditionalFormatting>
  <x:conditionalFormatting sqref="E2:E250">
    <x:cfRule type="expression" dxfId="2139" priority="106">
      <x:formula>AND(ISNUMBER(E2),E2=100)</x:formula>
    </x:cfRule>
    <x:cfRule type="expression" dxfId="2140" priority="107">
      <x:formula>AND(ISNUMBER(E2),E2&gt;=90,E2&lt;100)</x:formula>
    </x:cfRule>
    <x:cfRule type="expression" dxfId="2141" priority="108">
      <x:formula>AND(ISNUMBER(E2),E2&gt;=80,E2&lt;90)</x:formula>
    </x:cfRule>
    <x:cfRule type="expression" dxfId="2142" priority="109">
      <x:formula>AND(ISNUMBER(E2),E2&gt;=70,E2&lt;80)</x:formula>
    </x:cfRule>
    <x:cfRule type="expression" dxfId="2143" priority="110">
      <x:formula>AND(ISNUMBER(E2),E2&gt;=60,E2&lt;70)</x:formula>
    </x:cfRule>
    <x:cfRule type="expression" dxfId="2144" priority="111">
      <x:formula>AND(ISNUMBER(E2),E2&gt;=50,E2&lt;60)</x:formula>
    </x:cfRule>
    <x:cfRule type="expression" dxfId="2145" priority="112">
      <x:formula>AND(ISNUMBER(E2),E2&gt;=40,E2&lt;50)</x:formula>
    </x:cfRule>
    <x:cfRule type="expression" dxfId="2146" priority="113">
      <x:formula>AND(ISNUMBER(E2),E2&gt;=20,E2&lt;40)</x:formula>
    </x:cfRule>
    <x:cfRule type="expression" dxfId="2147" priority="114">
      <x:formula>AND(ISNUMBER(E2),E2&lt;20)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15" hidden="0" customWidth="1"/>
    <x:col min="4" max="4" width="17" hidden="0" customWidth="1"/>
    <x:col min="5" max="5" width="22" hidden="0" customWidth="1"/>
    <x:col min="6" max="6" width="14" hidden="0" customWidth="1"/>
    <x:col min="7" max="7" width="60" hidden="0" customWidth="1"/>
    <x:col min="8" max="8" width="76" hidden="0" customWidth="1"/>
    <x:col min="9" max="9" width="13" hidden="0" customWidth="1"/>
  </x:cols>
  <x:sheetData>
    <x:row r="1" ht="42" customHeight="1">
      <x:c r="A1" s="13" t="str">
        <x:v>Место</x:v>
      </x:c>
      <x:c r="B1" s="14" t="str">
        <x:v>Модель</x:v>
      </x:c>
      <x:c r="C1" s="14" t="str">
        <x:v>Режим</x:v>
      </x:c>
      <x:c r="D1" s="14" t="str">
        <x:v>Полнота, %</x:v>
      </x:c>
      <x:c r="E1" s="14" t="str">
        <x:v>Качество отвеченных, 0–100</x:v>
      </x:c>
      <x:c r="F1" s="14" t="str">
        <x:v>Итог, 0–100</x:v>
      </x:c>
      <x:c r="G1" s="14" t="str">
        <x:v>Сильные стороны</x:v>
      </x:c>
      <x:c r="H1" s="14" t="str">
        <x:v>Слабые стороны</x:v>
      </x:c>
      <x:c r="I1" s="15" t="str">
        <x:v>Статус</x:v>
      </x:c>
    </x:row>
    <x:row r="2">
      <x:c r="A2" s="49" t="n">
        <x:f>RANK.EQ(F2,$F$2:$F$21,0)</x:f>
        <x:v>1</x:v>
      </x:c>
      <x:c r="B2" s="50" t="str">
        <x:v>GPT 5.6 Sol high</x:v>
      </x:c>
      <x:c r="C2" s="50"/>
      <x:c r="D2" s="666" t="n">
        <x:f>COUNT('Детальная оценка'!D2:D33)/32*100</x:f>
        <x:v>100</x:v>
      </x:c>
      <x:c r="E2" s="666" t="n">
        <x:f>IFERROR(AVERAGE('Детальная оценка'!D2:D33),"")</x:f>
        <x:v>100</x:v>
      </x:c>
      <x:c r="F2" s="666" t="n">
        <x:f>SUM('Детальная оценка'!D2:D33)/32</x:f>
        <x:v>100</x:v>
      </x:c>
      <x:c r="G2" s="50" t="str">
        <x:v>Полнота 32/32; точные PostgreSQL 16 MVCC/isolation, индексы, constraints, advanced SQL, outbox, maintenance, RLS и zero-downtime migrations.</x:v>
      </x:c>
      <x:c r="H2" s="50" t="str">
        <x:v>Существенных ошибок по данному тесту не обнаружено.</x:v>
      </x:c>
      <x:c r="I2" s="51" t="str">
        <x:v>Оценено</x:v>
      </x:c>
    </x:row>
    <x:row r="3">
      <x:c r="A3" s="52" t="n">
        <x:f>RANK.EQ(F3,$F$2:$F$21,0)</x:f>
        <x:v>2</x:v>
      </x:c>
      <x:c r="B3" s="53" t="str">
        <x:v>GPT 5.6 Sol medium</x:v>
      </x:c>
      <x:c r="C3" s="53"/>
      <x:c r="D3" s="666" t="n">
        <x:f>COUNT('Детальная оценка'!E2:E33)/32*100</x:f>
        <x:v>100</x:v>
      </x:c>
      <x:c r="E3" s="666" t="n">
        <x:f>IFERROR(AVERAGE('Детальная оценка'!E2:E33),"")</x:f>
        <x:v>99.6875</x:v>
      </x:c>
      <x:c r="F3" s="666" t="n">
        <x:f>SUM('Детальная оценка'!E2:E33)/32</x:f>
        <x:v>99.6875</x:v>
      </x:c>
      <x:c r="G3" s="53" t="str">
        <x:v>Почти эталонный PostgreSQL 16 ответ; особенно сильны isolation, gap detection, online migrations, RLS и outbox reasoning.</x:v>
      </x:c>
      <x:c r="H3" s="53" t="str">
        <x:v>Лишь небольшие implementation gaps в outbox claim/payment invariants.</x:v>
      </x:c>
      <x:c r="I3" s="54" t="str">
        <x:v>Оценено</x:v>
      </x:c>
    </x:row>
    <x:row r="4">
      <x:c r="A4" s="52" t="n">
        <x:f>RANK.EQ(F4,$F$2:$F$21,0)</x:f>
        <x:v>3</x:v>
      </x:c>
      <x:c r="B4" s="53" t="str">
        <x:v>GPT 5.6 Sol low</x:v>
      </x:c>
      <x:c r="C4" s="53"/>
      <x:c r="D4" s="664" t="n">
        <x:f>COUNT('Детальная оценка'!F2:F33)/32*100</x:f>
        <x:v>100</x:v>
      </x:c>
      <x:c r="E4" s="664" t="n">
        <x:f>IFERROR(AVERAGE('Детальная оценка'!F2:F33),"")</x:f>
        <x:v>99.375</x:v>
      </x:c>
      <x:c r="F4" s="664" t="n">
        <x:f>SUM('Детальная оценка'!F2:F33)/32</x:f>
        <x:v>99.375</x:v>
      </x:c>
      <x:c r="G4" s="53" t="str">
        <x:v>Почти эталонный PostgreSQL 16 ответ 32/32: MVCC/isolation, indexes, constraints, windows, RLS, migration и retention.</x:v>
      </x:c>
      <x:c r="H4" s="53" t="str">
        <x:v>Небольшая потеря за outbox worker, который может держать row locks через broker publish, и отдельные финальные invariants.</x:v>
      </x:c>
      <x:c r="I4" s="54" t="str">
        <x:v>Оценено</x:v>
      </x:c>
    </x:row>
    <x:row r="5">
      <x:c r="A5" s="52" t="n">
        <x:f>RANK.EQ(F5,$F$2:$F$21,0)</x:f>
        <x:v>4</x:v>
      </x:c>
      <x:c r="B5" s="53" t="str">
        <x:v>GPT 5.5 high</x:v>
      </x:c>
      <x:c r="C5" s="53"/>
      <x:c r="D5" s="664" t="n">
        <x:f>COUNT('Детальная оценка'!G2:G33)/32*100</x:f>
        <x:v>100</x:v>
      </x:c>
      <x:c r="E5" s="664" t="n">
        <x:f>IFERROR(AVERAGE('Детальная оценка'!G2:G33),"")</x:f>
        <x:v>98.75</x:v>
      </x:c>
      <x:c r="F5" s="664" t="n">
        <x:f>SUM('Детальная оценка'!G2:G33)/32</x:f>
        <x:v>98.75</x:v>
      </x:c>
      <x:c r="G5" s="53" t="str">
        <x:v>Полная выдача 32/32; почти все PostgreSQL 16 задачи решены точно: MVCC/isolation, constraints, advanced SQL, outbox, RLS и migrations.</x:v>
      </x:c>
      <x:c r="H5" s="53" t="str">
        <x:v>Существенная фактическая ошибка только в SQLX-2 о механике порядка двух equality-колонок B-tree.</x:v>
      </x:c>
      <x:c r="I5" s="54" t="str">
        <x:v>Оценено</x:v>
      </x:c>
    </x:row>
    <x:row r="6">
      <x:c r="A6" s="52" t="n">
        <x:f>RANK.EQ(F6,$F$2:$F$21,0)</x:f>
        <x:v>5</x:v>
      </x:c>
      <x:c r="B6" s="53" t="str">
        <x:v>Qwen 3.8 max</x:v>
      </x:c>
      <x:c r="C6" s="53"/>
      <x:c r="D6" s="664" t="n">
        <x:f>COUNT('Детальная оценка'!H2:H33)/32*100</x:f>
        <x:v>100</x:v>
      </x:c>
      <x:c r="E6" s="664" t="n">
        <x:f>IFERROR(AVERAGE('Детальная оценка'!H2:H33),"")</x:f>
        <x:v>98.59375</x:v>
      </x:c>
      <x:c r="F6" s="664" t="n">
        <x:f>SUM('Детальная оценка'!H2:H33)/32</x:f>
        <x:v>98.59375</x:v>
      </x:c>
      <x:c r="G6" s="53" t="str">
        <x:v>Полная выдача 32/32; очень сильные PostgreSQL 16 MVCC/isolation, indexes, constraints, advanced SQL, RLS и payment design.</x:v>
      </x:c>
      <x:c r="H6" s="53" t="str">
        <x:v>Небольшие потери за tenant-first переобобщение и network publish под DB locks.</x:v>
      </x:c>
      <x:c r="I6" s="54" t="str">
        <x:v>Оценено</x:v>
      </x:c>
    </x:row>
    <x:row r="7">
      <x:c r="A7" s="52" t="n">
        <x:f>RANK.EQ(F7,$F$2:$F$21,0)</x:f>
        <x:v>6</x:v>
      </x:c>
      <x:c r="B7" s="53" t="str">
        <x:v>GPT 5.5 medium</x:v>
      </x:c>
      <x:c r="C7" s="53"/>
      <x:c r="D7" s="664" t="n">
        <x:f>COUNT('Детальная оценка'!I2:I33)/32*100</x:f>
        <x:v>100</x:v>
      </x:c>
      <x:c r="E7" s="664" t="n">
        <x:f>IFERROR(AVERAGE('Детальная оценка'!I2:I33),"")</x:f>
        <x:v>98.28125</x:v>
      </x:c>
      <x:c r="F7" s="664" t="n">
        <x:f>SUM('Детальная оценка'!I2:I33)/32</x:f>
        <x:v>98.28125</x:v>
      </x:c>
      <x:c r="G7" s="53" t="str">
        <x:v>Полная выдача 32/32; очень сильные PostgreSQL MVCC, constraints, SQL, outbox, migrations, RLS и payment design.</x:v>
      </x:c>
      <x:c r="H7" s="53" t="str">
        <x:v>Главная фактическая ошибка — SQLX-2 о B-tree equality-полях; остальные потери небольшие.</x:v>
      </x:c>
      <x:c r="I7" s="54" t="str">
        <x:v>Оценено</x:v>
      </x:c>
    </x:row>
    <x:row r="8">
      <x:c r="A8" s="52" t="n">
        <x:f>RANK.EQ(F8,$F$2:$F$21,0)</x:f>
        <x:v>7</x:v>
      </x:c>
      <x:c r="B8" s="53" t="str">
        <x:v>Qwen 3.8 Flash Next</x:v>
      </x:c>
      <x:c r="C8" s="53" t="str">
        <x:v>thinking</x:v>
      </x:c>
      <x:c r="D8" s="666" t="n">
        <x:f>COUNT('Детальная оценка'!J2:J33)/32*100</x:f>
        <x:v>100</x:v>
      </x:c>
      <x:c r="E8" s="666" t="n">
        <x:f>IFERROR(AVERAGE('Детальная оценка'!J2:J33),"")</x:f>
        <x:v>98.125</x:v>
      </x:c>
      <x:c r="F8" s="666" t="n">
        <x:f>SUM('Детальная оценка'!J2:J33)/32</x:f>
        <x:v>98.125</x:v>
      </x:c>
      <x:c r="G8" s="53" t="str">
        <x:v>Почти эталонный PostgreSQL 16 ответ: MVCC/isolation, constraints, advanced SQL, RLS, migrations и long-context; 32/32.</x:v>
      </x:c>
      <x:c r="H8" s="53" t="str">
        <x:v>Остаются небольшой outbox/network-transaction trade-off и конкретная ошибка: now()/CURRENT_TIMESTAMP назван VOLATILE вместо STABLE.</x:v>
      </x:c>
      <x:c r="I8" s="54" t="str">
        <x:v>Оценено</x:v>
      </x:c>
    </x:row>
    <x:row r="9">
      <x:c r="A9" s="52" t="n">
        <x:f>RANK.EQ(F9,$F$2:$F$21,0)</x:f>
        <x:v>8</x:v>
      </x:c>
      <x:c r="B9" s="53" t="str">
        <x:v>DeepSeek chat</x:v>
      </x:c>
      <x:c r="C9" s="53"/>
      <x:c r="D9" s="666" t="n">
        <x:f>COUNT('Детальная оценка'!K2:K33)/32*100</x:f>
        <x:v>100</x:v>
      </x:c>
      <x:c r="E9" s="666" t="n">
        <x:f>IFERROR(AVERAGE('Детальная оценка'!K2:K33),"")</x:f>
        <x:v>97.03125</x:v>
      </x:c>
      <x:c r="F9" s="666" t="n">
        <x:f>SUM('Детальная оценка'!K2:K33)/32</x:f>
        <x:v>97.03125</x:v>
      </x:c>
      <x:c r="G9" s="53" t="str">
        <x:v>Полная выдача 32/32; сильные MVCC/isolation, constraints, windows, RLS, migrations и long-context.</x:v>
      </x:c>
      <x:c r="H9" s="53" t="str">
        <x:v>Существенные потери: SQLX-2 equality-index reasoning, несуществующий id в running balance и broker publish при удержании DB locks.</x:v>
      </x:c>
      <x:c r="I9" s="54" t="str">
        <x:v>Оценено</x:v>
      </x:c>
    </x:row>
    <x:row r="10">
      <x:c r="A10" s="52" t="n">
        <x:f>RANK.EQ(F10,$F$2:$F$21,0)</x:f>
        <x:v>9</x:v>
      </x:c>
      <x:c r="B10" s="53" t="str">
        <x:v>GPT 5.5 — low</x:v>
      </x:c>
      <x:c r="C10" s="53"/>
      <x:c r="D10" s="666" t="n">
        <x:f>COUNT('Детальная оценка'!L2:L33)/32*100</x:f>
        <x:v>100</x:v>
      </x:c>
      <x:c r="E10" s="666" t="n">
        <x:f>IFERROR(AVERAGE('Детальная оценка'!L2:L33),"")</x:f>
        <x:v>96.09375</x:v>
      </x:c>
      <x:c r="F10" s="666" t="n">
        <x:f>SUM('Детальная оценка'!L2:L33)/32</x:f>
        <x:v>96.09375</x:v>
      </x:c>
      <x:c r="G10" s="53" t="str">
        <x:v>Полная выдача 32/32; сильные MVCC/isolation, constraints, advanced SQL, maintenance, RLS и migrations.</x:v>
      </x:c>
      <x:c r="H10" s="53" t="str">
        <x:v>Основная фактическая ошибка — B-tree equality ordering SQLX-2; есть несколько tie-breaker/outbox/RLS implementation gaps.</x:v>
      </x:c>
      <x:c r="I10" s="54" t="str">
        <x:v>Оценено</x:v>
      </x:c>
    </x:row>
    <x:row r="11">
      <x:c r="A11" s="52" t="n">
        <x:f>RANK.EQ(F11,$F$2:$F$21,0)</x:f>
        <x:v>10</x:v>
      </x:c>
      <x:c r="B11" s="53" t="str">
        <x:v>Qwen 3.8 27b</x:v>
      </x:c>
      <x:c r="C11" s="53" t="str">
        <x:v>thinking</x:v>
      </x:c>
      <x:c r="D11" s="666" t="n">
        <x:f>COUNT('Детальная оценка'!M2:M33)/32*100</x:f>
        <x:v>100</x:v>
      </x:c>
      <x:c r="E11" s="666" t="n">
        <x:f>IFERROR(AVERAGE('Детальная оценка'!M2:M33),"")</x:f>
        <x:v>94.84375</x:v>
      </x:c>
      <x:c r="F11" s="666" t="n">
        <x:f>SUM('Детальная оценка'!M2:M33)/32</x:f>
        <x:v>94.84375</x:v>
      </x:c>
      <x:c r="G11" s="53" t="str">
        <x:v>Полнота 32/32; очень сильные PostgreSQL 16 isolation, advanced SQL, constraints, RLS, migrations и payment design.</x:v>
      </x:c>
      <x:c r="H11" s="53" t="str">
        <x:v>Остаются умеренные ошибки в CREATE INDEX lock mode, LSN replay API и outbox publish под DB locks; остальные потери небольшие.</x:v>
      </x:c>
      <x:c r="I11" s="54" t="str">
        <x:v>Оценено</x:v>
      </x:c>
    </x:row>
    <x:row r="12">
      <x:c r="A12" s="52" t="n">
        <x:f>RANK.EQ(F12,$F$2:$F$21,0)</x:f>
        <x:v>11</x:v>
      </x:c>
      <x:c r="B12" s="53" t="str">
        <x:v>Qwen 3.8 27b uncensored</x:v>
      </x:c>
      <x:c r="C12" s="53" t="str">
        <x:v>thinking</x:v>
      </x:c>
      <x:c r="D12" s="666" t="n">
        <x:f>COUNT('Детальная оценка'!N2:N33)/32*100</x:f>
        <x:v>100</x:v>
      </x:c>
      <x:c r="E12" s="666" t="n">
        <x:f>IFERROR(AVERAGE('Детальная оценка'!N2:N33),"")</x:f>
        <x:v>93.59375</x:v>
      </x:c>
      <x:c r="F12" s="666" t="n">
        <x:f>SUM('Детальная оценка'!N2:N33)/32</x:f>
        <x:v>93.59375</x:v>
      </x:c>
      <x:c r="G12" s="53" t="str">
        <x:v>Полнота 32/32; сильные PostgreSQL 16 MVCC/isolation, advanced SQL, RLS, migrations, keyset и payment schema.</x:v>
      </x:c>
      <x:c r="H12" s="53" t="str">
        <x:v>Главная критическая ошибка — нерабочий custom range DDL SQLX-12; также переоценён порядок equality-колонок B-tree и publisher держит DB locks во время broker call.</x:v>
      </x:c>
      <x:c r="I12" s="54" t="str">
        <x:v>Оценено</x:v>
      </x:c>
    </x:row>
    <x:row r="13">
      <x:c r="A13" s="52" t="n">
        <x:f>RANK.EQ(F13,$F$2:$F$21,0)</x:f>
        <x:v>12</x:v>
      </x:c>
      <x:c r="B13" s="53" t="str">
        <x:v>Qwen 3.8 Flash Next</x:v>
      </x:c>
      <x:c r="C13" s="53" t="str">
        <x:v>без thinking</x:v>
      </x:c>
      <x:c r="D13" s="666" t="n">
        <x:f>COUNT('Детальная оценка'!O2:O33)/32*100</x:f>
        <x:v>100</x:v>
      </x:c>
      <x:c r="E13" s="666" t="n">
        <x:f>IFERROR(AVERAGE('Детальная оценка'!O2:O33),"")</x:f>
        <x:v>88.125</x:v>
      </x:c>
      <x:c r="F13" s="666" t="n">
        <x:f>SUM('Детальная оценка'!O2:O33)/32</x:f>
        <x:v>88.125</x:v>
      </x:c>
      <x:c r="G13" s="53" t="str">
        <x:v>Сильные индексы, SQL, constraints, planner, maintenance и long-context; 32/32.</x:v>
      </x:c>
      <x:c r="H13" s="53" t="str">
        <x:v>Критическая ошибка по PostgreSQL REPEATABLE READ/SSI и write skew; также tenant constraint, outbox transaction и отдельные index/RLS нюансы. В метаданных ошибочно MODE: thinking.</x:v>
      </x:c>
      <x:c r="I13" s="54" t="str">
        <x:v>Оценено</x:v>
      </x:c>
    </x:row>
    <x:row r="14">
      <x:c r="A14" s="52" t="n">
        <x:f>RANK.EQ(F14,$F$2:$F$21,0)</x:f>
        <x:v>13</x:v>
      </x:c>
      <x:c r="B14" s="53" t="str">
        <x:v>Qwen 3.6 35b a3b mtp</x:v>
      </x:c>
      <x:c r="C14" s="53" t="str">
        <x:v>без thinking</x:v>
      </x:c>
      <x:c r="D14" s="666" t="n">
        <x:f>COUNT('Детальная оценка'!P2:P33)/32*100</x:f>
        <x:v>100</x:v>
      </x:c>
      <x:c r="E14" s="666" t="n">
        <x:f>IFERROR(AVERAGE('Детальная оценка'!P2:P33),"")</x:f>
        <x:v>86.25</x:v>
      </x:c>
      <x:c r="F14" s="666" t="n">
        <x:f>SUM('Детальная оценка'!P2:P33)/32</x:f>
        <x:v>86.25</x:v>
      </x:c>
      <x:c r="G14" s="53" t="str">
        <x:v>Полнота 32/32; сильные keyset/BRIN/MVCC, recursive/window SQL, constraints и long-context.</x:v>
      </x:c>
      <x:c r="H14" s="53" t="str">
        <x:v>Ошибки equality-index reasoning, running-balance tie-breaker, outbox published-before-broker, online NOT NULL и payment transaction flow.</x:v>
      </x:c>
      <x:c r="I14" s="54" t="str">
        <x:v>Оценено</x:v>
      </x:c>
    </x:row>
    <x:row r="15">
      <x:c r="A15" s="52" t="n">
        <x:f>RANK.EQ(F15,$F$2:$F$21,0)</x:f>
        <x:v>14</x:v>
      </x:c>
      <x:c r="B15" s="53" t="str">
        <x:v>Qwen 3.6 35b a3b mtp</x:v>
      </x:c>
      <x:c r="C15" s="53" t="str">
        <x:v>thinking</x:v>
      </x:c>
      <x:c r="D15" s="666" t="n">
        <x:f>COUNT('Детальная оценка'!Q2:Q33)/32*100</x:f>
        <x:v>100</x:v>
      </x:c>
      <x:c r="E15" s="666" t="n">
        <x:f>IFERROR(AVERAGE('Детальная оценка'!Q2:Q33),"")</x:f>
        <x:v>84.6875</x:v>
      </x:c>
      <x:c r="F15" s="666" t="n">
        <x:f>SUM('Детальная оценка'!Q2:Q33)/32</x:f>
        <x:v>84.6875</x:v>
      </x:c>
      <x:c r="G15" s="53" t="str">
        <x:v>Полнота 32/32; сильные keyset, MVCC basics, constraints, recursive SQL, outbox concepts и long-context.</x:v>
      </x:c>
      <x:c r="H15" s="53" t="str">
        <x:v>Thinking добавил ошибки по REPEATABLE READ predicate locks, atomic UPDATE parameters и CREATE INDEX locks; payment flow всё ещё держит риск длинной транзакции.</x:v>
      </x:c>
      <x:c r="I15" s="54" t="str">
        <x:v>Оценено</x:v>
      </x:c>
    </x:row>
    <x:row r="16">
      <x:c r="A16" s="52" t="n">
        <x:f>RANK.EQ(F16,$F$2:$F$21,0)</x:f>
        <x:v>15</x:v>
      </x:c>
      <x:c r="B16" s="53" t="str">
        <x:v>Qwen 3.6 35b a3b HauhauCS</x:v>
      </x:c>
      <x:c r="C16" s="53" t="str">
        <x:v>thinking</x:v>
      </x:c>
      <x:c r="D16" s="666" t="n">
        <x:f>COUNT('Детальная оценка'!R2:R33)/32*100</x:f>
        <x:v>100</x:v>
      </x:c>
      <x:c r="E16" s="666" t="n">
        <x:f>IFERROR(AVERAGE('Детальная оценка'!R2:R33),"")</x:f>
        <x:v>82.8125</x:v>
      </x:c>
      <x:c r="F16" s="666" t="n">
        <x:f>SUM('Детальная оценка'!R2:R33)/32</x:f>
        <x:v>82.8125</x:v>
      </x:c>
      <x:c r="G16" s="53" t="str">
        <x:v>Полнота 32/32; сильные isolation basics, keyset, recursive/window SQL, constraints и long-context.</x:v>
      </x:c>
      <x:c r="H16" s="53" t="str">
        <x:v>Основные провалы — equality-index reasoning, outbox publish-before-send, CREATE INDEX CONCURRENTLY, online NOT NULL и финальный payment flow.</x:v>
      </x:c>
      <x:c r="I16" s="54" t="str">
        <x:v>Оценено</x:v>
      </x:c>
    </x:row>
    <x:row r="17">
      <x:c r="A17" s="55" t="n">
        <x:f>RANK.EQ(F17,$F$2:$F$21,0)</x:f>
        <x:v>16</x:v>
      </x:c>
      <x:c r="B17" s="56" t="str">
        <x:v>gemma4-12b-qat-uncensored-hauhaucs-balanced</x:v>
      </x:c>
      <x:c r="C17" s="56" t="str">
        <x:v>thinking</x:v>
      </x:c>
      <x:c r="D17" s="666" t="n">
        <x:f>COUNT('Детальная оценка'!S2:S33)/32*100</x:f>
        <x:v>100</x:v>
      </x:c>
      <x:c r="E17" s="666" t="n">
        <x:f>IFERROR(AVERAGE('Детальная оценка'!S2:S33),"")</x:f>
        <x:v>81.875</x:v>
      </x:c>
      <x:c r="F17" s="666" t="n">
        <x:f>SUM('Детальная оценка'!S2:S33)/32</x:f>
        <x:v>81.875</x:v>
      </x:c>
      <x:c r="G17" s="56" t="str">
        <x:v>Полнота 32/32; сильные indexing, MVCC basics, constraints, maintenance, RLS/context.</x:v>
      </x:c>
      <x:c r="H17" s="56" t="str">
        <x:v>Критическая SQLX-18 с запрещённым generate_series; ошибки cycle CTE, outbox ordering, autovacuum/index-lock nuances и неполный payment system design.</x:v>
      </x:c>
      <x:c r="I17" s="57" t="str">
        <x:v>Оценено</x:v>
      </x:c>
    </x:row>
    <x:row r="18">
      <x:c r="A18" s="475" t="n">
        <x:f>RANK.EQ(F18,$F$2:$F$21,0)</x:f>
        <x:v>17</x:v>
      </x:c>
      <x:c r="B18" s="476" t="str">
        <x:v>Qwen 3.8 27b</x:v>
      </x:c>
      <x:c r="C18" s="476" t="str">
        <x:v>без thinking</x:v>
      </x:c>
      <x:c r="D18" s="666" t="n">
        <x:f>COUNT('Детальная оценка'!T2:T33)/32*100</x:f>
        <x:v>100</x:v>
      </x:c>
      <x:c r="E18" s="666" t="n">
        <x:f>IFERROR(AVERAGE('Детальная оценка'!T2:T33),"")</x:f>
        <x:v>81.25</x:v>
      </x:c>
      <x:c r="F18" s="666" t="n">
        <x:f>SUM('Детальная оценка'!T2:T33)/32</x:f>
        <x:v>81.25</x:v>
      </x:c>
      <x:c r="G18" s="476" t="str">
        <x:v>Полнота 32/32; сильны keyset, MVCC/isolation basics, constraints, window/recursive SQL, RLS и long-context.</x:v>
      </x:c>
      <x:c r="H18" s="476" t="str">
        <x:v>Крупные ошибки — SQLX-2 B-tree equality reasoning, временной exclusion constraint, gap detection SQLX-18, CREATE INDEX lock и read-your-writes API.</x:v>
      </x:c>
      <x:c r="I18" s="477" t="str">
        <x:v>Оценено</x:v>
      </x:c>
    </x:row>
    <x:row r="19">
      <x:c r="A19" s="549" t="n">
        <x:f>RANK.EQ(F19,$F$2:$F$21,0)</x:f>
        <x:v>18</x:v>
      </x:c>
      <x:c r="B19" s="550" t="str">
        <x:v>Qwen 3.8 27b uncensored</x:v>
      </x:c>
      <x:c r="C19" s="550" t="str">
        <x:v>без thinking</x:v>
      </x:c>
      <x:c r="D19" s="666" t="n">
        <x:f>COUNT('Детальная оценка'!U2:U33)/32*100</x:f>
        <x:v>100</x:v>
      </x:c>
      <x:c r="E19" s="666" t="n">
        <x:f>IFERROR(AVERAGE('Детальная оценка'!U2:U33),"")</x:f>
        <x:v>80.625</x:v>
      </x:c>
      <x:c r="F19" s="666" t="n">
        <x:f>SUM('Детальная оценка'!U2:U33)/32</x:f>
        <x:v>80.625</x:v>
      </x:c>
      <x:c r="G19" s="550" t="str">
        <x:v>Полнота 32/32; сильны keyset, isolation/MVCC basics, composite tenant FK, window/recursive SQL, RLS и memory context.</x:v>
      </x:c>
      <x:c r="H19" s="550" t="str">
        <x:v>Крупные ошибки — B-tree equality reasoning, невалидный exclusion-range DDL, неверный sequence-gap query и слабый read-your-writes/payment-outbox flow.</x:v>
      </x:c>
      <x:c r="I19" s="551" t="str">
        <x:v>Оценено</x:v>
      </x:c>
    </x:row>
    <x:row r="20">
      <x:c r="A20" s="549" t="n">
        <x:f>RANK.EQ(F20,$F$2:$F$21,0)</x:f>
        <x:v>19</x:v>
      </x:c>
      <x:c r="B20" s="550" t="str">
        <x:v>Qwen 3.6 35b a3b HauhauCS</x:v>
      </x:c>
      <x:c r="C20" s="550" t="str">
        <x:v>без thinking</x:v>
      </x:c>
      <x:c r="D20" s="666" t="n">
        <x:f>COUNT('Детальная оценка'!V2:V33)/32*100</x:f>
        <x:v>100</x:v>
      </x:c>
      <x:c r="E20" s="666" t="n">
        <x:f>IFERROR(AVERAGE('Детальная оценка'!V2:V33),"")</x:f>
        <x:v>79.375</x:v>
      </x:c>
      <x:c r="F20" s="666" t="n">
        <x:f>SUM('Детальная оценка'!V2:V33)/32</x:f>
        <x:v>79.375</x:v>
      </x:c>
      <x:c r="G20" s="550" t="str">
        <x:v>Полнота 32/32; сильны keyset/BRIN/MVCC basics, recursive SQL, constraints, planner и long-context.</x:v>
      </x:c>
      <x:c r="H20" s="550" t="str">
        <x:v>Критические/существенные ошибки isolation, JSONB semantics, outbox publish ordering, index-only scan, CREATE INDEX locks и payment idempotency.</x:v>
      </x:c>
      <x:c r="I20" s="551" t="str">
        <x:v>Оценено</x:v>
      </x:c>
    </x:row>
    <x:row r="21">
      <x:c r="A21" t="n">
        <x:f>RANK.EQ(F21,$F$2:$F$21,0)</x:f>
        <x:v>20</x:v>
      </x:c>
      <x:c r="B21" t="str">
        <x:v>gemma4-12b-qat-uncensored-hauhaucs-balanced</x:v>
      </x:c>
      <x:c r="C21" t="str">
        <x:v>без thinking</x:v>
      </x:c>
      <x:c r="D21" s="665" t="n">
        <x:f>COUNT('Детальная оценка'!W2:W33)/32*100</x:f>
        <x:v>100</x:v>
      </x:c>
      <x:c r="E21" s="665" t="n">
        <x:f>IFERROR(AVERAGE('Детальная оценка'!W2:W33),"")</x:f>
        <x:v>78.75</x:v>
      </x:c>
      <x:c r="F21" s="665" t="n">
        <x:f>SUM('Детальная оценка'!W2:W33)/32</x:f>
        <x:v>78.75</x:v>
      </x:c>
      <x:c r="G21" t="str">
        <x:v>Полнота 32/32; сильные BRIN/MVCC basics, constraints, maintenance, retention и long-context.</x:v>
      </x:c>
      <x:c r="H21" t="str">
        <x:v>Проблемы partial index predicate, exclusion syntax, cycle/top-N/gap SQL, online NOT NULL и idempotent payment race.</x:v>
      </x:c>
      <x:c r="I21" t="str">
        <x:v>Оценено</x:v>
      </x:c>
    </x:row>
    <x:row r="22">
      <x:c r="A22"/>
      <x:c r="B22"/>
      <x:c r="C22"/>
      <x:c r="D22" s="635"/>
      <x:c r="E22" s="635"/>
      <x:c r="F22" s="635"/>
      <x:c r="G22"/>
      <x:c r="H22"/>
      <x:c r="I22"/>
    </x:row>
    <x:row r="23">
      <x:c r="A23"/>
      <x:c r="B23"/>
      <x:c r="C23"/>
      <x:c r="D23" s="635"/>
      <x:c r="E23" s="635"/>
      <x:c r="F23" s="635"/>
      <x:c r="G23"/>
      <x:c r="H23"/>
      <x:c r="I23"/>
    </x:row>
    <x:row r="24">
      <x:c r="A24"/>
      <x:c r="B24"/>
      <x:c r="C24"/>
      <x:c r="D24" s="635"/>
      <x:c r="E24" s="635"/>
      <x:c r="F24" s="635"/>
      <x:c r="G24"/>
      <x:c r="H24"/>
      <x:c r="I24"/>
    </x:row>
    <x:row r="25">
      <x:c r="A25"/>
      <x:c r="B25"/>
      <x:c r="C25"/>
      <x:c r="D25" s="636"/>
      <x:c r="E25" s="636"/>
      <x:c r="F25" s="636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</x:sheetData>
  <x:conditionalFormatting sqref="D2:F2">
    <x:cfRule type="expression" dxfId="54" priority="1">
      <x:formula>AND(ISNUMBER(D2),D2=100)</x:formula>
    </x:cfRule>
    <x:cfRule type="expression" dxfId="55" priority="2">
      <x:formula>AND(ISNUMBER(D2),D2&gt;=90,D2&lt;100)</x:formula>
    </x:cfRule>
    <x:cfRule type="expression" dxfId="56" priority="3">
      <x:formula>AND(ISNUMBER(D2),D2&gt;=80,D2&lt;90)</x:formula>
    </x:cfRule>
    <x:cfRule type="expression" dxfId="57" priority="4">
      <x:formula>AND(ISNUMBER(D2),D2&gt;=70,D2&lt;80)</x:formula>
    </x:cfRule>
    <x:cfRule type="expression" dxfId="58" priority="5">
      <x:formula>AND(ISNUMBER(D2),D2&gt;=60,D2&lt;70)</x:formula>
    </x:cfRule>
    <x:cfRule type="expression" dxfId="59" priority="6">
      <x:formula>AND(ISNUMBER(D2),D2&gt;=50,D2&lt;60)</x:formula>
    </x:cfRule>
    <x:cfRule type="expression" dxfId="60" priority="7">
      <x:formula>AND(ISNUMBER(D2),D2&gt;=40,D2&lt;50)</x:formula>
    </x:cfRule>
    <x:cfRule type="expression" dxfId="61" priority="8">
      <x:formula>AND(ISNUMBER(D2),D2&gt;=20,D2&lt;40)</x:formula>
    </x:cfRule>
    <x:cfRule type="expression" dxfId="62" priority="9">
      <x:formula>AND(ISNUMBER(D2),D2&lt;20)</x:formula>
    </x:cfRule>
  </x:conditionalFormatting>
  <x:conditionalFormatting sqref="D3:F3">
    <x:cfRule type="expression" dxfId="63" priority="10">
      <x:formula>AND(ISNUMBER(D3),D3=100)</x:formula>
    </x:cfRule>
    <x:cfRule type="expression" dxfId="64" priority="11">
      <x:formula>AND(ISNUMBER(D3),D3&gt;=90,D3&lt;100)</x:formula>
    </x:cfRule>
    <x:cfRule type="expression" dxfId="65" priority="12">
      <x:formula>AND(ISNUMBER(D3),D3&gt;=80,D3&lt;90)</x:formula>
    </x:cfRule>
    <x:cfRule type="expression" dxfId="66" priority="13">
      <x:formula>AND(ISNUMBER(D3),D3&gt;=70,D3&lt;80)</x:formula>
    </x:cfRule>
    <x:cfRule type="expression" dxfId="67" priority="14">
      <x:formula>AND(ISNUMBER(D3),D3&gt;=60,D3&lt;70)</x:formula>
    </x:cfRule>
    <x:cfRule type="expression" dxfId="68" priority="15">
      <x:formula>AND(ISNUMBER(D3),D3&gt;=50,D3&lt;60)</x:formula>
    </x:cfRule>
    <x:cfRule type="expression" dxfId="69" priority="16">
      <x:formula>AND(ISNUMBER(D3),D3&gt;=40,D3&lt;50)</x:formula>
    </x:cfRule>
    <x:cfRule type="expression" dxfId="70" priority="17">
      <x:formula>AND(ISNUMBER(D3),D3&gt;=20,D3&lt;40)</x:formula>
    </x:cfRule>
    <x:cfRule type="expression" dxfId="71" priority="18">
      <x:formula>AND(ISNUMBER(D3),D3&lt;20)</x:formula>
    </x:cfRule>
  </x:conditionalFormatting>
  <x:conditionalFormatting sqref="D16:F16">
    <x:cfRule type="expression" dxfId="118" priority="19">
      <x:formula>AND(ISNUMBER(D16),D16=100)</x:formula>
    </x:cfRule>
    <x:cfRule type="expression" dxfId="119" priority="20">
      <x:formula>AND(ISNUMBER(D16),D16&gt;=90,D16&lt;100)</x:formula>
    </x:cfRule>
    <x:cfRule type="expression" dxfId="120" priority="21">
      <x:formula>AND(ISNUMBER(D16),D16&gt;=80,D16&lt;90)</x:formula>
    </x:cfRule>
    <x:cfRule type="expression" dxfId="121" priority="22">
      <x:formula>AND(ISNUMBER(D16),D16&gt;=70,D16&lt;80)</x:formula>
    </x:cfRule>
    <x:cfRule type="expression" dxfId="122" priority="23">
      <x:formula>AND(ISNUMBER(D16),D16&gt;=60,D16&lt;70)</x:formula>
    </x:cfRule>
    <x:cfRule type="expression" dxfId="123" priority="24">
      <x:formula>AND(ISNUMBER(D16),D16&gt;=50,D16&lt;60)</x:formula>
    </x:cfRule>
    <x:cfRule type="expression" dxfId="124" priority="25">
      <x:formula>AND(ISNUMBER(D16),D16&gt;=40,D16&lt;50)</x:formula>
    </x:cfRule>
    <x:cfRule type="expression" dxfId="125" priority="26">
      <x:formula>AND(ISNUMBER(D16),D16&gt;=20,D16&lt;40)</x:formula>
    </x:cfRule>
    <x:cfRule type="expression" dxfId="126" priority="27">
      <x:formula>AND(ISNUMBER(D16),D16&lt;20)</x:formula>
    </x:cfRule>
  </x:conditionalFormatting>
  <x:conditionalFormatting sqref="D17:F17">
    <x:cfRule type="expression" dxfId="127" priority="28">
      <x:formula>AND(ISNUMBER(D17),D17=100)</x:formula>
    </x:cfRule>
    <x:cfRule type="expression" dxfId="128" priority="29">
      <x:formula>AND(ISNUMBER(D17),D17&gt;=90,D17&lt;100)</x:formula>
    </x:cfRule>
    <x:cfRule type="expression" dxfId="129" priority="30">
      <x:formula>AND(ISNUMBER(D17),D17&gt;=80,D17&lt;90)</x:formula>
    </x:cfRule>
    <x:cfRule type="expression" dxfId="130" priority="31">
      <x:formula>AND(ISNUMBER(D17),D17&gt;=70,D17&lt;80)</x:formula>
    </x:cfRule>
    <x:cfRule type="expression" dxfId="131" priority="32">
      <x:formula>AND(ISNUMBER(D17),D17&gt;=60,D17&lt;70)</x:formula>
    </x:cfRule>
    <x:cfRule type="expression" dxfId="132" priority="33">
      <x:formula>AND(ISNUMBER(D17),D17&gt;=50,D17&lt;60)</x:formula>
    </x:cfRule>
    <x:cfRule type="expression" dxfId="133" priority="34">
      <x:formula>AND(ISNUMBER(D17),D17&gt;=40,D17&lt;50)</x:formula>
    </x:cfRule>
    <x:cfRule type="expression" dxfId="134" priority="35">
      <x:formula>AND(ISNUMBER(D17),D17&gt;=20,D17&lt;40)</x:formula>
    </x:cfRule>
    <x:cfRule type="expression" dxfId="135" priority="36">
      <x:formula>AND(ISNUMBER(D17),D17&lt;20)</x:formula>
    </x:cfRule>
  </x:conditionalFormatting>
  <x:conditionalFormatting sqref="D14:F14">
    <x:cfRule type="expression" dxfId="182" priority="37">
      <x:formula>AND(ISNUMBER(D14),D14=100)</x:formula>
    </x:cfRule>
    <x:cfRule type="expression" dxfId="183" priority="38">
      <x:formula>AND(ISNUMBER(D14),D14&gt;=90,D14&lt;100)</x:formula>
    </x:cfRule>
    <x:cfRule type="expression" dxfId="184" priority="39">
      <x:formula>AND(ISNUMBER(D14),D14&gt;=80,D14&lt;90)</x:formula>
    </x:cfRule>
    <x:cfRule type="expression" dxfId="185" priority="40">
      <x:formula>AND(ISNUMBER(D14),D14&gt;=70,D14&lt;80)</x:formula>
    </x:cfRule>
    <x:cfRule type="expression" dxfId="186" priority="41">
      <x:formula>AND(ISNUMBER(D14),D14&gt;=60,D14&lt;70)</x:formula>
    </x:cfRule>
    <x:cfRule type="expression" dxfId="187" priority="42">
      <x:formula>AND(ISNUMBER(D14),D14&gt;=50,D14&lt;60)</x:formula>
    </x:cfRule>
    <x:cfRule type="expression" dxfId="188" priority="43">
      <x:formula>AND(ISNUMBER(D14),D14&gt;=40,D14&lt;50)</x:formula>
    </x:cfRule>
    <x:cfRule type="expression" dxfId="189" priority="44">
      <x:formula>AND(ISNUMBER(D14),D14&gt;=20,D14&lt;40)</x:formula>
    </x:cfRule>
    <x:cfRule type="expression" dxfId="190" priority="45">
      <x:formula>AND(ISNUMBER(D14),D14&lt;20)</x:formula>
    </x:cfRule>
  </x:conditionalFormatting>
  <x:conditionalFormatting sqref="D15:F15">
    <x:cfRule type="expression" dxfId="191" priority="46">
      <x:formula>AND(ISNUMBER(D15),D15=100)</x:formula>
    </x:cfRule>
    <x:cfRule type="expression" dxfId="192" priority="47">
      <x:formula>AND(ISNUMBER(D15),D15&gt;=90,D15&lt;100)</x:formula>
    </x:cfRule>
    <x:cfRule type="expression" dxfId="193" priority="48">
      <x:formula>AND(ISNUMBER(D15),D15&gt;=80,D15&lt;90)</x:formula>
    </x:cfRule>
    <x:cfRule type="expression" dxfId="194" priority="49">
      <x:formula>AND(ISNUMBER(D15),D15&gt;=70,D15&lt;80)</x:formula>
    </x:cfRule>
    <x:cfRule type="expression" dxfId="195" priority="50">
      <x:formula>AND(ISNUMBER(D15),D15&gt;=60,D15&lt;70)</x:formula>
    </x:cfRule>
    <x:cfRule type="expression" dxfId="196" priority="51">
      <x:formula>AND(ISNUMBER(D15),D15&gt;=50,D15&lt;60)</x:formula>
    </x:cfRule>
    <x:cfRule type="expression" dxfId="197" priority="52">
      <x:formula>AND(ISNUMBER(D15),D15&gt;=40,D15&lt;50)</x:formula>
    </x:cfRule>
    <x:cfRule type="expression" dxfId="198" priority="53">
      <x:formula>AND(ISNUMBER(D15),D15&gt;=20,D15&lt;40)</x:formula>
    </x:cfRule>
    <x:cfRule type="expression" dxfId="199" priority="54">
      <x:formula>AND(ISNUMBER(D15),D15&lt;20)</x:formula>
    </x:cfRule>
  </x:conditionalFormatting>
  <x:conditionalFormatting sqref="D12:F12">
    <x:cfRule type="expression" dxfId="246" priority="55">
      <x:formula>AND(ISNUMBER(D12),D12=100)</x:formula>
    </x:cfRule>
    <x:cfRule type="expression" dxfId="247" priority="56">
      <x:formula>AND(ISNUMBER(D12),D12&gt;=90,D12&lt;100)</x:formula>
    </x:cfRule>
    <x:cfRule type="expression" dxfId="248" priority="57">
      <x:formula>AND(ISNUMBER(D12),D12&gt;=80,D12&lt;90)</x:formula>
    </x:cfRule>
    <x:cfRule type="expression" dxfId="249" priority="58">
      <x:formula>AND(ISNUMBER(D12),D12&gt;=70,D12&lt;80)</x:formula>
    </x:cfRule>
    <x:cfRule type="expression" dxfId="250" priority="59">
      <x:formula>AND(ISNUMBER(D12),D12&gt;=60,D12&lt;70)</x:formula>
    </x:cfRule>
    <x:cfRule type="expression" dxfId="251" priority="60">
      <x:formula>AND(ISNUMBER(D12),D12&gt;=50,D12&lt;60)</x:formula>
    </x:cfRule>
    <x:cfRule type="expression" dxfId="252" priority="61">
      <x:formula>AND(ISNUMBER(D12),D12&gt;=40,D12&lt;50)</x:formula>
    </x:cfRule>
    <x:cfRule type="expression" dxfId="253" priority="62">
      <x:formula>AND(ISNUMBER(D12),D12&gt;=20,D12&lt;40)</x:formula>
    </x:cfRule>
    <x:cfRule type="expression" dxfId="254" priority="63">
      <x:formula>AND(ISNUMBER(D12),D12&lt;20)</x:formula>
    </x:cfRule>
  </x:conditionalFormatting>
  <x:conditionalFormatting sqref="D13:F13">
    <x:cfRule type="expression" dxfId="255" priority="64">
      <x:formula>AND(ISNUMBER(D13),D13=100)</x:formula>
    </x:cfRule>
    <x:cfRule type="expression" dxfId="256" priority="65">
      <x:formula>AND(ISNUMBER(D13),D13&gt;=90,D13&lt;100)</x:formula>
    </x:cfRule>
    <x:cfRule type="expression" dxfId="257" priority="66">
      <x:formula>AND(ISNUMBER(D13),D13&gt;=80,D13&lt;90)</x:formula>
    </x:cfRule>
    <x:cfRule type="expression" dxfId="258" priority="67">
      <x:formula>AND(ISNUMBER(D13),D13&gt;=70,D13&lt;80)</x:formula>
    </x:cfRule>
    <x:cfRule type="expression" dxfId="259" priority="68">
      <x:formula>AND(ISNUMBER(D13),D13&gt;=60,D13&lt;70)</x:formula>
    </x:cfRule>
    <x:cfRule type="expression" dxfId="260" priority="69">
      <x:formula>AND(ISNUMBER(D13),D13&gt;=50,D13&lt;60)</x:formula>
    </x:cfRule>
    <x:cfRule type="expression" dxfId="261" priority="70">
      <x:formula>AND(ISNUMBER(D13),D13&gt;=40,D13&lt;50)</x:formula>
    </x:cfRule>
    <x:cfRule type="expression" dxfId="262" priority="71">
      <x:formula>AND(ISNUMBER(D13),D13&gt;=20,D13&lt;40)</x:formula>
    </x:cfRule>
    <x:cfRule type="expression" dxfId="263" priority="72">
      <x:formula>AND(ISNUMBER(D13),D13&lt;20)</x:formula>
    </x:cfRule>
  </x:conditionalFormatting>
  <x:conditionalFormatting sqref="D8:F8">
    <x:cfRule type="expression" dxfId="310" priority="73">
      <x:formula>AND(ISNUMBER(D8),D8=100)</x:formula>
    </x:cfRule>
    <x:cfRule type="expression" dxfId="311" priority="74">
      <x:formula>AND(ISNUMBER(D8),D8&gt;=90,D8&lt;100)</x:formula>
    </x:cfRule>
    <x:cfRule type="expression" dxfId="312" priority="75">
      <x:formula>AND(ISNUMBER(D8),D8&gt;=80,D8&lt;90)</x:formula>
    </x:cfRule>
    <x:cfRule type="expression" dxfId="313" priority="76">
      <x:formula>AND(ISNUMBER(D8),D8&gt;=70,D8&lt;80)</x:formula>
    </x:cfRule>
    <x:cfRule type="expression" dxfId="314" priority="77">
      <x:formula>AND(ISNUMBER(D8),D8&gt;=60,D8&lt;70)</x:formula>
    </x:cfRule>
    <x:cfRule type="expression" dxfId="315" priority="78">
      <x:formula>AND(ISNUMBER(D8),D8&gt;=50,D8&lt;60)</x:formula>
    </x:cfRule>
    <x:cfRule type="expression" dxfId="316" priority="79">
      <x:formula>AND(ISNUMBER(D8),D8&gt;=40,D8&lt;50)</x:formula>
    </x:cfRule>
    <x:cfRule type="expression" dxfId="317" priority="80">
      <x:formula>AND(ISNUMBER(D8),D8&gt;=20,D8&lt;40)</x:formula>
    </x:cfRule>
    <x:cfRule type="expression" dxfId="318" priority="81">
      <x:formula>AND(ISNUMBER(D8),D8&lt;20)</x:formula>
    </x:cfRule>
  </x:conditionalFormatting>
  <x:conditionalFormatting sqref="D9:F9">
    <x:cfRule type="expression" dxfId="319" priority="82">
      <x:formula>AND(ISNUMBER(D9),D9=100)</x:formula>
    </x:cfRule>
    <x:cfRule type="expression" dxfId="320" priority="83">
      <x:formula>AND(ISNUMBER(D9),D9&gt;=90,D9&lt;100)</x:formula>
    </x:cfRule>
    <x:cfRule type="expression" dxfId="321" priority="84">
      <x:formula>AND(ISNUMBER(D9),D9&gt;=80,D9&lt;90)</x:formula>
    </x:cfRule>
    <x:cfRule type="expression" dxfId="322" priority="85">
      <x:formula>AND(ISNUMBER(D9),D9&gt;=70,D9&lt;80)</x:formula>
    </x:cfRule>
    <x:cfRule type="expression" dxfId="323" priority="86">
      <x:formula>AND(ISNUMBER(D9),D9&gt;=60,D9&lt;70)</x:formula>
    </x:cfRule>
    <x:cfRule type="expression" dxfId="324" priority="87">
      <x:formula>AND(ISNUMBER(D9),D9&gt;=50,D9&lt;60)</x:formula>
    </x:cfRule>
    <x:cfRule type="expression" dxfId="325" priority="88">
      <x:formula>AND(ISNUMBER(D9),D9&gt;=40,D9&lt;50)</x:formula>
    </x:cfRule>
    <x:cfRule type="expression" dxfId="326" priority="89">
      <x:formula>AND(ISNUMBER(D9),D9&gt;=20,D9&lt;40)</x:formula>
    </x:cfRule>
    <x:cfRule type="expression" dxfId="327" priority="90">
      <x:formula>AND(ISNUMBER(D9),D9&lt;20)</x:formula>
    </x:cfRule>
  </x:conditionalFormatting>
  <x:conditionalFormatting sqref="D10:F10">
    <x:cfRule type="expression" dxfId="374" priority="91">
      <x:formula>AND(ISNUMBER(D10),D10=100)</x:formula>
    </x:cfRule>
    <x:cfRule type="expression" dxfId="375" priority="92">
      <x:formula>AND(ISNUMBER(D10),D10&gt;=90,D10&lt;100)</x:formula>
    </x:cfRule>
    <x:cfRule type="expression" dxfId="376" priority="93">
      <x:formula>AND(ISNUMBER(D10),D10&gt;=80,D10&lt;90)</x:formula>
    </x:cfRule>
    <x:cfRule type="expression" dxfId="377" priority="94">
      <x:formula>AND(ISNUMBER(D10),D10&gt;=70,D10&lt;80)</x:formula>
    </x:cfRule>
    <x:cfRule type="expression" dxfId="378" priority="95">
      <x:formula>AND(ISNUMBER(D10),D10&gt;=60,D10&lt;70)</x:formula>
    </x:cfRule>
    <x:cfRule type="expression" dxfId="379" priority="96">
      <x:formula>AND(ISNUMBER(D10),D10&gt;=50,D10&lt;60)</x:formula>
    </x:cfRule>
    <x:cfRule type="expression" dxfId="380" priority="97">
      <x:formula>AND(ISNUMBER(D10),D10&gt;=40,D10&lt;50)</x:formula>
    </x:cfRule>
    <x:cfRule type="expression" dxfId="381" priority="98">
      <x:formula>AND(ISNUMBER(D10),D10&gt;=20,D10&lt;40)</x:formula>
    </x:cfRule>
    <x:cfRule type="expression" dxfId="382" priority="99">
      <x:formula>AND(ISNUMBER(D10),D10&lt;20)</x:formula>
    </x:cfRule>
  </x:conditionalFormatting>
  <x:conditionalFormatting sqref="D11:F11">
    <x:cfRule type="expression" dxfId="383" priority="100">
      <x:formula>AND(ISNUMBER(D11),D11=100)</x:formula>
    </x:cfRule>
    <x:cfRule type="expression" dxfId="384" priority="101">
      <x:formula>AND(ISNUMBER(D11),D11&gt;=90,D11&lt;100)</x:formula>
    </x:cfRule>
    <x:cfRule type="expression" dxfId="385" priority="102">
      <x:formula>AND(ISNUMBER(D11),D11&gt;=80,D11&lt;90)</x:formula>
    </x:cfRule>
    <x:cfRule type="expression" dxfId="386" priority="103">
      <x:formula>AND(ISNUMBER(D11),D11&gt;=70,D11&lt;80)</x:formula>
    </x:cfRule>
    <x:cfRule type="expression" dxfId="387" priority="104">
      <x:formula>AND(ISNUMBER(D11),D11&gt;=60,D11&lt;70)</x:formula>
    </x:cfRule>
    <x:cfRule type="expression" dxfId="388" priority="105">
      <x:formula>AND(ISNUMBER(D11),D11&gt;=50,D11&lt;60)</x:formula>
    </x:cfRule>
    <x:cfRule type="expression" dxfId="389" priority="106">
      <x:formula>AND(ISNUMBER(D11),D11&gt;=40,D11&lt;50)</x:formula>
    </x:cfRule>
    <x:cfRule type="expression" dxfId="390" priority="107">
      <x:formula>AND(ISNUMBER(D11),D11&gt;=20,D11&lt;40)</x:formula>
    </x:cfRule>
    <x:cfRule type="expression" dxfId="391" priority="108">
      <x:formula>AND(ISNUMBER(D11),D11&lt;20)</x:formula>
    </x:cfRule>
  </x:conditionalFormatting>
  <x:conditionalFormatting sqref="D18:F18">
    <x:cfRule type="expression" dxfId="438" priority="109">
      <x:formula>AND(ISNUMBER(D18),D18=100)</x:formula>
    </x:cfRule>
    <x:cfRule type="expression" dxfId="439" priority="110">
      <x:formula>AND(ISNUMBER(D18),D18&gt;=90,D18&lt;100)</x:formula>
    </x:cfRule>
    <x:cfRule type="expression" dxfId="440" priority="111">
      <x:formula>AND(ISNUMBER(D18),D18&gt;=80,D18&lt;90)</x:formula>
    </x:cfRule>
    <x:cfRule type="expression" dxfId="441" priority="112">
      <x:formula>AND(ISNUMBER(D18),D18&gt;=70,D18&lt;80)</x:formula>
    </x:cfRule>
    <x:cfRule type="expression" dxfId="442" priority="113">
      <x:formula>AND(ISNUMBER(D18),D18&gt;=60,D18&lt;70)</x:formula>
    </x:cfRule>
    <x:cfRule type="expression" dxfId="443" priority="114">
      <x:formula>AND(ISNUMBER(D18),D18&gt;=50,D18&lt;60)</x:formula>
    </x:cfRule>
    <x:cfRule type="expression" dxfId="444" priority="115">
      <x:formula>AND(ISNUMBER(D18),D18&gt;=40,D18&lt;50)</x:formula>
    </x:cfRule>
    <x:cfRule type="expression" dxfId="445" priority="116">
      <x:formula>AND(ISNUMBER(D18),D18&gt;=20,D18&lt;40)</x:formula>
    </x:cfRule>
    <x:cfRule type="expression" dxfId="446" priority="117">
      <x:formula>AND(ISNUMBER(D18),D18&lt;20)</x:formula>
    </x:cfRule>
  </x:conditionalFormatting>
  <x:conditionalFormatting sqref="D19:F19">
    <x:cfRule type="expression" dxfId="510" priority="118">
      <x:formula>AND(ISNUMBER(D19),D19=100)</x:formula>
    </x:cfRule>
    <x:cfRule type="expression" dxfId="511" priority="119">
      <x:formula>AND(ISNUMBER(D19),D19&gt;=90,D19&lt;100)</x:formula>
    </x:cfRule>
    <x:cfRule type="expression" dxfId="512" priority="120">
      <x:formula>AND(ISNUMBER(D19),D19&gt;=80,D19&lt;90)</x:formula>
    </x:cfRule>
    <x:cfRule type="expression" dxfId="513" priority="121">
      <x:formula>AND(ISNUMBER(D19),D19&gt;=70,D19&lt;80)</x:formula>
    </x:cfRule>
    <x:cfRule type="expression" dxfId="514" priority="122">
      <x:formula>AND(ISNUMBER(D19),D19&gt;=60,D19&lt;70)</x:formula>
    </x:cfRule>
    <x:cfRule type="expression" dxfId="515" priority="123">
      <x:formula>AND(ISNUMBER(D19),D19&gt;=50,D19&lt;60)</x:formula>
    </x:cfRule>
    <x:cfRule type="expression" dxfId="516" priority="124">
      <x:formula>AND(ISNUMBER(D19),D19&gt;=40,D19&lt;50)</x:formula>
    </x:cfRule>
    <x:cfRule type="expression" dxfId="517" priority="125">
      <x:formula>AND(ISNUMBER(D19),D19&gt;=20,D19&lt;40)</x:formula>
    </x:cfRule>
    <x:cfRule type="expression" dxfId="518" priority="126">
      <x:formula>AND(ISNUMBER(D19),D19&lt;20)</x:formula>
    </x:cfRule>
  </x:conditionalFormatting>
  <x:conditionalFormatting sqref="D20:F20">
    <x:cfRule type="expression" dxfId="519" priority="127">
      <x:formula>AND(ISNUMBER(D20),D20=100)</x:formula>
    </x:cfRule>
    <x:cfRule type="expression" dxfId="520" priority="128">
      <x:formula>AND(ISNUMBER(D20),D20&gt;=90,D20&lt;100)</x:formula>
    </x:cfRule>
    <x:cfRule type="expression" dxfId="521" priority="129">
      <x:formula>AND(ISNUMBER(D20),D20&gt;=80,D20&lt;90)</x:formula>
    </x:cfRule>
    <x:cfRule type="expression" dxfId="522" priority="130">
      <x:formula>AND(ISNUMBER(D20),D20&gt;=70,D20&lt;80)</x:formula>
    </x:cfRule>
    <x:cfRule type="expression" dxfId="523" priority="131">
      <x:formula>AND(ISNUMBER(D20),D20&gt;=60,D20&lt;70)</x:formula>
    </x:cfRule>
    <x:cfRule type="expression" dxfId="524" priority="132">
      <x:formula>AND(ISNUMBER(D20),D20&gt;=50,D20&lt;60)</x:formula>
    </x:cfRule>
    <x:cfRule type="expression" dxfId="525" priority="133">
      <x:formula>AND(ISNUMBER(D20),D20&gt;=40,D20&lt;50)</x:formula>
    </x:cfRule>
    <x:cfRule type="expression" dxfId="526" priority="134">
      <x:formula>AND(ISNUMBER(D20),D20&gt;=20,D20&lt;40)</x:formula>
    </x:cfRule>
    <x:cfRule type="expression" dxfId="527" priority="135">
      <x:formula>AND(ISNUMBER(D20),D20&lt;20)</x:formula>
    </x:cfRule>
  </x:conditionalFormatting>
  <x:conditionalFormatting sqref="D2:D25">
    <x:cfRule type="expression" dxfId="2103" priority="190">
      <x:formula>AND(ISNUMBER(D2),D2=100)</x:formula>
    </x:cfRule>
    <x:cfRule type="expression" dxfId="2104" priority="191">
      <x:formula>AND(ISNUMBER(D2),D2&gt;=90,D2&lt;100)</x:formula>
    </x:cfRule>
    <x:cfRule type="expression" dxfId="2105" priority="192">
      <x:formula>AND(ISNUMBER(D2),D2&gt;=80,D2&lt;90)</x:formula>
    </x:cfRule>
    <x:cfRule type="expression" dxfId="2106" priority="193">
      <x:formula>AND(ISNUMBER(D2),D2&gt;=70,D2&lt;80)</x:formula>
    </x:cfRule>
    <x:cfRule type="expression" dxfId="2107" priority="194">
      <x:formula>AND(ISNUMBER(D2),D2&gt;=60,D2&lt;70)</x:formula>
    </x:cfRule>
    <x:cfRule type="expression" dxfId="2108" priority="195">
      <x:formula>AND(ISNUMBER(D2),D2&gt;=50,D2&lt;60)</x:formula>
    </x:cfRule>
    <x:cfRule type="expression" dxfId="2109" priority="196">
      <x:formula>AND(ISNUMBER(D2),D2&gt;=40,D2&lt;50)</x:formula>
    </x:cfRule>
    <x:cfRule type="expression" dxfId="2110" priority="197">
      <x:formula>AND(ISNUMBER(D2),D2&gt;=20,D2&lt;40)</x:formula>
    </x:cfRule>
    <x:cfRule type="expression" dxfId="2111" priority="198">
      <x:formula>AND(ISNUMBER(D2),D2&lt;20)</x:formula>
    </x:cfRule>
  </x:conditionalFormatting>
  <x:conditionalFormatting sqref="E2:E25">
    <x:cfRule type="expression" dxfId="2112" priority="199">
      <x:formula>AND(ISNUMBER(E2),E2=100)</x:formula>
    </x:cfRule>
    <x:cfRule type="expression" dxfId="2113" priority="200">
      <x:formula>AND(ISNUMBER(E2),E2&gt;=90,E2&lt;100)</x:formula>
    </x:cfRule>
    <x:cfRule type="expression" dxfId="2114" priority="201">
      <x:formula>AND(ISNUMBER(E2),E2&gt;=80,E2&lt;90)</x:formula>
    </x:cfRule>
    <x:cfRule type="expression" dxfId="2115" priority="202">
      <x:formula>AND(ISNUMBER(E2),E2&gt;=70,E2&lt;80)</x:formula>
    </x:cfRule>
    <x:cfRule type="expression" dxfId="2116" priority="203">
      <x:formula>AND(ISNUMBER(E2),E2&gt;=60,E2&lt;70)</x:formula>
    </x:cfRule>
    <x:cfRule type="expression" dxfId="2117" priority="204">
      <x:formula>AND(ISNUMBER(E2),E2&gt;=50,E2&lt;60)</x:formula>
    </x:cfRule>
    <x:cfRule type="expression" dxfId="2118" priority="205">
      <x:formula>AND(ISNUMBER(E2),E2&gt;=40,E2&lt;50)</x:formula>
    </x:cfRule>
    <x:cfRule type="expression" dxfId="2119" priority="206">
      <x:formula>AND(ISNUMBER(E2),E2&gt;=20,E2&lt;40)</x:formula>
    </x:cfRule>
    <x:cfRule type="expression" dxfId="2120" priority="207">
      <x:formula>AND(ISNUMBER(E2),E2&lt;20)</x:formula>
    </x:cfRule>
  </x:conditionalFormatting>
  <x:conditionalFormatting sqref="F2:F25">
    <x:cfRule type="expression" dxfId="2121" priority="208">
      <x:formula>AND(ISNUMBER(F2),F2=100)</x:formula>
    </x:cfRule>
    <x:cfRule type="expression" dxfId="2122" priority="209">
      <x:formula>AND(ISNUMBER(F2),F2&gt;=90,F2&lt;100)</x:formula>
    </x:cfRule>
    <x:cfRule type="expression" dxfId="2123" priority="210">
      <x:formula>AND(ISNUMBER(F2),F2&gt;=80,F2&lt;90)</x:formula>
    </x:cfRule>
    <x:cfRule type="expression" dxfId="2124" priority="211">
      <x:formula>AND(ISNUMBER(F2),F2&gt;=70,F2&lt;80)</x:formula>
    </x:cfRule>
    <x:cfRule type="expression" dxfId="2125" priority="212">
      <x:formula>AND(ISNUMBER(F2),F2&gt;=60,F2&lt;70)</x:formula>
    </x:cfRule>
    <x:cfRule type="expression" dxfId="2126" priority="213">
      <x:formula>AND(ISNUMBER(F2),F2&gt;=50,F2&lt;60)</x:formula>
    </x:cfRule>
    <x:cfRule type="expression" dxfId="2127" priority="214">
      <x:formula>AND(ISNUMBER(F2),F2&gt;=40,F2&lt;50)</x:formula>
    </x:cfRule>
    <x:cfRule type="expression" dxfId="2128" priority="215">
      <x:formula>AND(ISNUMBER(F2),F2&gt;=20,F2&lt;40)</x:formula>
    </x:cfRule>
    <x:cfRule type="expression" dxfId="2129" priority="216">
      <x:formula>AND(ISNUMBER(F2),F2&lt;20)</x:formula>
    </x:cfRule>
  </x:conditionalFormatting>
  <x:conditionalFormatting sqref="D2:D21">
    <x:cfRule type="expression" dxfId="2526" priority="217">
      <x:formula>AND(ISNUMBER(D2),D2=100)</x:formula>
    </x:cfRule>
    <x:cfRule type="expression" dxfId="2527" priority="218">
      <x:formula>AND(ISNUMBER(D2),D2&gt;=90,D2&lt;100)</x:formula>
    </x:cfRule>
    <x:cfRule type="expression" dxfId="2528" priority="219">
      <x:formula>AND(ISNUMBER(D2),D2&gt;=80,D2&lt;90)</x:formula>
    </x:cfRule>
    <x:cfRule type="expression" dxfId="2529" priority="220">
      <x:formula>AND(ISNUMBER(D2),D2&gt;=70,D2&lt;80)</x:formula>
    </x:cfRule>
    <x:cfRule type="expression" dxfId="2530" priority="221">
      <x:formula>AND(ISNUMBER(D2),D2&gt;=60,D2&lt;70)</x:formula>
    </x:cfRule>
    <x:cfRule type="expression" dxfId="2531" priority="222">
      <x:formula>AND(ISNUMBER(D2),D2&gt;=50,D2&lt;60)</x:formula>
    </x:cfRule>
    <x:cfRule type="expression" dxfId="2532" priority="223">
      <x:formula>AND(ISNUMBER(D2),D2&gt;=40,D2&lt;50)</x:formula>
    </x:cfRule>
    <x:cfRule type="expression" dxfId="2533" priority="224">
      <x:formula>AND(ISNUMBER(D2),D2&gt;=20,D2&lt;40)</x:formula>
    </x:cfRule>
    <x:cfRule type="expression" dxfId="2534" priority="225">
      <x:formula>AND(ISNUMBER(D2),D2&lt;20)</x:formula>
    </x:cfRule>
  </x:conditionalFormatting>
  <x:conditionalFormatting sqref="E2:E21">
    <x:cfRule type="expression" dxfId="2535" priority="226">
      <x:formula>AND(ISNUMBER(E2),E2=100)</x:formula>
    </x:cfRule>
    <x:cfRule type="expression" dxfId="2536" priority="227">
      <x:formula>AND(ISNUMBER(E2),E2&gt;=90,E2&lt;100)</x:formula>
    </x:cfRule>
    <x:cfRule type="expression" dxfId="2537" priority="228">
      <x:formula>AND(ISNUMBER(E2),E2&gt;=80,E2&lt;90)</x:formula>
    </x:cfRule>
    <x:cfRule type="expression" dxfId="2538" priority="229">
      <x:formula>AND(ISNUMBER(E2),E2&gt;=70,E2&lt;80)</x:formula>
    </x:cfRule>
    <x:cfRule type="expression" dxfId="2539" priority="230">
      <x:formula>AND(ISNUMBER(E2),E2&gt;=60,E2&lt;70)</x:formula>
    </x:cfRule>
    <x:cfRule type="expression" dxfId="2540" priority="231">
      <x:formula>AND(ISNUMBER(E2),E2&gt;=50,E2&lt;60)</x:formula>
    </x:cfRule>
    <x:cfRule type="expression" dxfId="2541" priority="232">
      <x:formula>AND(ISNUMBER(E2),E2&gt;=40,E2&lt;50)</x:formula>
    </x:cfRule>
    <x:cfRule type="expression" dxfId="2542" priority="233">
      <x:formula>AND(ISNUMBER(E2),E2&gt;=20,E2&lt;40)</x:formula>
    </x:cfRule>
    <x:cfRule type="expression" dxfId="2543" priority="234">
      <x:formula>AND(ISNUMBER(E2),E2&lt;20)</x:formula>
    </x:cfRule>
  </x:conditionalFormatting>
  <x:conditionalFormatting sqref="F2:F21">
    <x:cfRule type="expression" dxfId="2544" priority="235">
      <x:formula>AND(ISNUMBER(F2),F2=100)</x:formula>
    </x:cfRule>
    <x:cfRule type="expression" dxfId="2545" priority="236">
      <x:formula>AND(ISNUMBER(F2),F2&gt;=90,F2&lt;100)</x:formula>
    </x:cfRule>
    <x:cfRule type="expression" dxfId="2546" priority="237">
      <x:formula>AND(ISNUMBER(F2),F2&gt;=80,F2&lt;90)</x:formula>
    </x:cfRule>
    <x:cfRule type="expression" dxfId="2547" priority="238">
      <x:formula>AND(ISNUMBER(F2),F2&gt;=70,F2&lt;80)</x:formula>
    </x:cfRule>
    <x:cfRule type="expression" dxfId="2548" priority="239">
      <x:formula>AND(ISNUMBER(F2),F2&gt;=60,F2&lt;70)</x:formula>
    </x:cfRule>
    <x:cfRule type="expression" dxfId="2549" priority="240">
      <x:formula>AND(ISNUMBER(F2),F2&gt;=50,F2&lt;60)</x:formula>
    </x:cfRule>
    <x:cfRule type="expression" dxfId="2550" priority="241">
      <x:formula>AND(ISNUMBER(F2),F2&gt;=40,F2&lt;50)</x:formula>
    </x:cfRule>
    <x:cfRule type="expression" dxfId="2551" priority="242">
      <x:formula>AND(ISNUMBER(F2),F2&gt;=20,F2&lt;40)</x:formula>
    </x:cfRule>
    <x:cfRule type="expression" dxfId="2552" priority="243">
      <x:formula>AND(ISNUMBER(F2),F2&lt;20)</x:formula>
    </x:cfRule>
  </x:conditionalFormatting>
  <x:pageMargins left="0.7" right="0.7" top="0.75" bottom="0.75" header="0.3" footer="0.3"/>
  <x:drawing xmlns:r="http://schemas.openxmlformats.org/officeDocument/2006/relationships" r:id="Rb2fa708257644ea0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4" hidden="0" customWidth="1"/>
    <x:col min="4" max="4" width="66" hidden="0" customWidth="1"/>
  </x:cols>
  <x:sheetData>
    <x:row r="1" ht="42" customHeight="1">
      <x:c r="A1" s="13" t="str">
        <x:v>Методика оценки</x:v>
      </x:c>
      <x:c r="B1" s="14" t="str">
        <x:v>Описание</x:v>
      </x:c>
      <x:c r="C1" s="14" t="str">
        <x:v>Баллы</x:v>
      </x:c>
      <x:c r="D1" s="15" t="str">
        <x:v>Примечание</x:v>
      </x:c>
    </x:row>
    <x:row r="2">
      <x:c r="A2" s="49" t="str">
        <x:v>Тест</x:v>
      </x:c>
      <x:c r="B2" s="50" t="str">
        <x:v>SQL / PostgreSQL 16 — максимальный тест</x:v>
      </x:c>
      <x:c r="C2" s="50"/>
      <x:c r="D2" s="51" t="str">
        <x:v>32 задания; отдельная таблица для этого промта.</x:v>
      </x:c>
    </x:row>
    <x:row r="3">
      <x:c r="A3" s="52" t="str">
        <x:v>Шкала</x:v>
      </x:c>
      <x:c r="B3" s="53" t="str">
        <x:v>Каждое задание, секция и итог оцениваются по шкале 0–100.</x:v>
      </x:c>
      <x:c r="C3" s="53" t="str">
        <x:v>0–100</x:v>
      </x:c>
      <x:c r="D3" s="54" t="str">
        <x:v>100 — полностью корректно; 0 — неверно/нет ответа.</x:v>
      </x:c>
    </x:row>
    <x:row r="4">
      <x:c r="A4" s="52" t="str">
        <x:v>Итог</x:v>
      </x:c>
      <x:c r="B4" s="53" t="str">
        <x:v>SUM(баллов по 32 заданиям) / 32.</x:v>
      </x:c>
      <x:c r="C4" s="53" t="str">
        <x:v>0–100</x:v>
      </x:c>
      <x:c r="D4" s="54" t="str">
        <x:v>Пропуск считается 0 в итоговом балле.</x:v>
      </x:c>
    </x:row>
    <x:row r="5">
      <x:c r="A5" s="52" t="str">
        <x:v>Полнота</x:v>
      </x:c>
      <x:c r="B5" s="53" t="str">
        <x:v>Количество заполненных заданий / 32 × 100.</x:v>
      </x:c>
      <x:c r="C5" s="53" t="str">
        <x:v>0–100</x:v>
      </x:c>
      <x:c r="D5" s="54" t="str">
        <x:v>Отделена от качества отвеченной части.</x:v>
      </x:c>
    </x:row>
    <x:row r="6">
      <x:c r="A6" s="52" t="str">
        <x:v>Качество отвеченных</x:v>
      </x:c>
      <x:c r="B6" s="53" t="str">
        <x:v>AVERAGE только по заполненным task cells.</x:v>
      </x:c>
      <x:c r="C6" s="53" t="str">
        <x:v>0–100</x:v>
      </x:c>
      <x:c r="D6" s="54" t="str">
        <x:v>При полной выдаче равно итоговому баллу.</x:v>
      </x:c>
    </x:row>
    <x:row r="7">
      <x:c r="A7" s="52" t="str">
        <x:v>Цвет 100</x:v>
      </x:c>
      <x:c r="B7" s="53" t="str">
        <x:v>#17863C, белый текст.</x:v>
      </x:c>
      <x:c r="C7" s="53" t="str">
        <x:v>100</x:v>
      </x:c>
      <x:c r="D7" s="54" t="str">
        <x:v>Насыщенно-зелёный.</x:v>
      </x:c>
    </x:row>
    <x:row r="8">
      <x:c r="A8" s="52" t="str">
        <x:v>Цвет 90–99</x:v>
      </x:c>
      <x:c r="B8" s="53" t="str">
        <x:v>#279E4E, белый текст.</x:v>
      </x:c>
      <x:c r="C8" s="53" t="str">
        <x:v>90–99</x:v>
      </x:c>
      <x:c r="D8" s="54" t="str">
        <x:v>Тёмно-зелёный.</x:v>
      </x:c>
    </x:row>
    <x:row r="9">
      <x:c r="A9" s="52" t="str">
        <x:v>Цвет 80–89</x:v>
      </x:c>
      <x:c r="B9" s="53" t="str">
        <x:v>#79CF78, чёрный текст.</x:v>
      </x:c>
      <x:c r="C9" s="53" t="str">
        <x:v>80–89</x:v>
      </x:c>
      <x:c r="D9" s="54"/>
    </x:row>
    <x:row r="10">
      <x:c r="A10" s="52" t="str">
        <x:v>Цвет 70–79</x:v>
      </x:c>
      <x:c r="B10" s="53" t="str">
        <x:v>#B9DF78, чёрный текст.</x:v>
      </x:c>
      <x:c r="C10" s="53" t="str">
        <x:v>70–79</x:v>
      </x:c>
      <x:c r="D10" s="54"/>
    </x:row>
    <x:row r="11">
      <x:c r="A11" s="52" t="str">
        <x:v>Цвет 60–69</x:v>
      </x:c>
      <x:c r="B11" s="53" t="str">
        <x:v>#FEF08A, чёрный текст.</x:v>
      </x:c>
      <x:c r="C11" s="53" t="str">
        <x:v>60–69</x:v>
      </x:c>
      <x:c r="D11" s="54"/>
    </x:row>
    <x:row r="12">
      <x:c r="A12" s="52" t="str">
        <x:v>Цвет 50–59</x:v>
      </x:c>
      <x:c r="B12" s="53" t="str">
        <x:v>#F8D56B, чёрный текст.</x:v>
      </x:c>
      <x:c r="C12" s="53" t="str">
        <x:v>50–59</x:v>
      </x:c>
      <x:c r="D12" s="54"/>
    </x:row>
    <x:row r="13">
      <x:c r="A13" s="52" t="str">
        <x:v>Цвет 40–49</x:v>
      </x:c>
      <x:c r="B13" s="53" t="str">
        <x:v>#F5A66F, чёрный текст.</x:v>
      </x:c>
      <x:c r="C13" s="53" t="str">
        <x:v>40–49</x:v>
      </x:c>
      <x:c r="D13" s="54"/>
    </x:row>
    <x:row r="14">
      <x:c r="A14" s="52" t="str">
        <x:v>Цвет 20–39</x:v>
      </x:c>
      <x:c r="B14" s="53" t="str">
        <x:v>#D9534F, белый текст.</x:v>
      </x:c>
      <x:c r="C14" s="53" t="str">
        <x:v>20–39</x:v>
      </x:c>
      <x:c r="D14" s="54"/>
    </x:row>
    <x:row r="15">
      <x:c r="A15" s="52" t="str">
        <x:v>Цвет 0–19</x:v>
      </x:c>
      <x:c r="B15" s="53" t="str">
        <x:v>#A61B1B, белый текст.</x:v>
      </x:c>
      <x:c r="C15" s="53" t="str">
        <x:v>0–19</x:v>
      </x:c>
      <x:c r="D15" s="54"/>
    </x:row>
    <x:row r="16">
      <x:c r="A16" s="52" t="str">
        <x:v>Модели</x:v>
      </x:c>
      <x:c r="B16" s="53" t="str">
        <x:v>Во всех пяти книгах заранее создан один и тот же список моделей; текущая партия заполняет только Qwen 3.8 Flash Next.</x:v>
      </x:c>
      <x:c r="C16" s="53"/>
      <x:c r="D16" s="54" t="str">
        <x:v>Остальные колонки остаются белыми до получения ответа.</x:v>
      </x:c>
    </x:row>
    <x:row r="17">
      <x:c r="A17" s="52" t="str">
        <x:v>Порядок</x:v>
      </x:c>
      <x:c r="B17" s="53" t="str">
        <x:v>Оба Qwen 3.8 Flash Next стоят первыми; gemma-4-e4b располагается раньше gemma-4-e2b.</x:v>
      </x:c>
      <x:c r="C17" s="53"/>
      <x:c r="D17" s="54" t="str">
        <x:v>Сохранять в следующих партиях.</x:v>
      </x:c>
    </x:row>
    <x:row r="18">
      <x:c r="A18" s="52" t="str">
        <x:v>Метаданные</x:v>
      </x:c>
      <x:c r="B18" s="53" t="str">
        <x:v>No-thinking файлы этой партии внутри ответа ошибочно маркированы как MODE: thinking.</x:v>
      </x:c>
      <x:c r="C18" s="53"/>
      <x:c r="D18" s="54" t="str">
        <x:v>Нарушение отмечено в слабых сторонах; task-score отдельно не изменялся, так как отдельного META task ID нет.</x:v>
      </x:c>
    </x:row>
    <x:row r="19">
      <x:c r="A19" s="55" t="str">
        <x:v>Текущий результат</x:v>
      </x:c>
      <x:c r="B19" s="56" t="str">
        <x:v>Flash Next без thinking: 88.12; Flash Next thinking: 98.12.</x:v>
      </x:c>
      <x:c r="C19" s="56" t="str">
        <x:v>0–100</x:v>
      </x:c>
      <x:c r="D19" s="57" t="str">
        <x:v>Разница thinking: +10.00.</x:v>
      </x:c>
    </x:row>
    <x:row r="20">
      <x:c r="A20" s="203" t="str">
        <x:v>Пропуски</x:v>
      </x:c>
      <x:c r="B20" s="204" t="str">
        <x:v>Отсутствующий task остаётся пустым в «Детальной оценке», но даёт 0 в общем итоге; в «Замечаниях» фиксируется как ПРОПУСК.</x:v>
      </x:c>
      <x:c r="C20" s="204" t="str">
        <x:v>0</x:v>
      </x:c>
      <x:c r="D20" s="206" t="str">
        <x:v>Качество отвеченных считается только по реально данным ответам.</x:v>
      </x:c>
    </x:row>
    <x:row r="21">
      <x:c r="A21" s="207" t="str">
        <x:v>Метаданные</x:v>
      </x:c>
      <x:c r="B21" s="215" t="str">
        <x:v>В файлах без thinking (кроме пустого PHP) внутри записано MODE: thinking; режим в таблице определяется по имени/папке прогона.</x:v>
      </x:c>
      <x:c r="C21" s="215"/>
      <x:c r="D21" s="209" t="str">
        <x:v>Отдельного META task в этих пяти тестах нет, поэтому это отмечено текстом, но не создаёт дополнительный вне-ID штраф.</x:v>
      </x:c>
    </x:row>
    <x:row r="22">
      <x:c r="A22" s="210" t="str">
        <x:v>Пропуски</x:v>
      </x:c>
      <x:c r="B22" s="202" t="str">
        <x:v>Отсутствующий task оставлен пустым в деталях и считается 0 только в общем итоге; в замечаниях помечается ПРОПУСК.</x:v>
      </x:c>
      <x:c r="C22" s="202" t="str">
        <x:v>0</x:v>
      </x:c>
      <x:c r="D22" s="212" t="str">
        <x:v>Качество отвеченных считает только реальные ответы.</x:v>
      </x:c>
    </x:row>
    <x:row r="23">
      <x:c r="A23" s="254" t="str">
        <x:v>Метаданные</x:v>
      </x:c>
      <x:c r="B23" s="255" t="str">
        <x:v>Режим определяется по папке/имени прогона. В части файлов модель неверно называет себя GPT-4o/UNKNOWN или указывает неверный MODE.</x:v>
      </x:c>
      <x:c r="C23" s="255"/>
      <x:c r="D23" s="257" t="str">
        <x:v>Отдельного META task ID нет, поэтому дополнительного вне-ID штрафа не добавлено.</x:v>
      </x:c>
    </x:row>
    <x:row r="24">
      <x:c r="A24" s="258" t="str">
        <x:v>Batch 004</x:v>
      </x:c>
      <x:c r="B24" s="259" t="str">
        <x:v>Добавлена gemma4-12b-qat-uncensored-hauhaucs-balanced: thinking и без thinking.</x:v>
      </x:c>
      <x:c r="C24" s="259"/>
      <x:c r="D24" s="261" t="str">
        <x:v>Все 32 task ID присутствуют в каждом из 10 файлов.</x:v>
      </x:c>
    </x:row>
    <x:row r="25">
      <x:c r="A25" s="262" t="str">
        <x:v>Метаданные</x:v>
      </x:c>
      <x:c r="B25" s="263" t="str">
        <x:v>Режим определяется по папке прогона. В no-thinking файлах модель часто сама пишет MODE: thinking/GPT-4o; отдельного META task ID в тестах нет.</x:v>
      </x:c>
      <x:c r="C25" s="263"/>
      <x:c r="D25" s="265" t="str">
        <x:v>Это фиксируется текстом, но не создаёт вне-ID штраф.</x:v>
      </x:c>
    </x:row>
    <x:row r="26">
      <x:c r="A26" s="303" t="str">
        <x:v>Текущий результат</x:v>
      </x:c>
      <x:c r="B26" s="304" t="str">
        <x:v>Balanced без thinking: 78.75; balanced thinking: 81.88.</x:v>
      </x:c>
      <x:c r="C26" s="304" t="str">
        <x:v>0–100</x:v>
      </x:c>
      <x:c r="D26" s="306" t="str">
        <x:v>Разница thinking: +3.12.</x:v>
      </x:c>
    </x:row>
    <x:row r="27">
      <x:c r="A27" s="307" t="str">
        <x:v>Batch 005</x:v>
      </x:c>
      <x:c r="B27" s="308" t="str">
        <x:v>Добавлена Qwen 3.6 35b a3b mtp: thinking и без thinking.</x:v>
      </x:c>
      <x:c r="C27" s="308"/>
      <x:c r="D27" s="310" t="str">
        <x:v>Обе версии дали 32/32 task ID во всех пяти тестах.</x:v>
      </x:c>
    </x:row>
    <x:row r="28">
      <x:c r="A28" s="311" t="str">
        <x:v>Метаданные</x:v>
      </x:c>
      <x:c r="B28" s="312" t="str">
        <x:v>Режим определяется по папке прогона. Внутренний MODEL=UNKNOWN и MODE местами не совпадает с папкой.</x:v>
      </x:c>
      <x:c r="C28" s="312"/>
      <x:c r="D28" s="314" t="str">
        <x:v>Отдельного META task ID в этих тестах нет, поэтому вне-ID штраф не добавлялся.</x:v>
      </x:c>
    </x:row>
    <x:row r="29">
      <x:c r="A29" s="352" t="str">
        <x:v>Текущий результат</x:v>
      </x:c>
      <x:c r="B29" s="353" t="str">
        <x:v>Qwen 3.6 35b a3b mtp без thinking: 86.25; thinking: 84.69.</x:v>
      </x:c>
      <x:c r="C29" s="353" t="str">
        <x:v>0–100</x:v>
      </x:c>
      <x:c r="D29" s="355" t="str">
        <x:v>Разница thinking: -1.56.</x:v>
      </x:c>
    </x:row>
    <x:row r="30">
      <x:c r="A30" s="356" t="str">
        <x:v>Batch 006</x:v>
      </x:c>
      <x:c r="B30" s="357" t="str">
        <x:v>Добавлена Qwen 3.6 35b a3b HauhauCS: thinking и без thinking.</x:v>
      </x:c>
      <x:c r="C30" s="357"/>
      <x:c r="D30" s="359" t="str">
        <x:v>Источник этой партии в архиве назван qwen3.6-35b-uncensored; занесён в предусмотренную uncensored/HauhauCS пару.</x:v>
      </x:c>
    </x:row>
    <x:row r="31">
      <x:c r="A31" s="360" t="str">
        <x:v>Полнота</x:v>
      </x:c>
      <x:c r="B31" s="361" t="str">
        <x:v>Обе версии дали 32/32 task ID во всех пяти тестах.</x:v>
      </x:c>
      <x:c r="C31" s="361" t="str">
        <x:v>100%</x:v>
      </x:c>
      <x:c r="D31" s="363" t="str">
        <x:v>Режим определяется по папке прогона; внутренний MODE местами ошибочен.</x:v>
      </x:c>
    </x:row>
    <x:row r="32">
      <x:c r="A32" s="401" t="str">
        <x:v>Текущий результат</x:v>
      </x:c>
      <x:c r="B32" s="402" t="str">
        <x:v>HauhauCS без thinking: 79.38; HauhauCS thinking: 82.81.</x:v>
      </x:c>
      <x:c r="C32" s="402" t="str">
        <x:v>0–100</x:v>
      </x:c>
      <x:c r="D32" s="404" t="str">
        <x:v>Разница thinking: +3.44.</x:v>
      </x:c>
    </x:row>
    <x:row r="33">
      <x:c r="A33" s="405" t="str">
        <x:v>Batch 007</x:v>
      </x:c>
      <x:c r="B33" s="406" t="str">
        <x:v>Добавлен GPT 5.6 Sol high: 100.00/100.</x:v>
      </x:c>
      <x:c r="C33" s="406" t="str">
        <x:v>0–100</x:v>
      </x:c>
      <x:c r="D33" s="408" t="str">
        <x:v>Новые ответы оценены по тем же 32 task ID и прежней шкале.</x:v>
      </x:c>
    </x:row>
    <x:row r="34">
      <x:c r="A34" s="409" t="str">
        <x:v>Новая модель</x:v>
      </x:c>
      <x:c r="B34" s="410" t="str">
        <x:v>GPT 5.6 Sol high добавлен отдельной строкой/колонкой; режим не указывается.</x:v>
      </x:c>
      <x:c r="C34" s="410"/>
      <x:c r="D34" s="412" t="str">
        <x:v>Пять профильных файлов содержат 32/32 ответа.</x:v>
      </x:c>
    </x:row>
    <x:row r="35">
      <x:c r="A35" s="484" t="str">
        <x:v>Batch 008</x:v>
      </x:c>
      <x:c r="B35" s="485" t="str">
        <x:v>Добавлены GPT 5.6 Sol low и medium: 99.38 / 99.69.</x:v>
      </x:c>
      <x:c r="C35" s="485" t="str">
        <x:v>0–100</x:v>
      </x:c>
      <x:c r="D35" s="463" t="str">
        <x:v>Обе версии: 32/32.</x:v>
      </x:c>
    </x:row>
    <x:row r="36">
      <x:c r="A36" s="490" t="str">
        <x:v>Режимы coder</x:v>
      </x:c>
      <x:c r="B36" s="491" t="str">
        <x:v>GPT 5.6 Sol high, low и medium учитываются как отдельные варианты одной семьи.</x:v>
      </x:c>
      <x:c r="C36" s="491"/>
      <x:c r="D36" s="465" t="str">
        <x:v>Внутри ответов MODE=thinking; уровень reasoning хранится в имени варианта.</x:v>
      </x:c>
    </x:row>
    <x:row r="37">
      <x:c r="A37" s="558" t="str">
        <x:v>Batch 009</x:v>
      </x:c>
      <x:c r="B37" s="559" t="str">
        <x:v>Добавлен GPT 5.5 high: 98.75/100; полнота 32/32.</x:v>
      </x:c>
      <x:c r="C37" s="559" t="str">
        <x:v>0–100</x:v>
      </x:c>
      <x:c r="D37" s="561" t="str">
        <x:v>Имя варианта — из папки прогона; оценивается фактическое содержание.</x:v>
      </x:c>
    </x:row>
    <x:row r="38">
      <x:c r="A38" s="566" t="str">
        <x:v>Batch 010</x:v>
      </x:c>
      <x:c r="B38" s="567" t="str">
        <x:v>Добавлены DeepSeek chat и GPT 5.5 medium: 97.03 / 98.28.</x:v>
      </x:c>
      <x:c r="C38" s="567" t="str">
        <x:v>0–100</x:v>
      </x:c>
      <x:c r="D38" s="569" t="str">
        <x:v>Обе выдачи: 32/32.</x:v>
      </x:c>
    </x:row>
    <x:row r="39">
      <x:c r="A39" t="str">
        <x:v>Идентификация режимов</x:v>
      </x:c>
      <x:c r="B39" t="str">
        <x:v>DeepSeek идентифицирован по имени архива как DeepSeek chat; внутренний MODE в его пяти файлах противоречив. GPT 5.5 medium.</x:v>
      </x:c>
      <x:c r="C39"/>
      <x:c r="D39" t="str">
        <x:v>Несогласованность self-identification отдельно от task-score.</x:v>
      </x:c>
    </x:row>
    <x:row r="40">
      <x:c r="A40" t="str">
        <x:v>Batch 011</x:v>
      </x:c>
      <x:c r="B40" t="str">
        <x:v>Добавлены GPT 5.5 — low и Qwen 3.8 max: 96.09 / 98.59.</x:v>
      </x:c>
      <x:c r="C40" t="str">
        <x:v>0–100</x:v>
      </x:c>
      <x:c r="D40" t="str">
        <x:v>Для Qwen 3.8 max TERM полнота 0/32, потому что соответствующий файл является копией SQL-ответа.</x:v>
      </x:c>
    </x:row>
    <x:row r="41">
      <x:c r="A41" t="str">
        <x:v>Коррекция названий</x:v>
      </x:c>
      <x:c r="B41" t="str">
        <x:v>Исправлены временные псевдонимы: семейство coder теперь отображается как GPT 5.6 Sol, семейство 2.5 — как GPT 5.5; суффиксы high/medium/low сохранены.</x:v>
      </x:c>
      <x:c r="C41"/>
      <x:c r="D41" t="str">
        <x:v>Баллы и старые оценки не пересчитывались.</x:v>
      </x:c>
    </x:row>
    <x:row r="42">
      <x:c r="A42" t="str">
        <x:v>Идентификация новых прогонов</x:v>
      </x:c>
      <x:c r="B42" t="str">
        <x:v>GPT-5.5.zip не указывает уровень high/medium/low; сохранено имя GPT 5.5 без выдуманного уровня. Qwen 3.8 max сохранён без отдельного режима.</x:v>
      </x:c>
      <x:c r="C42"/>
      <x:c r="D42" t="str">
        <x:v>Self-reported MODE GPT 5.5 между сегментами неоднороден, поэтому указан thinking/UNKNOWN.</x:v>
      </x:c>
    </x:row>
    <x:row r="43">
      <x:c r="A43" t="str">
        <x:v>Сортировка</x:v>
      </x:c>
      <x:c r="B43" t="str">
        <x:v>Модели во всех сравнительных листах отсортированы по итоговому баллу: сильнейшие сверху/слева; ещё не добавленные — в самом конце.</x:v>
      </x:c>
      <x:c r="C43"/>
      <x:c r="D43" t="str">
        <x:v>Оценённые результаты 0 баллов считаются добавленными и идут перед пустыми/ожидаемыми моделями.</x:v>
      </x:c>
    </x:row>
    <x:row r="44">
      <x:c r="A44" t="str">
        <x:v>Форматирование и имена</x:v>
      </x:c>
      <x:c r="B44" t="str">
        <x:v>Цветовая шкала 0–100 повторно применена ко всем модельным баллам. У GPT, DeepSeek и Qwen 3.8 max удалены обозначения thinking/без thinking; GPT 5.5 с неуказанным уровнем переименован в GPT 5.5 — low.</x:v>
      </x:c>
      <x:c r="C44"/>
      <x:c r="D44" t="str">
        <x:v>Баллы и сортировка не изменены.</x:v>
      </x:c>
    </x:row>
    <x:row r="45">
      <x:c r="A45" t="str">
        <x:v>Batch 015</x:v>
      </x:c>
      <x:c r="B45" t="str">
        <x:v>Заполнены недостающие Qwen 3.8 27b: без thinking 81.25; thinking 94.84.</x:v>
      </x:c>
      <x:c r="C45" t="str">
        <x:v>0–100</x:v>
      </x:c>
      <x:c r="D45" t="str">
        <x:v>Полнота: без thinking 32/32; thinking 32/32.</x:v>
      </x:c>
    </x:row>
    <x:row r="46">
      <x:c r="A46" t="str">
        <x:v>Идентификация</x:v>
      </x:c>
      <x:c r="B46" t="str">
        <x:v>Режим определяется по папке прогона. У папки без thinking внутренний MODE ошибочно указан thinking.</x:v>
      </x:c>
      <x:c r="C46"/>
      <x:c r="D46" t="str">
        <x:v>В Terminal thinking файл является служебным текстом-разбором, а не ответом на 32 TERM-задачи; задания оставлены пустыми и считаются 0 только в общем итоге.</x:v>
      </x:c>
    </x:row>
    <x:row r="47">
      <x:c r="A47" t="str">
        <x:v>Batch 016</x:v>
      </x:c>
      <x:c r="B47" t="str">
        <x:v>Добавлен Qwen 3.8 27b uncensored без thinking: 80.62/100, полнота 32/32.</x:v>
      </x:c>
      <x:c r="C47" t="str">
        <x:v>0–100</x:v>
      </x:c>
      <x:c r="D47" t="str">
        <x:v>Папка/имя файла определяют режим; внутренний MODE uncensored файлов неоднороден и не влияет на label.</x:v>
      </x:c>
    </x:row>
    <x:row r="48">
      <x:c r="A48" t="str">
        <x:v>Batch 017</x:v>
      </x:c>
      <x:c r="B48" t="str">
        <x:v>Добавлен Qwen 3.8 27b uncensored thinking: 93.59/100; полнота 32/32.</x:v>
      </x:c>
      <x:c r="C48" t="str">
        <x:v>0–100</x:v>
      </x:c>
      <x:c r="D48" t="str">
        <x:v>Пять профильных книг пересортированы по итоговому баллу; окраска модельных баллов пересобрана полностью.</x:v>
      </x:c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  <x:row r="77">
      <x:c r="A77"/>
      <x:c r="B77"/>
      <x:c r="C77"/>
      <x:c r="D77"/>
    </x:row>
    <x:row r="78">
      <x:c r="A78"/>
      <x:c r="B78"/>
      <x:c r="C78"/>
      <x:c r="D78"/>
    </x:row>
    <x:row r="79">
      <x:c r="A79"/>
      <x:c r="B79"/>
      <x:c r="C79"/>
      <x:c r="D79"/>
    </x:row>
    <x:row r="80">
      <x:c r="A80"/>
      <x:c r="B80"/>
      <x:c r="C80"/>
      <x:c r="D80"/>
    </x:row>
    <x:row r="81">
      <x:c r="A81"/>
      <x:c r="B81"/>
      <x:c r="C81"/>
      <x:c r="D81"/>
    </x:row>
    <x:row r="82">
      <x:c r="A82"/>
      <x:c r="B82"/>
      <x:c r="C82"/>
      <x:c r="D82"/>
    </x:row>
    <x:row r="83">
      <x:c r="A83"/>
      <x:c r="B83"/>
      <x:c r="C83"/>
      <x:c r="D83"/>
    </x:row>
    <x:row r="84">
      <x:c r="A84"/>
      <x:c r="B84"/>
      <x:c r="C84"/>
      <x:c r="D84"/>
    </x:row>
    <x:row r="85">
      <x:c r="A85"/>
      <x:c r="B85"/>
      <x:c r="C85"/>
      <x:c r="D85"/>
    </x:row>
    <x:row r="86">
      <x:c r="A86"/>
      <x:c r="B86"/>
      <x:c r="C86"/>
      <x:c r="D86"/>
    </x:row>
    <x:row r="87">
      <x:c r="A87"/>
      <x:c r="B87"/>
      <x:c r="C87"/>
      <x:c r="D87"/>
    </x:row>
    <x:row r="88">
      <x:c r="A88"/>
      <x:c r="B88"/>
      <x:c r="C88"/>
      <x:c r="D88"/>
    </x:row>
    <x:row r="89">
      <x:c r="A89"/>
      <x:c r="B89"/>
      <x:c r="C89"/>
      <x:c r="D89"/>
    </x:row>
    <x:row r="90">
      <x:c r="A90"/>
      <x:c r="B90"/>
      <x:c r="C90"/>
      <x:c r="D90"/>
    </x:row>
    <x:row r="91">
      <x:c r="A91"/>
      <x:c r="B91"/>
      <x:c r="C91"/>
      <x:c r="D91"/>
    </x:row>
    <x:row r="92">
      <x:c r="A92"/>
      <x:c r="B92"/>
      <x:c r="C92"/>
      <x:c r="D92"/>
    </x:row>
    <x:row r="93">
      <x:c r="A93"/>
      <x:c r="B93"/>
      <x:c r="C93"/>
      <x:c r="D93"/>
    </x:row>
    <x:row r="94">
      <x:c r="A94"/>
      <x:c r="B94"/>
      <x:c r="C94"/>
      <x:c r="D94"/>
    </x:row>
    <x:row r="95">
      <x:c r="A95"/>
      <x:c r="B95"/>
      <x:c r="C95"/>
      <x:c r="D95"/>
    </x:row>
    <x:row r="96">
      <x:c r="A96"/>
      <x:c r="B96"/>
      <x:c r="C96"/>
      <x:c r="D96"/>
    </x:row>
    <x:row r="97">
      <x:c r="A97"/>
      <x:c r="B97"/>
      <x:c r="C97"/>
      <x:c r="D97"/>
    </x:row>
    <x:row r="98">
      <x:c r="A98"/>
      <x:c r="B98"/>
      <x:c r="C98"/>
      <x:c r="D98"/>
    </x:row>
    <x:row r="99">
      <x:c r="A99"/>
      <x:c r="B99"/>
      <x:c r="C99"/>
      <x:c r="D99"/>
    </x:row>
    <x:row r="100">
      <x:c r="A100"/>
      <x:c r="B100"/>
      <x:c r="C100"/>
      <x:c r="D100"/>
    </x:row>
    <x:row r="101">
      <x:c r="A101"/>
      <x:c r="B101"/>
      <x:c r="C101"/>
      <x:c r="D101"/>
    </x:row>
    <x:row r="102">
      <x:c r="A102"/>
      <x:c r="B102"/>
      <x:c r="C102"/>
      <x:c r="D102"/>
    </x:row>
    <x:row r="103">
      <x:c r="A103"/>
      <x:c r="B103"/>
      <x:c r="C103"/>
      <x:c r="D103"/>
    </x:row>
    <x:row r="104">
      <x:c r="A104"/>
      <x:c r="B104"/>
      <x:c r="C104"/>
      <x:c r="D104"/>
    </x:row>
    <x:row r="105">
      <x:c r="A105"/>
      <x:c r="B105"/>
      <x:c r="C105"/>
      <x:c r="D105"/>
    </x:row>
    <x:row r="106">
      <x:c r="A106"/>
      <x:c r="B106"/>
      <x:c r="C106"/>
      <x:c r="D106"/>
    </x:row>
    <x:row r="107">
      <x:c r="A107"/>
      <x:c r="B107"/>
      <x:c r="C107"/>
      <x:c r="D107"/>
    </x:row>
    <x:row r="108">
      <x:c r="A108"/>
      <x:c r="B108"/>
      <x:c r="C108"/>
      <x:c r="D108"/>
    </x:row>
    <x:row r="109">
      <x:c r="A109"/>
      <x:c r="B109"/>
      <x:c r="C109"/>
      <x:c r="D109"/>
    </x:row>
    <x:row r="110">
      <x:c r="A110"/>
      <x:c r="B110"/>
      <x:c r="C110"/>
      <x:c r="D110"/>
    </x:row>
    <x:row r="111">
      <x:c r="A111"/>
      <x:c r="B111"/>
      <x:c r="C111"/>
      <x:c r="D111"/>
    </x:row>
    <x:row r="112">
      <x:c r="A112"/>
      <x:c r="B112"/>
      <x:c r="C112"/>
      <x:c r="D112"/>
    </x:row>
    <x:row r="113">
      <x:c r="A113"/>
      <x:c r="B113"/>
      <x:c r="C113"/>
      <x:c r="D113"/>
    </x:row>
    <x:row r="114">
      <x:c r="A114"/>
      <x:c r="B114"/>
      <x:c r="C114"/>
      <x:c r="D114"/>
    </x:row>
    <x:row r="115">
      <x:c r="A115"/>
      <x:c r="B115"/>
      <x:c r="C115"/>
      <x:c r="D115"/>
    </x:row>
    <x:row r="116">
      <x:c r="A116"/>
      <x:c r="B116"/>
      <x:c r="C116"/>
      <x:c r="D116"/>
    </x:row>
    <x:row r="117">
      <x:c r="A117"/>
      <x:c r="B117"/>
      <x:c r="C117"/>
      <x:c r="D117"/>
    </x:row>
    <x:row r="118">
      <x:c r="A118"/>
      <x:c r="B118"/>
      <x:c r="C118"/>
      <x:c r="D118"/>
    </x:row>
    <x:row r="119">
      <x:c r="A119"/>
      <x:c r="B119"/>
      <x:c r="C119"/>
      <x:c r="D119"/>
    </x:row>
    <x:row r="120">
      <x:c r="A120"/>
      <x:c r="B120"/>
      <x:c r="C120"/>
      <x:c r="D120"/>
    </x:row>
    <x:row r="121">
      <x:c r="A121"/>
      <x:c r="B121"/>
      <x:c r="C121"/>
      <x:c r="D121"/>
    </x:row>
    <x:row r="122">
      <x:c r="A122"/>
      <x:c r="B122"/>
      <x:c r="C122"/>
      <x:c r="D122"/>
    </x:row>
    <x:row r="123">
      <x:c r="A123"/>
      <x:c r="B123"/>
      <x:c r="C123"/>
      <x:c r="D123"/>
    </x:row>
    <x:row r="124">
      <x:c r="A124"/>
      <x:c r="B124"/>
      <x:c r="C124"/>
      <x:c r="D124"/>
    </x:row>
    <x:row r="125">
      <x:c r="A125"/>
      <x:c r="B125"/>
      <x:c r="C125"/>
      <x:c r="D125"/>
    </x:row>
    <x:row r="126">
      <x:c r="A126"/>
      <x:c r="B126"/>
      <x:c r="C126"/>
      <x:c r="D126"/>
    </x:row>
    <x:row r="127">
      <x:c r="A127"/>
      <x:c r="B127"/>
      <x:c r="C127"/>
      <x:c r="D127"/>
    </x:row>
    <x:row r="128">
      <x:c r="A128"/>
      <x:c r="B128"/>
      <x:c r="C128"/>
      <x:c r="D128"/>
    </x:row>
    <x:row r="129">
      <x:c r="A129"/>
      <x:c r="B129"/>
      <x:c r="C129"/>
      <x:c r="D129"/>
    </x:row>
    <x:row r="130">
      <x:c r="A130"/>
      <x:c r="B130"/>
      <x:c r="C130"/>
      <x:c r="D130"/>
    </x:row>
    <x:row r="131">
      <x:c r="A131"/>
      <x:c r="B131"/>
      <x:c r="C131"/>
      <x:c r="D131"/>
    </x:row>
    <x:row r="132">
      <x:c r="A132"/>
      <x:c r="B132"/>
      <x:c r="C132"/>
      <x:c r="D132"/>
    </x:row>
    <x:row r="133">
      <x:c r="A133"/>
      <x:c r="B133"/>
      <x:c r="C133"/>
      <x:c r="D133"/>
    </x:row>
    <x:row r="134">
      <x:c r="A134"/>
      <x:c r="B134"/>
      <x:c r="C134"/>
      <x:c r="D134"/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/>
      <x:c r="D139"/>
    </x:row>
    <x:row r="140">
      <x:c r="A140"/>
      <x:c r="B140"/>
      <x:c r="C140"/>
      <x:c r="D140"/>
    </x:row>
    <x:row r="141">
      <x:c r="A141"/>
      <x:c r="B141"/>
      <x:c r="C141"/>
      <x:c r="D141"/>
    </x:row>
    <x:row r="142">
      <x:c r="A142"/>
      <x:c r="B142"/>
      <x:c r="C142"/>
      <x:c r="D142"/>
    </x:row>
    <x:row r="143">
      <x:c r="A143"/>
      <x:c r="B143"/>
      <x:c r="C143"/>
      <x:c r="D143"/>
    </x:row>
    <x:row r="144">
      <x:c r="A144"/>
      <x:c r="B144"/>
      <x:c r="C144"/>
      <x:c r="D144"/>
    </x:row>
    <x:row r="145">
      <x:c r="A145"/>
      <x:c r="B145"/>
      <x:c r="C145"/>
      <x:c r="D145"/>
    </x:row>
    <x:row r="146">
      <x:c r="A146"/>
      <x:c r="B146"/>
      <x:c r="C146"/>
      <x:c r="D146"/>
    </x:row>
    <x:row r="147">
      <x:c r="A147"/>
      <x:c r="B147"/>
      <x:c r="C147"/>
      <x:c r="D147"/>
    </x:row>
    <x:row r="148">
      <x:c r="A148"/>
      <x:c r="B148"/>
      <x:c r="C148"/>
      <x:c r="D148"/>
    </x:row>
    <x:row r="149">
      <x:c r="A149"/>
      <x:c r="B149"/>
      <x:c r="C149"/>
      <x:c r="D149"/>
    </x:row>
    <x:row r="150">
      <x:c r="A150"/>
      <x:c r="B150"/>
      <x:c r="C150"/>
      <x:c r="D150"/>
    </x:row>
    <x:row r="151">
      <x:c r="A151"/>
      <x:c r="B151"/>
      <x:c r="C151"/>
      <x:c r="D151"/>
    </x:row>
    <x:row r="152">
      <x:c r="A152"/>
      <x:c r="B152"/>
      <x:c r="C152"/>
      <x:c r="D152"/>
    </x:row>
    <x:row r="153">
      <x:c r="A153"/>
      <x:c r="B153"/>
      <x:c r="C153"/>
      <x:c r="D153"/>
    </x:row>
    <x:row r="154">
      <x:c r="A154"/>
      <x:c r="B154"/>
      <x:c r="C154"/>
      <x:c r="D154"/>
    </x:row>
    <x:row r="155">
      <x:c r="A155"/>
      <x:c r="B155"/>
      <x:c r="C155"/>
      <x:c r="D155"/>
    </x:row>
    <x:row r="156">
      <x:c r="A156"/>
      <x:c r="B156"/>
      <x:c r="C156"/>
      <x:c r="D156"/>
    </x:row>
    <x:row r="157">
      <x:c r="A157"/>
      <x:c r="B157"/>
      <x:c r="C157"/>
      <x:c r="D157"/>
    </x:row>
    <x:row r="158">
      <x:c r="A158"/>
      <x:c r="B158"/>
      <x:c r="C158"/>
      <x:c r="D158"/>
    </x:row>
    <x:row r="159">
      <x:c r="A159"/>
      <x:c r="B159"/>
      <x:c r="C159"/>
      <x:c r="D159"/>
    </x:row>
    <x:row r="160">
      <x:c r="A160"/>
      <x:c r="B160"/>
      <x:c r="C160"/>
      <x:c r="D160"/>
    </x:row>
    <x:row r="161">
      <x:c r="A161"/>
      <x:c r="B161"/>
      <x:c r="C161"/>
      <x:c r="D161"/>
    </x:row>
    <x:row r="162">
      <x:c r="A162"/>
      <x:c r="B162"/>
      <x:c r="C162"/>
      <x:c r="D162"/>
    </x:row>
    <x:row r="163">
      <x:c r="A163"/>
      <x:c r="B163"/>
      <x:c r="C163"/>
      <x:c r="D163"/>
    </x:row>
    <x:row r="164">
      <x:c r="A164"/>
      <x:c r="B164"/>
      <x:c r="C164"/>
      <x:c r="D164"/>
    </x:row>
    <x:row r="165">
      <x:c r="A165"/>
      <x:c r="B165"/>
      <x:c r="C165"/>
      <x:c r="D165"/>
    </x:row>
    <x:row r="166">
      <x:c r="A166"/>
      <x:c r="B166"/>
      <x:c r="C166"/>
      <x:c r="D166"/>
    </x:row>
    <x:row r="167">
      <x:c r="A167"/>
      <x:c r="B167"/>
      <x:c r="C167"/>
      <x:c r="D167"/>
    </x:row>
    <x:row r="168">
      <x:c r="A168"/>
      <x:c r="B168"/>
      <x:c r="C168"/>
      <x:c r="D168"/>
    </x:row>
    <x:row r="169">
      <x:c r="A169"/>
      <x:c r="B169"/>
      <x:c r="C169"/>
      <x:c r="D169"/>
    </x:row>
    <x:row r="170">
      <x:c r="A170"/>
      <x:c r="B170"/>
      <x:c r="C170"/>
      <x:c r="D170"/>
    </x:row>
    <x:row r="171">
      <x:c r="A171"/>
      <x:c r="B171"/>
      <x:c r="C171"/>
      <x:c r="D171"/>
    </x:row>
    <x:row r="172">
      <x:c r="A172"/>
      <x:c r="B172"/>
      <x:c r="C172"/>
      <x:c r="D172"/>
    </x:row>
    <x:row r="173">
      <x:c r="A173"/>
      <x:c r="B173"/>
      <x:c r="C173"/>
      <x:c r="D173"/>
    </x:row>
    <x:row r="174">
      <x:c r="A174"/>
      <x:c r="B174"/>
      <x:c r="C174"/>
      <x:c r="D174"/>
    </x:row>
    <x:row r="175">
      <x:c r="A175"/>
      <x:c r="B175"/>
      <x:c r="C175"/>
      <x:c r="D175"/>
    </x:row>
    <x:row r="176">
      <x:c r="A176"/>
      <x:c r="B176"/>
      <x:c r="C176"/>
      <x:c r="D176"/>
    </x:row>
    <x:row r="177">
      <x:c r="A177"/>
      <x:c r="B177"/>
      <x:c r="C177"/>
      <x:c r="D177"/>
    </x:row>
    <x:row r="178">
      <x:c r="A178"/>
      <x:c r="B178"/>
      <x:c r="C178"/>
      <x:c r="D178"/>
    </x:row>
    <x:row r="179">
      <x:c r="A179"/>
      <x:c r="B179"/>
      <x:c r="C179"/>
      <x:c r="D179"/>
    </x:row>
    <x:row r="180">
      <x:c r="A180"/>
      <x:c r="B180"/>
      <x:c r="C180"/>
      <x:c r="D180"/>
    </x:row>
    <x:row r="181">
      <x:c r="A181"/>
      <x:c r="B181"/>
      <x:c r="C181"/>
      <x:c r="D181"/>
    </x:row>
    <x:row r="182">
      <x:c r="A182"/>
      <x:c r="B182"/>
      <x:c r="C182"/>
      <x:c r="D182"/>
    </x:row>
    <x:row r="183">
      <x:c r="A183"/>
      <x:c r="B183"/>
      <x:c r="C183"/>
      <x:c r="D183"/>
    </x:row>
    <x:row r="184">
      <x:c r="A184"/>
      <x:c r="B184"/>
      <x:c r="C184"/>
      <x:c r="D184"/>
    </x:row>
    <x:row r="185">
      <x:c r="A185"/>
      <x:c r="B185"/>
      <x:c r="C185"/>
      <x:c r="D185"/>
    </x:row>
    <x:row r="186">
      <x:c r="A186"/>
      <x:c r="B186"/>
      <x:c r="C186"/>
      <x:c r="D186"/>
    </x:row>
    <x:row r="187">
      <x:c r="A187"/>
      <x:c r="B187"/>
      <x:c r="C187"/>
      <x:c r="D187"/>
    </x:row>
    <x:row r="188">
      <x:c r="A188"/>
      <x:c r="B188"/>
      <x:c r="C188"/>
      <x:c r="D188"/>
    </x:row>
    <x:row r="189">
      <x:c r="A189"/>
      <x:c r="B189"/>
      <x:c r="C189"/>
      <x:c r="D189"/>
    </x:row>
    <x:row r="190">
      <x:c r="A190"/>
      <x:c r="B190"/>
      <x:c r="C190"/>
      <x:c r="D190"/>
    </x:row>
    <x:row r="191">
      <x:c r="A191"/>
      <x:c r="B191"/>
      <x:c r="C191"/>
      <x:c r="D191"/>
    </x:row>
    <x:row r="192">
      <x:c r="A192"/>
      <x:c r="B192"/>
      <x:c r="C192"/>
      <x:c r="D192"/>
    </x:row>
    <x:row r="193">
      <x:c r="A193"/>
      <x:c r="B193"/>
      <x:c r="C193"/>
      <x:c r="D193"/>
    </x:row>
    <x:row r="194">
      <x:c r="A194"/>
      <x:c r="B194"/>
      <x:c r="C194"/>
      <x:c r="D194"/>
    </x:row>
    <x:row r="195">
      <x:c r="A195"/>
      <x:c r="B195"/>
      <x:c r="C195"/>
      <x:c r="D195"/>
    </x:row>
    <x:row r="196">
      <x:c r="A196"/>
      <x:c r="B196"/>
      <x:c r="C196"/>
      <x:c r="D196"/>
    </x:row>
    <x:row r="197">
      <x:c r="A197"/>
      <x:c r="B197"/>
      <x:c r="C197"/>
      <x:c r="D197"/>
    </x:row>
    <x:row r="198">
      <x:c r="A198"/>
      <x:c r="B198"/>
      <x:c r="C198"/>
      <x:c r="D198"/>
    </x:row>
    <x:row r="199">
      <x:c r="A199"/>
      <x:c r="B199"/>
      <x:c r="C199"/>
      <x:c r="D199"/>
    </x:row>
    <x:row r="200">
      <x:c r="A200"/>
      <x:c r="B200"/>
      <x:c r="C200"/>
      <x:c r="D200"/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/>
      <x:c r="B203"/>
      <x:c r="C203"/>
      <x:c r="D203"/>
    </x:row>
    <x:row r="204">
      <x:c r="A204"/>
      <x:c r="B204"/>
      <x:c r="C204"/>
      <x:c r="D204"/>
    </x:row>
    <x:row r="205">
      <x:c r="A205"/>
      <x:c r="B205"/>
      <x:c r="C205"/>
      <x:c r="D205"/>
    </x:row>
    <x:row r="206">
      <x:c r="A206"/>
      <x:c r="B206"/>
      <x:c r="C206"/>
      <x:c r="D206"/>
    </x:row>
    <x:row r="207">
      <x:c r="A207"/>
      <x:c r="B207"/>
      <x:c r="C207"/>
      <x:c r="D207"/>
    </x:row>
    <x:row r="208">
      <x:c r="A208"/>
      <x:c r="B208"/>
      <x:c r="C208"/>
      <x:c r="D208"/>
    </x:row>
    <x:row r="209">
      <x:c r="A209"/>
      <x:c r="B209"/>
      <x:c r="C209"/>
      <x:c r="D209"/>
    </x:row>
    <x:row r="210">
      <x:c r="A210"/>
      <x:c r="B210"/>
      <x:c r="C210"/>
      <x:c r="D210"/>
    </x:row>
    <x:row r="211">
      <x:c r="A211"/>
      <x:c r="B211"/>
      <x:c r="C211"/>
      <x:c r="D211"/>
    </x:row>
    <x:row r="212">
      <x:c r="A212"/>
      <x:c r="B212"/>
      <x:c r="C212"/>
      <x:c r="D212"/>
    </x:row>
    <x:row r="213">
      <x:c r="A213"/>
      <x:c r="B213"/>
      <x:c r="C213"/>
      <x:c r="D213"/>
    </x:row>
    <x:row r="214">
      <x:c r="A214"/>
      <x:c r="B214"/>
      <x:c r="C214"/>
      <x:c r="D214"/>
    </x:row>
    <x:row r="215">
      <x:c r="A215"/>
      <x:c r="B215"/>
      <x:c r="C215"/>
      <x:c r="D215"/>
    </x:row>
    <x:row r="216">
      <x:c r="A216"/>
      <x:c r="B216"/>
      <x:c r="C216"/>
      <x:c r="D216"/>
    </x:row>
    <x:row r="217">
      <x:c r="A217"/>
      <x:c r="B217"/>
      <x:c r="C217"/>
      <x:c r="D217"/>
    </x:row>
    <x:row r="218">
      <x:c r="A218"/>
      <x:c r="B218"/>
      <x:c r="C218"/>
      <x:c r="D218"/>
    </x:row>
    <x:row r="219">
      <x:c r="A219"/>
      <x:c r="B219"/>
      <x:c r="C219"/>
      <x:c r="D219"/>
    </x:row>
    <x:row r="220">
      <x:c r="A220"/>
      <x:c r="B220"/>
      <x:c r="C220"/>
      <x:c r="D220"/>
    </x:row>
    <x:row r="221">
      <x:c r="A221"/>
      <x:c r="B221"/>
      <x:c r="C221"/>
      <x:c r="D221"/>
    </x:row>
    <x:row r="222">
      <x:c r="A222"/>
      <x:c r="B222"/>
      <x:c r="C222"/>
      <x:c r="D222"/>
    </x:row>
    <x:row r="223">
      <x:c r="A223"/>
      <x:c r="B223"/>
      <x:c r="C223"/>
      <x:c r="D223"/>
    </x:row>
    <x:row r="224">
      <x:c r="A224"/>
      <x:c r="B224"/>
      <x:c r="C224"/>
      <x:c r="D224"/>
    </x:row>
    <x:row r="225">
      <x:c r="A225"/>
      <x:c r="B225"/>
      <x:c r="C225"/>
      <x:c r="D225"/>
    </x:row>
    <x:row r="226">
      <x:c r="A226"/>
      <x:c r="B226"/>
      <x:c r="C226"/>
      <x:c r="D226"/>
    </x:row>
    <x:row r="227">
      <x:c r="A227"/>
      <x:c r="B227"/>
      <x:c r="C227"/>
      <x:c r="D227"/>
    </x:row>
    <x:row r="228">
      <x:c r="A228"/>
      <x:c r="B228"/>
      <x:c r="C228"/>
      <x:c r="D228"/>
    </x:row>
    <x:row r="229">
      <x:c r="A229"/>
      <x:c r="B229"/>
      <x:c r="C229"/>
      <x:c r="D229"/>
    </x:row>
    <x:row r="230">
      <x:c r="A230"/>
      <x:c r="B230"/>
      <x:c r="C230"/>
      <x:c r="D230"/>
    </x:row>
    <x:row r="231">
      <x:c r="A231"/>
      <x:c r="B231"/>
      <x:c r="C231"/>
      <x:c r="D231"/>
    </x:row>
    <x:row r="232">
      <x:c r="A232"/>
      <x:c r="B232"/>
      <x:c r="C232"/>
      <x:c r="D232"/>
    </x:row>
    <x:row r="233">
      <x:c r="A233"/>
      <x:c r="B233"/>
      <x:c r="C233"/>
      <x:c r="D233"/>
    </x:row>
    <x:row r="234">
      <x:c r="A234"/>
      <x:c r="B234"/>
      <x:c r="C234"/>
      <x:c r="D234"/>
    </x:row>
    <x:row r="235">
      <x:c r="A235"/>
      <x:c r="B235"/>
      <x:c r="C235"/>
      <x:c r="D235"/>
    </x:row>
    <x:row r="236">
      <x:c r="A236"/>
      <x:c r="B236"/>
      <x:c r="C236"/>
      <x:c r="D236"/>
    </x:row>
    <x:row r="237">
      <x:c r="A237"/>
      <x:c r="B237"/>
      <x:c r="C237"/>
      <x:c r="D237"/>
    </x:row>
    <x:row r="238">
      <x:c r="A238"/>
      <x:c r="B238"/>
      <x:c r="C238"/>
      <x:c r="D238"/>
    </x:row>
    <x:row r="239">
      <x:c r="A239"/>
      <x:c r="B239"/>
      <x:c r="C239"/>
      <x:c r="D239"/>
    </x:row>
    <x:row r="240">
      <x:c r="A240"/>
      <x:c r="B240"/>
      <x:c r="C240"/>
      <x:c r="D240"/>
    </x:row>
    <x:row r="241">
      <x:c r="A241"/>
      <x:c r="B241"/>
      <x:c r="C241"/>
      <x:c r="D241"/>
    </x:row>
    <x:row r="242">
      <x:c r="A242"/>
      <x:c r="B242"/>
      <x:c r="C242"/>
      <x:c r="D242"/>
    </x:row>
    <x:row r="243">
      <x:c r="A243"/>
      <x:c r="B243"/>
      <x:c r="C243"/>
      <x:c r="D243"/>
    </x:row>
    <x:row r="244">
      <x:c r="A244"/>
      <x:c r="B244"/>
      <x:c r="C244"/>
      <x:c r="D244"/>
    </x:row>
    <x:row r="245">
      <x:c r="A245"/>
      <x:c r="B245"/>
      <x:c r="C245"/>
      <x:c r="D245"/>
    </x:row>
    <x:row r="246">
      <x:c r="A246"/>
      <x:c r="B246"/>
      <x:c r="C246"/>
      <x:c r="D246"/>
    </x:row>
    <x:row r="247">
      <x:c r="A247"/>
      <x:c r="B247"/>
      <x:c r="C247"/>
      <x:c r="D247"/>
    </x:row>
    <x:row r="248">
      <x:c r="A248"/>
      <x:c r="B248"/>
      <x:c r="C248"/>
      <x:c r="D248"/>
    </x:row>
    <x:row r="249">
      <x:c r="A249"/>
      <x:c r="B249"/>
      <x:c r="C249"/>
      <x:c r="D249"/>
    </x:row>
    <x:row r="250">
      <x:c r="A250"/>
      <x:c r="B250"/>
      <x:c r="C250"/>
      <x:c r="D250"/>
    </x:row>
  </x:sheetData>
  <x:pageMargins left="0.7" right="0.7" top="0.75" bottom="0.75" header="0.3" footer="0.3"/>
</x:worksheet>
</file>